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LizAn\Downloads\"/>
    </mc:Choice>
  </mc:AlternateContent>
  <xr:revisionPtr revIDLastSave="0" documentId="13_ncr:1_{51F41BCE-CF5E-4A99-BDA0-A7B1F1FE31AD}" xr6:coauthVersionLast="47" xr6:coauthVersionMax="47" xr10:uidLastSave="{00000000-0000-0000-0000-000000000000}"/>
  <bookViews>
    <workbookView xWindow="-120" yWindow="-120" windowWidth="29040" windowHeight="15720" activeTab="2" xr2:uid="{8C7D2DD1-9ACA-4D7D-B687-1F0C109B153B}"/>
  </bookViews>
  <sheets>
    <sheet name="HR-Employee-Attrition" sheetId="1" r:id="rId1"/>
    <sheet name="Pivot Tables" sheetId="2" r:id="rId2"/>
    <sheet name="Dashboard" sheetId="3" r:id="rId3"/>
  </sheets>
  <definedNames>
    <definedName name="Slicer_AgeGroup">#N/A</definedName>
    <definedName name="Slicer_BusinessTravel">#N/A</definedName>
    <definedName name="Slicer_EducationCategory">#N/A</definedName>
    <definedName name="Slicer_Gender">#N/A</definedName>
    <definedName name="Slicer_MaritalStatus">#N/A</definedName>
    <definedName name="Slicer_OverTim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7" i="2" l="1"/>
  <c r="D38" i="2"/>
  <c r="D39" i="2"/>
  <c r="D40" i="2"/>
  <c r="D41" i="2"/>
  <c r="D42" i="2"/>
  <c r="D36" i="2"/>
  <c r="D14" i="2"/>
  <c r="E14" i="2" s="1"/>
  <c r="D15" i="2"/>
  <c r="E15" i="2" s="1"/>
  <c r="D16" i="2"/>
  <c r="F16" i="2" s="1"/>
  <c r="D17" i="2"/>
  <c r="F17" i="2" s="1"/>
  <c r="D18" i="2"/>
  <c r="F18" i="2" s="1"/>
  <c r="D19" i="2"/>
  <c r="F19" i="2" s="1"/>
  <c r="D20" i="2"/>
  <c r="F20" i="2" s="1"/>
  <c r="D21" i="2"/>
  <c r="E21" i="2" s="1"/>
  <c r="D22" i="2"/>
  <c r="E22" i="2" s="1"/>
  <c r="K3" i="3"/>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J3" i="3"/>
  <c r="G3" i="3"/>
  <c r="I3" i="3" s="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F15" i="2" l="1"/>
  <c r="F14" i="2"/>
  <c r="E20" i="2"/>
  <c r="E19" i="2"/>
  <c r="E18" i="2"/>
  <c r="E17" i="2"/>
  <c r="E16" i="2"/>
  <c r="F22" i="2"/>
  <c r="F21" i="2"/>
  <c r="H3" i="3"/>
</calcChain>
</file>

<file path=xl/sharedStrings.xml><?xml version="1.0" encoding="utf-8"?>
<sst xmlns="http://schemas.openxmlformats.org/spreadsheetml/2006/main" count="11856" uniqueCount="97">
  <si>
    <t>Age</t>
  </si>
  <si>
    <t>Attrition</t>
  </si>
  <si>
    <t>BusinessTravel</t>
  </si>
  <si>
    <t>DailyRate</t>
  </si>
  <si>
    <t>Department</t>
  </si>
  <si>
    <t>DistanceFromHome</t>
  </si>
  <si>
    <t>Education</t>
  </si>
  <si>
    <t>EducationField</t>
  </si>
  <si>
    <t>EnvironmentSatisfaction</t>
  </si>
  <si>
    <t>Gender</t>
  </si>
  <si>
    <t>HourlyRate</t>
  </si>
  <si>
    <t>JobInvolvement</t>
  </si>
  <si>
    <t>JobLevel</t>
  </si>
  <si>
    <t>JobRole</t>
  </si>
  <si>
    <t>JobSatisfaction</t>
  </si>
  <si>
    <t>MaritalStatus</t>
  </si>
  <si>
    <t>MonthlyIncome</t>
  </si>
  <si>
    <t>MonthlyRate</t>
  </si>
  <si>
    <t>NumCompaniesWorked</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</si>
  <si>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</si>
  <si>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</si>
  <si>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</si>
  <si>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</si>
  <si>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</si>
  <si>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</si>
  <si>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</si>
  <si>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</si>
  <si>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</si>
  <si>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</si>
  <si>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</si>
  <si>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</si>
  <si>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</si>
  <si>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</si>
  <si>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Sales</t>
  </si>
  <si>
    <t>Life Sciences</t>
  </si>
  <si>
    <t>Female</t>
  </si>
  <si>
    <t>Sales Executive</t>
  </si>
  <si>
    <t>Single</t>
  </si>
  <si>
    <t>No</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</si>
  <si>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</si>
  <si>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</si>
  <si>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</si>
  <si>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</si>
  <si>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</si>
  <si>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</si>
  <si>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</si>
  <si>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</si>
  <si>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</si>
  <si>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</si>
  <si>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</si>
  <si>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</si>
  <si>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</si>
  <si>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</si>
  <si>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</si>
  <si>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</si>
  <si>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</si>
  <si>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AgeGroup</t>
  </si>
  <si>
    <t>Travel Rarely</t>
  </si>
  <si>
    <t>Travel Frequently</t>
  </si>
  <si>
    <t>EducationCategory</t>
  </si>
  <si>
    <t>Total Employee</t>
  </si>
  <si>
    <t>Attrition Rate (%)</t>
  </si>
  <si>
    <t>Retention Rate (%)</t>
  </si>
  <si>
    <t>Avg. Work Life Balance (0-4)</t>
  </si>
  <si>
    <t>Avg. Job Satisfaction (0-4)</t>
  </si>
  <si>
    <t>Row Labels</t>
  </si>
  <si>
    <t>Grand Total</t>
  </si>
  <si>
    <t>PivotTable3: Monthly Income vs Attrition</t>
  </si>
  <si>
    <t>1009-5008</t>
  </si>
  <si>
    <t>5009-9008</t>
  </si>
  <si>
    <t>9009-13008</t>
  </si>
  <si>
    <t>13009-17008</t>
  </si>
  <si>
    <t>17009-21008</t>
  </si>
  <si>
    <t>Average of JobSatisfaction</t>
  </si>
  <si>
    <t>Average of EnvironmentSatisfaction</t>
  </si>
  <si>
    <t>Average of WorkLifeBalance</t>
  </si>
  <si>
    <t>ResignedCount</t>
  </si>
  <si>
    <t>Sum of ResignedCount</t>
  </si>
  <si>
    <t>PivotTable4: Satisfaction Survey Answers vs Attrition</t>
  </si>
  <si>
    <t>Demographic Slicer</t>
  </si>
  <si>
    <t>PivotTable5: Employee Attrition by Job Role</t>
  </si>
  <si>
    <t>Top3Flag</t>
  </si>
  <si>
    <t>Top 3 (Red)</t>
  </si>
  <si>
    <t>Other (Gray)</t>
  </si>
  <si>
    <t>PivotTable6: Employee Attrition by Department</t>
  </si>
  <si>
    <t>PivotTable7: Distance from home vs Attrition</t>
  </si>
  <si>
    <t>1-4</t>
  </si>
  <si>
    <t>5-8</t>
  </si>
  <si>
    <t>9-12</t>
  </si>
  <si>
    <t>13-16</t>
  </si>
  <si>
    <t>17-20</t>
  </si>
  <si>
    <t>21-24</t>
  </si>
  <si>
    <t>25-29</t>
  </si>
  <si>
    <t>Midpoint</t>
  </si>
  <si>
    <t xml:space="preserve">X </t>
  </si>
  <si>
    <t>Bubble Size</t>
  </si>
  <si>
    <t>Work Context Slicer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</si>
</sst>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MS Gothic"/>
      <family val="3"/>
    </font>
    <font>
      <b/>
      <sz val="12"/>
      <color theme="1"/>
      <name val="Calibri"/>
      <family val="2"/>
      <scheme val="minor"/>
    </font>
    <font>
      <sz val="11"/>
      <name val="Calibri"/>
      <family val="2"/>
      <scheme val="minor"/>
    </font>
    <font>
      <sz val="13"/>
      <color theme="1"/>
      <name val="Arial Rounded MT Bold"/>
      <family val="2"/>
    </font>
    <font>
      <sz val="13"/>
      <color theme="1"/>
      <name val="Calibri"/>
      <family val="2"/>
      <scheme val="minor"/>
    </font>
    <font>
      <b/>
      <sz val="12"/>
      <name val="Calibri"/>
      <family val="2"/>
      <scheme val="minor"/>
    </font>
    <font>
      <sz val="14"/>
      <color theme="1"/>
      <name val="Arial Rounded MT Bold"/>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7" tint="0.39997558519241921"/>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ck">
        <color theme="4"/>
      </top>
      <bottom style="thin">
        <color indexed="64"/>
      </bottom>
      <diagonal/>
    </border>
    <border>
      <left/>
      <right/>
      <top style="thin">
        <color indexed="64"/>
      </top>
      <bottom style="thick">
        <color theme="4"/>
      </bottom>
      <diagonal/>
    </border>
    <border>
      <left style="thin">
        <color indexed="64"/>
      </left>
      <right/>
      <top style="thin">
        <color indexed="64"/>
      </top>
      <bottom style="thick">
        <color theme="4"/>
      </bottom>
      <diagonal/>
    </border>
    <border>
      <left style="thin">
        <color indexed="64"/>
      </left>
      <right/>
      <top style="thick">
        <color theme="4"/>
      </top>
      <bottom style="thin">
        <color indexed="64"/>
      </bottom>
      <diagonal/>
    </border>
    <border>
      <left/>
      <right style="thin">
        <color indexed="64"/>
      </right>
      <top style="thin">
        <color indexed="64"/>
      </top>
      <bottom style="thick">
        <color theme="4"/>
      </bottom>
      <diagonal/>
    </border>
    <border>
      <left/>
      <right style="thin">
        <color indexed="64"/>
      </right>
      <top style="thick">
        <color theme="4"/>
      </top>
      <bottom style="thin">
        <color indexed="6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0" fontId="0" fillId="33" borderId="0" xfId="0" applyFill="1"/>
    <xf numFmtId="164" fontId="0" fillId="0" borderId="0" xfId="0" applyNumberFormat="1"/>
    <xf numFmtId="10" fontId="18" fillId="0" borderId="10" xfId="0" applyNumberFormat="1" applyFont="1" applyBorder="1"/>
    <xf numFmtId="2" fontId="18" fillId="0" borderId="10" xfId="0" applyNumberFormat="1" applyFont="1" applyBorder="1"/>
    <xf numFmtId="0" fontId="3" fillId="0" borderId="11" xfId="2" applyBorder="1"/>
    <xf numFmtId="0" fontId="3" fillId="0" borderId="11" xfId="2" applyBorder="1" applyAlignment="1">
      <alignment wrapText="1"/>
    </xf>
    <xf numFmtId="0" fontId="3" fillId="0" borderId="12" xfId="2" applyBorder="1"/>
    <xf numFmtId="0" fontId="18" fillId="0" borderId="13" xfId="0" applyFont="1" applyBorder="1"/>
    <xf numFmtId="0" fontId="3" fillId="0" borderId="14" xfId="2" applyBorder="1" applyAlignment="1"/>
    <xf numFmtId="2" fontId="18" fillId="0" borderId="15" xfId="0" applyNumberFormat="1" applyFont="1" applyBorder="1"/>
    <xf numFmtId="0" fontId="0" fillId="0" borderId="0" xfId="0" pivotButton="1"/>
    <xf numFmtId="0" fontId="0" fillId="0" borderId="0" xfId="0" applyAlignment="1">
      <alignment horizontal="left"/>
    </xf>
    <xf numFmtId="0" fontId="0" fillId="0" borderId="0" xfId="0" applyAlignment="1">
      <alignment horizontal="center" vertical="center"/>
    </xf>
    <xf numFmtId="164" fontId="0" fillId="0" borderId="0" xfId="0" applyNumberFormat="1" applyAlignment="1">
      <alignment horizontal="left"/>
    </xf>
    <xf numFmtId="0" fontId="0" fillId="0" borderId="0" xfId="0" applyAlignment="1">
      <alignment vertical="center"/>
    </xf>
    <xf numFmtId="2" fontId="0" fillId="0" borderId="0" xfId="0" applyNumberFormat="1"/>
    <xf numFmtId="0" fontId="20" fillId="34" borderId="0" xfId="0" applyFont="1" applyFill="1"/>
    <xf numFmtId="0" fontId="22" fillId="0" borderId="0" xfId="0" applyFont="1" applyAlignment="1">
      <alignment horizontal="center" vertical="center" wrapText="1"/>
    </xf>
    <xf numFmtId="0" fontId="16" fillId="0" borderId="16" xfId="0" applyFont="1" applyBorder="1"/>
    <xf numFmtId="0" fontId="16" fillId="0" borderId="16" xfId="0" applyFont="1" applyBorder="1" applyAlignment="1">
      <alignment horizontal="center" vertical="center"/>
    </xf>
    <xf numFmtId="0" fontId="0" fillId="0" borderId="16" xfId="0" applyBorder="1" applyAlignment="1">
      <alignment horizontal="center" vertical="center"/>
    </xf>
    <xf numFmtId="0" fontId="0" fillId="0" borderId="16" xfId="0" applyBorder="1"/>
    <xf numFmtId="0" fontId="21" fillId="0" borderId="0" xfId="0" applyFont="1" applyAlignment="1">
      <alignment vertical="center" wrapText="1"/>
    </xf>
    <xf numFmtId="0" fontId="23" fillId="0" borderId="0" xfId="0" applyFont="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center" vertical="center"/>
    </xf>
    <xf numFmtId="0" fontId="0" fillId="0" borderId="0" xfId="0" applyAlignment="1">
      <alignment horizontal="center" vertical="center"/>
    </xf>
    <xf numFmtId="0" fontId="21" fillId="0" borderId="16" xfId="0" applyFont="1" applyBorder="1" applyAlignment="1">
      <alignment horizontal="center" vertical="center" wrapText="1"/>
    </xf>
    <xf numFmtId="0" fontId="21" fillId="0" borderId="0" xfId="0" applyFont="1" applyBorder="1" applyAlignment="1">
      <alignment vertical="center" wrapText="1"/>
    </xf>
    <xf numFmtId="0" fontId="24" fillId="0" borderId="16" xfId="0" applyFont="1" applyBorder="1" applyAlignment="1">
      <alignment horizontal="center" vertical="center"/>
    </xf>
    <xf numFmtId="0" fontId="0" fillId="0" borderId="16" xfId="0" applyBorder="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5">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strike val="0"/>
      </font>
      <fill>
        <patternFill>
          <bgColor rgb="FFFF0000"/>
        </patternFill>
      </fill>
    </dxf>
    <dxf>
      <numFmt numFmtId="2" formatCode="0.00"/>
    </dxf>
    <dxf>
      <numFmt numFmtId="2" formatCode="0.00"/>
    </dxf>
    <dxf>
      <numFmt numFmtId="164" formatCode="&quot;₱&quot;#,##0.00"/>
    </dxf>
    <dxf>
      <numFmt numFmtId="164" formatCode="&quot;₱&quot;#,##0.00"/>
    </dxf>
    <dxf>
      <numFmt numFmtId="164" formatCode="&quot;₱&quot;#,##0.00"/>
    </dxf>
    <dxf>
      <numFmt numFmtId="0" formatCode="General"/>
    </dxf>
    <dxf>
      <numFmt numFmtId="164" formatCode="&quot;₱&quot;#,##0.00"/>
    </dxf>
    <dxf>
      <font>
        <strike val="0"/>
        <outline val="0"/>
        <shadow val="0"/>
        <u val="none"/>
        <vertAlign val="baseline"/>
        <sz val="11"/>
        <color auto="1"/>
        <name val="Calibri"/>
        <family val="2"/>
        <scheme val="minor"/>
      </font>
      <numFmt numFmtId="0" formatCode="General"/>
      <fill>
        <patternFill patternType="solid">
          <fgColor indexed="64"/>
          <bgColor theme="7" tint="0.39997558519241921"/>
        </patternFill>
      </fill>
    </dxf>
    <dxf>
      <fill>
        <patternFill patternType="solid">
          <fgColor indexed="64"/>
          <bgColor rgb="FFFF0000"/>
        </patternFill>
      </fill>
    </dxf>
    <dxf>
      <numFmt numFmtId="0" formatCode="General"/>
    </dxf>
  </dxfs>
  <tableStyles count="0" defaultTableStyle="TableStyleMedium2" defaultPivotStyle="PivotStyleLight16"/>
  <colors>
    <mruColors>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[HR-Employee-Attrition.xlsm]Pivot Tables!PivotTable3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chemeClr val="tx1"/>
                </a:solidFill>
                <a:latin typeface="Geometr706 BlkCn BT" panose="020B0706030503030204" pitchFamily="34" charset="0"/>
              </a:rPr>
              <a:t>Monthly</a:t>
            </a:r>
            <a:r>
              <a:rPr lang="en-US" sz="1800" baseline="0">
                <a:solidFill>
                  <a:schemeClr val="tx1"/>
                </a:solidFill>
                <a:latin typeface="Geometr706 BlkCn BT" panose="020B0706030503030204" pitchFamily="34" charset="0"/>
              </a:rPr>
              <a:t> Income vs Attrition</a:t>
            </a:r>
            <a:endParaRPr lang="en-US" sz="1800">
              <a:solidFill>
                <a:schemeClr val="tx1"/>
              </a:solidFill>
              <a:latin typeface="Geometr706 BlkCn BT" panose="020B0706030503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0000">
                  <a:alpha val="80000"/>
                </a:srgbClr>
              </a:gs>
              <a:gs pos="100000">
                <a:schemeClr val="accent4">
                  <a:lumMod val="60000"/>
                  <a:lumOff val="40000"/>
                </a:schemeClr>
              </a:gs>
            </a:gsLst>
            <a:lin ang="10800000" scaled="1"/>
            <a:tileRect/>
          </a:gra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pivotFmt>
      <c:pivotFmt>
        <c:idx val="6"/>
        <c:spPr>
          <a:solidFill>
            <a:schemeClr val="accent1"/>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s>
    <c:plotArea>
      <c:layout/>
      <c:barChart>
        <c:barDir val="bar"/>
        <c:grouping val="clustered"/>
        <c:varyColors val="1"/>
        <c:ser>
          <c:idx val="0"/>
          <c:order val="0"/>
          <c:tx>
            <c:strRef>
              <c:f>'Pivot Tables'!$C$3</c:f>
              <c:strCache>
                <c:ptCount val="1"/>
                <c:pt idx="0">
                  <c:v>Total</c:v>
                </c:pt>
              </c:strCache>
            </c:strRef>
          </c:tx>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3-EB95-4669-B6E0-BAF6B9709BAD}"/>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4-EB95-4669-B6E0-BAF6B9709BAD}"/>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6-EB95-4669-B6E0-BAF6B9709BAD}"/>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5-EB95-4669-B6E0-BAF6B9709BAD}"/>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7-EB95-4669-B6E0-BAF6B9709BAD}"/>
              </c:ext>
            </c:extLst>
          </c:dPt>
          <c:cat>
            <c:strRef>
              <c:f>'Pivot Tables'!$B$4:$B$9</c:f>
              <c:strCache>
                <c:ptCount val="5"/>
                <c:pt idx="0">
                  <c:v>1009-5008</c:v>
                </c:pt>
                <c:pt idx="1">
                  <c:v>5009-9008</c:v>
                </c:pt>
                <c:pt idx="2">
                  <c:v>9009-13008</c:v>
                </c:pt>
                <c:pt idx="3">
                  <c:v>13009-17008</c:v>
                </c:pt>
                <c:pt idx="4">
                  <c:v>17009-21008</c:v>
                </c:pt>
              </c:strCache>
            </c:strRef>
          </c:cat>
          <c:val>
            <c:numRef>
              <c:f>'Pivot Tables'!$C$4:$C$9</c:f>
              <c:numCache>
                <c:formatCode>General</c:formatCode>
                <c:ptCount val="5"/>
                <c:pt idx="0">
                  <c:v>163</c:v>
                </c:pt>
                <c:pt idx="1">
                  <c:v>40</c:v>
                </c:pt>
                <c:pt idx="2">
                  <c:v>25</c:v>
                </c:pt>
                <c:pt idx="3">
                  <c:v>4</c:v>
                </c:pt>
                <c:pt idx="4">
                  <c:v>5</c:v>
                </c:pt>
              </c:numCache>
            </c:numRef>
          </c:val>
          <c:extLst>
            <c:ext xmlns:c16="http://schemas.microsoft.com/office/drawing/2014/chart" uri="{C3380CC4-5D6E-409C-BE32-E72D297353CC}">
              <c16:uniqueId val="{00000001-EB95-4669-B6E0-BAF6B9709BAD}"/>
            </c:ext>
          </c:extLst>
        </c:ser>
        <c:dLbls>
          <c:showLegendKey val="0"/>
          <c:showVal val="0"/>
          <c:showCatName val="0"/>
          <c:showSerName val="0"/>
          <c:showPercent val="0"/>
          <c:showBubbleSize val="0"/>
        </c:dLbls>
        <c:gapWidth val="75"/>
        <c:overlap val="40"/>
        <c:axId val="1559379375"/>
        <c:axId val="1559370735"/>
      </c:barChart>
      <c:catAx>
        <c:axId val="15593793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Franklin Gothic Medium Cond" panose="020B0606030402020204" pitchFamily="34" charset="0"/>
                    <a:ea typeface="+mn-ea"/>
                    <a:cs typeface="+mn-cs"/>
                  </a:defRPr>
                </a:pPr>
                <a:r>
                  <a:rPr lang="en-PH" sz="1200">
                    <a:solidFill>
                      <a:schemeClr val="tx1"/>
                    </a:solidFill>
                    <a:latin typeface="Franklin Gothic Medium Cond" panose="020B0606030402020204" pitchFamily="34" charset="0"/>
                  </a:rPr>
                  <a:t>Monthly</a:t>
                </a:r>
                <a:r>
                  <a:rPr lang="en-PH" sz="1200" baseline="0">
                    <a:solidFill>
                      <a:schemeClr val="tx1"/>
                    </a:solidFill>
                    <a:latin typeface="Franklin Gothic Medium Cond" panose="020B0606030402020204" pitchFamily="34" charset="0"/>
                  </a:rPr>
                  <a:t> Income Range</a:t>
                </a:r>
                <a:endParaRPr lang="en-PH" sz="1200">
                  <a:solidFill>
                    <a:schemeClr val="tx1"/>
                  </a:solidFill>
                  <a:latin typeface="Franklin Gothic Medium Cond" panose="020B060603040202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Franklin Gothic Medium Cond" panose="020B0606030402020204" pitchFamily="34" charset="0"/>
                  <a:ea typeface="+mn-ea"/>
                  <a:cs typeface="+mn-cs"/>
                </a:defRPr>
              </a:pPr>
              <a:endParaRPr lang="en-P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59370735"/>
        <c:crosses val="autoZero"/>
        <c:auto val="1"/>
        <c:lblAlgn val="ctr"/>
        <c:lblOffset val="100"/>
        <c:noMultiLvlLbl val="0"/>
      </c:catAx>
      <c:valAx>
        <c:axId val="1559370735"/>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200">
                    <a:solidFill>
                      <a:schemeClr val="tx1"/>
                    </a:solidFill>
                    <a:latin typeface="Franklin Gothic Medium Cond" panose="020B0606030402020204" pitchFamily="34" charset="0"/>
                  </a:rPr>
                  <a:t>Attrition</a:t>
                </a:r>
                <a:r>
                  <a:rPr lang="en-PH" sz="1200" baseline="0">
                    <a:solidFill>
                      <a:schemeClr val="tx1"/>
                    </a:solidFill>
                    <a:latin typeface="Franklin Gothic Medium Cond" panose="020B0606030402020204" pitchFamily="34" charset="0"/>
                  </a:rPr>
                  <a:t> Count</a:t>
                </a:r>
                <a:endParaRPr lang="en-PH" sz="1200">
                  <a:solidFill>
                    <a:schemeClr val="tx1"/>
                  </a:solidFill>
                  <a:latin typeface="Franklin Gothic Medium Cond" panose="020B06060304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PH"/>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379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[HR-Employee-Attrition.xlsm]Pivot Tables!PivotTable4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1800">
                <a:solidFill>
                  <a:schemeClr val="tx1"/>
                </a:solidFill>
                <a:latin typeface="Geometr706 BlkCn BT" panose="020B0706030503030204" pitchFamily="34" charset="0"/>
              </a:rPr>
              <a:t>Satisfaction</a:t>
            </a:r>
            <a:r>
              <a:rPr lang="en-PH" sz="1800" baseline="0">
                <a:solidFill>
                  <a:schemeClr val="tx1"/>
                </a:solidFill>
                <a:latin typeface="Geometr706 BlkCn BT" panose="020B0706030503030204" pitchFamily="34" charset="0"/>
              </a:rPr>
              <a:t> Survey vs Attrition</a:t>
            </a:r>
            <a:endParaRPr lang="en-PH" sz="1800">
              <a:solidFill>
                <a:schemeClr val="tx1"/>
              </a:solidFill>
              <a:latin typeface="Geometr706 BlkCn BT" panose="020B0706030503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Tables'!$F$3</c:f>
              <c:strCache>
                <c:ptCount val="1"/>
                <c:pt idx="0">
                  <c:v>Average of JobSatisfaction</c:v>
                </c:pt>
              </c:strCache>
            </c:strRef>
          </c:tx>
          <c:spPr>
            <a:solidFill>
              <a:schemeClr val="accent1"/>
            </a:solidFill>
            <a:ln>
              <a:noFill/>
            </a:ln>
            <a:effectLst/>
          </c:spPr>
          <c:invertIfNegative val="0"/>
          <c:cat>
            <c:strRef>
              <c:f>'Pivot Tables'!$E$4:$E$6</c:f>
              <c:strCache>
                <c:ptCount val="2"/>
                <c:pt idx="0">
                  <c:v>No</c:v>
                </c:pt>
                <c:pt idx="1">
                  <c:v>Yes</c:v>
                </c:pt>
              </c:strCache>
            </c:strRef>
          </c:cat>
          <c:val>
            <c:numRef>
              <c:f>'Pivot Tables'!$F$4:$F$6</c:f>
              <c:numCache>
                <c:formatCode>0.00</c:formatCode>
                <c:ptCount val="2"/>
                <c:pt idx="0">
                  <c:v>2.778588807785888</c:v>
                </c:pt>
                <c:pt idx="1">
                  <c:v>2.4683544303797467</c:v>
                </c:pt>
              </c:numCache>
            </c:numRef>
          </c:val>
          <c:extLst>
            <c:ext xmlns:c16="http://schemas.microsoft.com/office/drawing/2014/chart" uri="{C3380CC4-5D6E-409C-BE32-E72D297353CC}">
              <c16:uniqueId val="{00000000-7C56-4A57-807C-7C5ABDBE13FB}"/>
            </c:ext>
          </c:extLst>
        </c:ser>
        <c:ser>
          <c:idx val="1"/>
          <c:order val="1"/>
          <c:tx>
            <c:strRef>
              <c:f>'Pivot Tables'!$G$3</c:f>
              <c:strCache>
                <c:ptCount val="1"/>
                <c:pt idx="0">
                  <c:v>Average of EnvironmentSatisfaction</c:v>
                </c:pt>
              </c:strCache>
            </c:strRef>
          </c:tx>
          <c:spPr>
            <a:solidFill>
              <a:schemeClr val="accent2"/>
            </a:solidFill>
            <a:ln>
              <a:noFill/>
            </a:ln>
            <a:effectLst/>
          </c:spPr>
          <c:invertIfNegative val="0"/>
          <c:cat>
            <c:strRef>
              <c:f>'Pivot Tables'!$E$4:$E$6</c:f>
              <c:strCache>
                <c:ptCount val="2"/>
                <c:pt idx="0">
                  <c:v>No</c:v>
                </c:pt>
                <c:pt idx="1">
                  <c:v>Yes</c:v>
                </c:pt>
              </c:strCache>
            </c:strRef>
          </c:cat>
          <c:val>
            <c:numRef>
              <c:f>'Pivot Tables'!$G$4:$G$6</c:f>
              <c:numCache>
                <c:formatCode>0.00</c:formatCode>
                <c:ptCount val="2"/>
                <c:pt idx="0">
                  <c:v>2.7712895377128954</c:v>
                </c:pt>
                <c:pt idx="1">
                  <c:v>2.4641350210970465</c:v>
                </c:pt>
              </c:numCache>
            </c:numRef>
          </c:val>
          <c:extLst>
            <c:ext xmlns:c16="http://schemas.microsoft.com/office/drawing/2014/chart" uri="{C3380CC4-5D6E-409C-BE32-E72D297353CC}">
              <c16:uniqueId val="{00000001-7C56-4A57-807C-7C5ABDBE13FB}"/>
            </c:ext>
          </c:extLst>
        </c:ser>
        <c:ser>
          <c:idx val="2"/>
          <c:order val="2"/>
          <c:tx>
            <c:strRef>
              <c:f>'Pivot Tables'!$H$3</c:f>
              <c:strCache>
                <c:ptCount val="1"/>
                <c:pt idx="0">
                  <c:v>Average of WorkLifeBalance</c:v>
                </c:pt>
              </c:strCache>
            </c:strRef>
          </c:tx>
          <c:spPr>
            <a:solidFill>
              <a:schemeClr val="accent3"/>
            </a:solidFill>
            <a:ln>
              <a:noFill/>
            </a:ln>
            <a:effectLst/>
          </c:spPr>
          <c:invertIfNegative val="0"/>
          <c:cat>
            <c:strRef>
              <c:f>'Pivot Tables'!$E$4:$E$6</c:f>
              <c:strCache>
                <c:ptCount val="2"/>
                <c:pt idx="0">
                  <c:v>No</c:v>
                </c:pt>
                <c:pt idx="1">
                  <c:v>Yes</c:v>
                </c:pt>
              </c:strCache>
            </c:strRef>
          </c:cat>
          <c:val>
            <c:numRef>
              <c:f>'Pivot Tables'!$H$4:$H$6</c:f>
              <c:numCache>
                <c:formatCode>0.00</c:formatCode>
                <c:ptCount val="2"/>
                <c:pt idx="0">
                  <c:v>2.781021897810219</c:v>
                </c:pt>
                <c:pt idx="1">
                  <c:v>2.6582278481012658</c:v>
                </c:pt>
              </c:numCache>
            </c:numRef>
          </c:val>
          <c:extLst>
            <c:ext xmlns:c16="http://schemas.microsoft.com/office/drawing/2014/chart" uri="{C3380CC4-5D6E-409C-BE32-E72D297353CC}">
              <c16:uniqueId val="{00000002-7C56-4A57-807C-7C5ABDBE13FB}"/>
            </c:ext>
          </c:extLst>
        </c:ser>
        <c:dLbls>
          <c:showLegendKey val="0"/>
          <c:showVal val="0"/>
          <c:showCatName val="0"/>
          <c:showSerName val="0"/>
          <c:showPercent val="0"/>
          <c:showBubbleSize val="0"/>
        </c:dLbls>
        <c:gapWidth val="150"/>
        <c:axId val="1559343375"/>
        <c:axId val="1559343855"/>
      </c:barChart>
      <c:catAx>
        <c:axId val="15593433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200">
                    <a:solidFill>
                      <a:schemeClr val="tx1"/>
                    </a:solidFill>
                    <a:latin typeface="Franklin Gothic Medium Cond" panose="020B0606030402020204" pitchFamily="34" charset="0"/>
                  </a:rPr>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343855"/>
        <c:crossesAt val="0"/>
        <c:auto val="1"/>
        <c:lblAlgn val="ctr"/>
        <c:lblOffset val="100"/>
        <c:noMultiLvlLbl val="0"/>
      </c:catAx>
      <c:valAx>
        <c:axId val="155934385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Franklin Gothic Medium Cond" panose="020B0606030402020204" pitchFamily="34" charset="0"/>
                    <a:ea typeface="+mn-ea"/>
                    <a:cs typeface="+mn-cs"/>
                  </a:defRPr>
                </a:pPr>
                <a:r>
                  <a:rPr lang="en-PH" sz="1200" b="0">
                    <a:solidFill>
                      <a:schemeClr val="tx1"/>
                    </a:solidFill>
                    <a:latin typeface="Franklin Gothic Medium Cond" panose="020B0606030402020204" pitchFamily="34" charset="0"/>
                  </a:rPr>
                  <a:t> Average</a:t>
                </a:r>
                <a:r>
                  <a:rPr lang="en-PH" sz="1200" b="0" baseline="0">
                    <a:solidFill>
                      <a:schemeClr val="tx1"/>
                    </a:solidFill>
                    <a:latin typeface="Franklin Gothic Medium Cond" panose="020B0606030402020204" pitchFamily="34" charset="0"/>
                  </a:rPr>
                  <a:t> Satisfaction Score</a:t>
                </a:r>
                <a:endParaRPr lang="en-PH" sz="1200" b="0">
                  <a:solidFill>
                    <a:schemeClr val="tx1"/>
                  </a:solidFill>
                  <a:latin typeface="Franklin Gothic Medium Cond" panose="020B060603040202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Franklin Gothic Medium Cond" panose="020B0606030402020204" pitchFamily="34" charset="0"/>
                  <a:ea typeface="+mn-ea"/>
                  <a:cs typeface="+mn-cs"/>
                </a:defRPr>
              </a:pPr>
              <a:endParaRPr lang="en-PH"/>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59343375"/>
        <c:crosses val="autoZero"/>
        <c:crossBetween val="between"/>
      </c:valAx>
      <c:spPr>
        <a:noFill/>
        <a:ln>
          <a:noFill/>
        </a:ln>
        <a:effectLst/>
      </c:spPr>
    </c:plotArea>
    <c:legend>
      <c:legendPos val="r"/>
      <c:layout>
        <c:manualLayout>
          <c:xMode val="edge"/>
          <c:yMode val="edge"/>
          <c:x val="0.66661880500231585"/>
          <c:y val="0.20355793025871766"/>
          <c:w val="0.33338119499768409"/>
          <c:h val="0.3964319460067491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PH" sz="1800" b="0" i="0" u="none" strike="noStrike" kern="1200" spc="0" baseline="0">
                <a:solidFill>
                  <a:schemeClr val="tx1"/>
                </a:solidFill>
                <a:latin typeface="Geometr706 BlkCn BT" panose="020B0706030503030204" pitchFamily="34" charset="0"/>
              </a:rPr>
              <a:t>Employee Attrition by Job Role</a:t>
            </a:r>
            <a:endParaRPr lang="en-US" sz="1800" b="0" i="0" u="none" strike="noStrike" kern="1200" spc="0" baseline="0">
              <a:solidFill>
                <a:schemeClr val="tx1"/>
              </a:solidFill>
              <a:latin typeface="Geometr706 BlkCn BT" panose="020B0706030503030204"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 Tables'!$E$13</c:f>
              <c:strCache>
                <c:ptCount val="1"/>
                <c:pt idx="0">
                  <c:v>Top 3 (Red)</c:v>
                </c:pt>
              </c:strCache>
            </c:strRef>
          </c:tx>
          <c:spPr>
            <a:solidFill>
              <a:srgbClr val="FF0000"/>
            </a:solidFill>
            <a:ln>
              <a:noFill/>
            </a:ln>
            <a:effectLst/>
          </c:spPr>
          <c:invertIfNegative val="0"/>
          <c:cat>
            <c:strRef>
              <c:f>'Pivot Tables'!$B$14:$B$22</c:f>
              <c:strCache>
                <c:ptCount val="9"/>
                <c:pt idx="0">
                  <c:v>Research Director</c:v>
                </c:pt>
                <c:pt idx="1">
                  <c:v>Manager</c:v>
                </c:pt>
                <c:pt idx="2">
                  <c:v>Healthcare Representative</c:v>
                </c:pt>
                <c:pt idx="3">
                  <c:v>Manufacturing Director</c:v>
                </c:pt>
                <c:pt idx="4">
                  <c:v>Human Resources</c:v>
                </c:pt>
                <c:pt idx="5">
                  <c:v>Sales Representative</c:v>
                </c:pt>
                <c:pt idx="6">
                  <c:v>Research Scientist</c:v>
                </c:pt>
                <c:pt idx="7">
                  <c:v>Sales Executive</c:v>
                </c:pt>
                <c:pt idx="8">
                  <c:v>Laboratory Technician</c:v>
                </c:pt>
              </c:strCache>
            </c:strRef>
          </c:cat>
          <c:val>
            <c:numRef>
              <c:f>'Pivot Tables'!$E$14:$E$22</c:f>
              <c:numCache>
                <c:formatCode>General</c:formatCode>
                <c:ptCount val="9"/>
                <c:pt idx="0">
                  <c:v>#N/A</c:v>
                </c:pt>
                <c:pt idx="1">
                  <c:v>#N/A</c:v>
                </c:pt>
                <c:pt idx="2">
                  <c:v>#N/A</c:v>
                </c:pt>
                <c:pt idx="3">
                  <c:v>#N/A</c:v>
                </c:pt>
                <c:pt idx="4">
                  <c:v>#N/A</c:v>
                </c:pt>
                <c:pt idx="5">
                  <c:v>#N/A</c:v>
                </c:pt>
                <c:pt idx="6">
                  <c:v>47</c:v>
                </c:pt>
                <c:pt idx="7">
                  <c:v>57</c:v>
                </c:pt>
                <c:pt idx="8">
                  <c:v>62</c:v>
                </c:pt>
              </c:numCache>
            </c:numRef>
          </c:val>
          <c:extLst>
            <c:ext xmlns:c16="http://schemas.microsoft.com/office/drawing/2014/chart" uri="{C3380CC4-5D6E-409C-BE32-E72D297353CC}">
              <c16:uniqueId val="{00000000-EB88-455B-A999-15D7FA3257E5}"/>
            </c:ext>
          </c:extLst>
        </c:ser>
        <c:ser>
          <c:idx val="1"/>
          <c:order val="1"/>
          <c:tx>
            <c:strRef>
              <c:f>'Pivot Tables'!$F$13</c:f>
              <c:strCache>
                <c:ptCount val="1"/>
                <c:pt idx="0">
                  <c:v>Other (Gray)</c:v>
                </c:pt>
              </c:strCache>
            </c:strRef>
          </c:tx>
          <c:spPr>
            <a:solidFill>
              <a:schemeClr val="accent2"/>
            </a:solidFill>
            <a:ln>
              <a:noFill/>
            </a:ln>
            <a:effectLst/>
          </c:spPr>
          <c:invertIfNegative val="0"/>
          <c:cat>
            <c:strRef>
              <c:f>'Pivot Tables'!$B$14:$B$22</c:f>
              <c:strCache>
                <c:ptCount val="9"/>
                <c:pt idx="0">
                  <c:v>Research Director</c:v>
                </c:pt>
                <c:pt idx="1">
                  <c:v>Manager</c:v>
                </c:pt>
                <c:pt idx="2">
                  <c:v>Healthcare Representative</c:v>
                </c:pt>
                <c:pt idx="3">
                  <c:v>Manufacturing Director</c:v>
                </c:pt>
                <c:pt idx="4">
                  <c:v>Human Resources</c:v>
                </c:pt>
                <c:pt idx="5">
                  <c:v>Sales Representative</c:v>
                </c:pt>
                <c:pt idx="6">
                  <c:v>Research Scientist</c:v>
                </c:pt>
                <c:pt idx="7">
                  <c:v>Sales Executive</c:v>
                </c:pt>
                <c:pt idx="8">
                  <c:v>Laboratory Technician</c:v>
                </c:pt>
              </c:strCache>
            </c:strRef>
          </c:cat>
          <c:val>
            <c:numRef>
              <c:f>'Pivot Tables'!$F$14:$F$22</c:f>
              <c:numCache>
                <c:formatCode>General</c:formatCode>
                <c:ptCount val="9"/>
                <c:pt idx="0">
                  <c:v>2</c:v>
                </c:pt>
                <c:pt idx="1">
                  <c:v>5</c:v>
                </c:pt>
                <c:pt idx="2">
                  <c:v>9</c:v>
                </c:pt>
                <c:pt idx="3">
                  <c:v>10</c:v>
                </c:pt>
                <c:pt idx="4">
                  <c:v>12</c:v>
                </c:pt>
                <c:pt idx="5">
                  <c:v>33</c:v>
                </c:pt>
                <c:pt idx="6">
                  <c:v>#N/A</c:v>
                </c:pt>
                <c:pt idx="7">
                  <c:v>#N/A</c:v>
                </c:pt>
                <c:pt idx="8">
                  <c:v>#N/A</c:v>
                </c:pt>
              </c:numCache>
            </c:numRef>
          </c:val>
          <c:extLst>
            <c:ext xmlns:c16="http://schemas.microsoft.com/office/drawing/2014/chart" uri="{C3380CC4-5D6E-409C-BE32-E72D297353CC}">
              <c16:uniqueId val="{00000001-EB88-455B-A999-15D7FA3257E5}"/>
            </c:ext>
          </c:extLst>
        </c:ser>
        <c:dLbls>
          <c:showLegendKey val="0"/>
          <c:showVal val="0"/>
          <c:showCatName val="0"/>
          <c:showSerName val="0"/>
          <c:showPercent val="0"/>
          <c:showBubbleSize val="0"/>
        </c:dLbls>
        <c:gapWidth val="182"/>
        <c:axId val="1704662591"/>
        <c:axId val="1704663071"/>
      </c:barChart>
      <c:catAx>
        <c:axId val="1704662591"/>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PH" sz="1200" b="0" i="0" u="none" strike="noStrike" kern="1200" baseline="0">
                    <a:solidFill>
                      <a:schemeClr val="tx1"/>
                    </a:solidFill>
                    <a:latin typeface="Franklin Gothic Medium Cond" panose="020B0606030402020204" pitchFamily="34" charset="0"/>
                  </a:rPr>
                  <a:t>Job Role</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04663071"/>
        <c:crosses val="autoZero"/>
        <c:auto val="1"/>
        <c:lblAlgn val="ctr"/>
        <c:lblOffset val="100"/>
        <c:noMultiLvlLbl val="0"/>
      </c:catAx>
      <c:valAx>
        <c:axId val="170466307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200" b="0" i="0" u="none" strike="noStrike" kern="1200" baseline="0">
                    <a:solidFill>
                      <a:schemeClr val="tx1"/>
                    </a:solidFill>
                    <a:latin typeface="Franklin Gothic Medium Cond" panose="020B0606030402020204" pitchFamily="34" charset="0"/>
                  </a:rPr>
                  <a:t>Attrition 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662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[HR-Employee-Attrition.xlsm]Pivot Tables!PivotTable6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1800" b="0" i="0" u="none" strike="noStrike" kern="1200" spc="0" baseline="0">
                <a:solidFill>
                  <a:schemeClr val="tx1"/>
                </a:solidFill>
                <a:latin typeface="Geometr706 BlkCn BT" panose="020B0706030503030204" pitchFamily="34" charset="0"/>
              </a:rPr>
              <a:t>Employee Attrition by Department</a:t>
            </a:r>
            <a:endParaRPr lang="en-US" sz="1800" b="0" i="0" u="none" strike="noStrike" kern="1200" spc="0" baseline="0">
              <a:solidFill>
                <a:schemeClr val="tx1"/>
              </a:solidFill>
              <a:latin typeface="Geometr706 BlkCn BT" panose="020B0706030503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 Tables'!$C$27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E5-4953-97F6-6FF9E732E6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E5-4953-97F6-6FF9E732E6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E5-4953-97F6-6FF9E732E65B}"/>
              </c:ext>
            </c:extLst>
          </c:dPt>
          <c:cat>
            <c:strRef>
              <c:f>'Pivot Tables'!$B$28:$B$31</c:f>
              <c:strCache>
                <c:ptCount val="3"/>
                <c:pt idx="0">
                  <c:v>Human Resources</c:v>
                </c:pt>
                <c:pt idx="1">
                  <c:v>Research &amp; Development</c:v>
                </c:pt>
                <c:pt idx="2">
                  <c:v>Sales</c:v>
                </c:pt>
              </c:strCache>
            </c:strRef>
          </c:cat>
          <c:val>
            <c:numRef>
              <c:f>'Pivot Tables'!$C$28:$C$31</c:f>
              <c:numCache>
                <c:formatCode>General</c:formatCode>
                <c:ptCount val="3"/>
                <c:pt idx="0">
                  <c:v>12</c:v>
                </c:pt>
                <c:pt idx="1">
                  <c:v>133</c:v>
                </c:pt>
                <c:pt idx="2">
                  <c:v>92</c:v>
                </c:pt>
              </c:numCache>
            </c:numRef>
          </c:val>
          <c:extLst>
            <c:ext xmlns:c16="http://schemas.microsoft.com/office/drawing/2014/chart" uri="{C3380CC4-5D6E-409C-BE32-E72D297353CC}">
              <c16:uniqueId val="{00000006-26E5-4953-97F6-6FF9E732E65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sz="1800" b="0" i="0" u="none" strike="noStrike" baseline="0">
                <a:solidFill>
                  <a:schemeClr val="tx1"/>
                </a:solidFill>
                <a:latin typeface="Franklin Gothic Demi Cond" panose="020B0706030402020204" pitchFamily="34" charset="0"/>
              </a:rPr>
              <a:t>Attrition Rate Across Commute Distances</a:t>
            </a:r>
            <a:endParaRPr lang="en-US" sz="1800">
              <a:solidFill>
                <a:schemeClr val="tx1"/>
              </a:solidFill>
              <a:latin typeface="Franklin Gothic Demi Cond" panose="020B07060304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1"/>
          <c:tx>
            <c:strRef>
              <c:f>'Pivot Tables'!$F$35</c:f>
              <c:strCache>
                <c:ptCount val="1"/>
                <c:pt idx="0">
                  <c:v>Bubble Size</c:v>
                </c:pt>
              </c:strCache>
            </c:strRef>
          </c:tx>
          <c:spPr>
            <a:ln w="25400" cap="rnd">
              <a:noFill/>
              <a:round/>
            </a:ln>
            <a:effectLst/>
          </c:spPr>
          <c:marker>
            <c:symbol val="circle"/>
            <c:size val="18"/>
            <c:spPr>
              <a:solidFill>
                <a:schemeClr val="accent2"/>
              </a:solidFill>
              <a:ln w="9525">
                <a:solidFill>
                  <a:schemeClr val="accent2"/>
                </a:solidFill>
              </a:ln>
              <a:effectLst/>
            </c:spPr>
          </c:marker>
          <c:dPt>
            <c:idx val="0"/>
            <c:marker>
              <c:symbol val="circle"/>
              <c:size val="72"/>
              <c:spPr>
                <a:solidFill>
                  <a:schemeClr val="accent2"/>
                </a:solidFill>
                <a:ln w="9525">
                  <a:solidFill>
                    <a:schemeClr val="accent2"/>
                  </a:solidFill>
                </a:ln>
                <a:effectLst/>
              </c:spPr>
            </c:marker>
            <c:bubble3D val="0"/>
            <c:extLst>
              <c:ext xmlns:c16="http://schemas.microsoft.com/office/drawing/2014/chart" uri="{C3380CC4-5D6E-409C-BE32-E72D297353CC}">
                <c16:uniqueId val="{00000000-E4FF-4423-877B-B3C9AEC9E0E0}"/>
              </c:ext>
            </c:extLst>
          </c:dPt>
          <c:dPt>
            <c:idx val="1"/>
            <c:marker>
              <c:symbol val="circle"/>
              <c:size val="38"/>
              <c:spPr>
                <a:solidFill>
                  <a:schemeClr val="accent2"/>
                </a:solidFill>
                <a:ln w="9525">
                  <a:solidFill>
                    <a:schemeClr val="accent2"/>
                  </a:solidFill>
                </a:ln>
                <a:effectLst/>
              </c:spPr>
            </c:marker>
            <c:bubble3D val="0"/>
            <c:extLst>
              <c:ext xmlns:c16="http://schemas.microsoft.com/office/drawing/2014/chart" uri="{C3380CC4-5D6E-409C-BE32-E72D297353CC}">
                <c16:uniqueId val="{00000001-E4FF-4423-877B-B3C9AEC9E0E0}"/>
              </c:ext>
            </c:extLst>
          </c:dPt>
          <c:dPt>
            <c:idx val="2"/>
            <c:marker>
              <c:symbol val="circle"/>
              <c:size val="39"/>
              <c:spPr>
                <a:solidFill>
                  <a:schemeClr val="accent2"/>
                </a:solidFill>
                <a:ln w="9525">
                  <a:solidFill>
                    <a:schemeClr val="accent2"/>
                  </a:solidFill>
                </a:ln>
                <a:effectLst/>
              </c:spPr>
            </c:marker>
            <c:bubble3D val="0"/>
            <c:extLst>
              <c:ext xmlns:c16="http://schemas.microsoft.com/office/drawing/2014/chart" uri="{C3380CC4-5D6E-409C-BE32-E72D297353CC}">
                <c16:uniqueId val="{00000002-E4FF-4423-877B-B3C9AEC9E0E0}"/>
              </c:ext>
            </c:extLst>
          </c:dPt>
          <c:dPt>
            <c:idx val="3"/>
            <c:marker>
              <c:symbol val="circle"/>
              <c:size val="22"/>
              <c:spPr>
                <a:solidFill>
                  <a:schemeClr val="accent2"/>
                </a:solidFill>
                <a:ln w="9525">
                  <a:solidFill>
                    <a:schemeClr val="accent2"/>
                  </a:solidFill>
                </a:ln>
                <a:effectLst/>
              </c:spPr>
            </c:marker>
            <c:bubble3D val="0"/>
            <c:extLst>
              <c:ext xmlns:c16="http://schemas.microsoft.com/office/drawing/2014/chart" uri="{C3380CC4-5D6E-409C-BE32-E72D297353CC}">
                <c16:uniqueId val="{00000003-E4FF-4423-877B-B3C9AEC9E0E0}"/>
              </c:ext>
            </c:extLst>
          </c:dPt>
          <c:dPt>
            <c:idx val="4"/>
            <c:marker>
              <c:symbol val="circle"/>
              <c:size val="16"/>
              <c:spPr>
                <a:solidFill>
                  <a:schemeClr val="accent2"/>
                </a:solidFill>
                <a:ln w="9525">
                  <a:solidFill>
                    <a:schemeClr val="accent2"/>
                  </a:solidFill>
                </a:ln>
                <a:effectLst/>
              </c:spPr>
            </c:marker>
            <c:bubble3D val="0"/>
            <c:extLst>
              <c:ext xmlns:c16="http://schemas.microsoft.com/office/drawing/2014/chart" uri="{C3380CC4-5D6E-409C-BE32-E72D297353CC}">
                <c16:uniqueId val="{00000004-E4FF-4423-877B-B3C9AEC9E0E0}"/>
              </c:ext>
            </c:extLst>
          </c:dPt>
          <c:dPt>
            <c:idx val="5"/>
            <c:marker>
              <c:symbol val="circle"/>
              <c:size val="26"/>
              <c:spPr>
                <a:solidFill>
                  <a:schemeClr val="accent2"/>
                </a:solidFill>
                <a:ln w="9525">
                  <a:solidFill>
                    <a:schemeClr val="accent2"/>
                  </a:solidFill>
                </a:ln>
                <a:effectLst/>
              </c:spPr>
            </c:marker>
            <c:bubble3D val="0"/>
            <c:extLst>
              <c:ext xmlns:c16="http://schemas.microsoft.com/office/drawing/2014/chart" uri="{C3380CC4-5D6E-409C-BE32-E72D297353CC}">
                <c16:uniqueId val="{00000005-E4FF-4423-877B-B3C9AEC9E0E0}"/>
              </c:ext>
            </c:extLst>
          </c:dPt>
          <c:dPt>
            <c:idx val="6"/>
            <c:marker>
              <c:symbol val="circle"/>
              <c:size val="19"/>
              <c:spPr>
                <a:solidFill>
                  <a:schemeClr val="accent2"/>
                </a:solidFill>
                <a:ln w="9525">
                  <a:solidFill>
                    <a:schemeClr val="accent2"/>
                  </a:solidFill>
                </a:ln>
                <a:effectLst/>
              </c:spPr>
            </c:marker>
            <c:bubble3D val="0"/>
            <c:extLst>
              <c:ext xmlns:c16="http://schemas.microsoft.com/office/drawing/2014/chart" uri="{C3380CC4-5D6E-409C-BE32-E72D297353CC}">
                <c16:uniqueId val="{00000006-E4FF-4423-877B-B3C9AEC9E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 Tables'!$D$36:$D$42</c:f>
              <c:numCache>
                <c:formatCode>General</c:formatCode>
                <c:ptCount val="7"/>
                <c:pt idx="0">
                  <c:v>2.5</c:v>
                </c:pt>
                <c:pt idx="1">
                  <c:v>6.5</c:v>
                </c:pt>
                <c:pt idx="2">
                  <c:v>10.5</c:v>
                </c:pt>
                <c:pt idx="3">
                  <c:v>14.5</c:v>
                </c:pt>
                <c:pt idx="4">
                  <c:v>18.5</c:v>
                </c:pt>
                <c:pt idx="5">
                  <c:v>22.5</c:v>
                </c:pt>
                <c:pt idx="6">
                  <c:v>27</c:v>
                </c:pt>
              </c:numCache>
            </c:numRef>
          </c:xVal>
          <c:yVal>
            <c:numRef>
              <c:f>'Pivot Tables'!$F$36:$F$42</c:f>
              <c:numCache>
                <c:formatCode>General</c:formatCode>
                <c:ptCount val="7"/>
                <c:pt idx="0">
                  <c:v>77</c:v>
                </c:pt>
                <c:pt idx="1">
                  <c:v>38</c:v>
                </c:pt>
                <c:pt idx="2">
                  <c:v>39</c:v>
                </c:pt>
                <c:pt idx="3">
                  <c:v>22</c:v>
                </c:pt>
                <c:pt idx="4">
                  <c:v>16</c:v>
                </c:pt>
                <c:pt idx="5">
                  <c:v>26</c:v>
                </c:pt>
                <c:pt idx="6">
                  <c:v>19</c:v>
                </c:pt>
              </c:numCache>
            </c:numRef>
          </c:yVal>
          <c:smooth val="0"/>
          <c:extLst>
            <c:ext xmlns:c16="http://schemas.microsoft.com/office/drawing/2014/chart" uri="{C3380CC4-5D6E-409C-BE32-E72D297353CC}">
              <c16:uniqueId val="{00000007-E4FF-4423-877B-B3C9AEC9E0E0}"/>
            </c:ext>
          </c:extLst>
        </c:ser>
        <c:dLbls>
          <c:dLblPos val="ctr"/>
          <c:showLegendKey val="0"/>
          <c:showVal val="1"/>
          <c:showCatName val="0"/>
          <c:showSerName val="0"/>
          <c:showPercent val="0"/>
          <c:showBubbleSize val="0"/>
        </c:dLbls>
        <c:axId val="851501520"/>
        <c:axId val="851501040"/>
        <c:extLst>
          <c:ext xmlns:c15="http://schemas.microsoft.com/office/drawing/2012/chart" uri="{02D57815-91ED-43cb-92C2-25804820EDAC}">
            <c15:filteredScatterSeries>
              <c15:ser>
                <c:idx val="0"/>
                <c:order val="0"/>
                <c:tx>
                  <c:strRef>
                    <c:extLst>
                      <c:ext uri="{02D57815-91ED-43cb-92C2-25804820EDAC}">
                        <c15:formulaRef>
                          <c15:sqref>'Pivot Tables'!$E$35</c15:sqref>
                        </c15:formulaRef>
                      </c:ext>
                    </c:extLst>
                    <c:strCache>
                      <c:ptCount val="1"/>
                      <c:pt idx="0">
                        <c:v>X </c:v>
                      </c:pt>
                    </c:strCache>
                  </c:strRef>
                </c:tx>
                <c:spPr>
                  <a:ln w="2540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extLst>
                      <c:ext uri="{02D57815-91ED-43cb-92C2-25804820EDAC}">
                        <c15:formulaRef>
                          <c15:sqref>'Pivot Tables'!$D$36:$D$42</c15:sqref>
                        </c15:formulaRef>
                      </c:ext>
                    </c:extLst>
                    <c:numCache>
                      <c:formatCode>General</c:formatCode>
                      <c:ptCount val="7"/>
                      <c:pt idx="0">
                        <c:v>2.5</c:v>
                      </c:pt>
                      <c:pt idx="1">
                        <c:v>6.5</c:v>
                      </c:pt>
                      <c:pt idx="2">
                        <c:v>10.5</c:v>
                      </c:pt>
                      <c:pt idx="3">
                        <c:v>14.5</c:v>
                      </c:pt>
                      <c:pt idx="4">
                        <c:v>18.5</c:v>
                      </c:pt>
                      <c:pt idx="5">
                        <c:v>22.5</c:v>
                      </c:pt>
                      <c:pt idx="6">
                        <c:v>27</c:v>
                      </c:pt>
                    </c:numCache>
                  </c:numRef>
                </c:xVal>
                <c:yVal>
                  <c:numRef>
                    <c:extLst>
                      <c:ext uri="{02D57815-91ED-43cb-92C2-25804820EDAC}">
                        <c15:formulaRef>
                          <c15:sqref>'Pivot Tables'!$E$36:$E$42</c15:sqref>
                        </c15:formulaRef>
                      </c:ext>
                    </c:extLst>
                    <c:numCache>
                      <c:formatCode>General</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8-E4FF-4423-877B-B3C9AEC9E0E0}"/>
                  </c:ext>
                </c:extLst>
              </c15:ser>
            </c15:filteredScatterSeries>
          </c:ext>
        </c:extLst>
      </c:scatterChart>
      <c:valAx>
        <c:axId val="851501520"/>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200">
                    <a:solidFill>
                      <a:schemeClr val="tx1"/>
                    </a:solidFill>
                    <a:latin typeface="Franklin Gothic Demi Cond" panose="020B0706030402020204" pitchFamily="34" charset="0"/>
                  </a:rPr>
                  <a:t>Distance</a:t>
                </a:r>
                <a:r>
                  <a:rPr lang="en-PH" sz="1200" baseline="0">
                    <a:solidFill>
                      <a:schemeClr val="tx1"/>
                    </a:solidFill>
                    <a:latin typeface="Franklin Gothic Demi Cond" panose="020B0706030402020204" pitchFamily="34" charset="0"/>
                  </a:rPr>
                  <a:t> from home</a:t>
                </a:r>
                <a:endParaRPr lang="en-PH" sz="1200">
                  <a:solidFill>
                    <a:schemeClr val="tx1"/>
                  </a:solidFill>
                  <a:latin typeface="Franklin Gothic Demi Cond" panose="020B0706030402020204" pitchFamily="34" charset="0"/>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1040"/>
        <c:crosses val="autoZero"/>
        <c:crossBetween val="midCat"/>
      </c:valAx>
      <c:valAx>
        <c:axId val="85150104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PH" sz="1200">
                    <a:solidFill>
                      <a:schemeClr val="tx1"/>
                    </a:solidFill>
                    <a:latin typeface="Franklin Gothic Demi Cond" panose="020B0706030402020204" pitchFamily="34" charset="0"/>
                  </a:rPr>
                  <a:t>Attrition</a:t>
                </a:r>
                <a:r>
                  <a:rPr lang="en-PH" sz="1200" baseline="0">
                    <a:solidFill>
                      <a:schemeClr val="tx1"/>
                    </a:solidFill>
                    <a:latin typeface="Franklin Gothic Demi Cond" panose="020B0706030402020204" pitchFamily="34" charset="0"/>
                  </a:rPr>
                  <a:t> Count</a:t>
                </a:r>
                <a:endParaRPr lang="en-PH" sz="1200">
                  <a:solidFill>
                    <a:schemeClr val="tx1"/>
                  </a:solidFill>
                  <a:latin typeface="Franklin Gothic Demi Cond" panose="020B0706030402020204" pitchFamily="34" charset="0"/>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15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0</xdr:colOff>
      <xdr:row>5</xdr:row>
      <xdr:rowOff>0</xdr:rowOff>
    </xdr:from>
    <xdr:to>
      <xdr:col>9</xdr:col>
      <xdr:colOff>0</xdr:colOff>
      <xdr:row>19</xdr:row>
      <xdr:rowOff>0</xdr:rowOff>
    </xdr:to>
    <xdr:graphicFrame macro="">
      <xdr:nvGraphicFramePr>
        <xdr:cNvPr id="9" name="Chart 7">
          <a:extLst>
            <a:ext uri="{FF2B5EF4-FFF2-40B4-BE49-F238E27FC236}">
              <a16:creationId xmlns:a16="http://schemas.microsoft.com/office/drawing/2014/main" id="{C7AE7C56-FB78-7B02-14E5-39AA34885C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12</xdr:col>
      <xdr:colOff>0</xdr:colOff>
      <xdr:row>19</xdr:row>
      <xdr:rowOff>0</xdr:rowOff>
    </xdr:to>
    <xdr:graphicFrame macro="">
      <xdr:nvGraphicFramePr>
        <xdr:cNvPr id="10" name="Chart 8">
          <a:extLst>
            <a:ext uri="{FF2B5EF4-FFF2-40B4-BE49-F238E27FC236}">
              <a16:creationId xmlns:a16="http://schemas.microsoft.com/office/drawing/2014/main" id="{94D4AAE4-9B4C-05B3-A2E0-600EDC8B8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4482</xdr:colOff>
      <xdr:row>3</xdr:row>
      <xdr:rowOff>1</xdr:rowOff>
    </xdr:from>
    <xdr:to>
      <xdr:col>5</xdr:col>
      <xdr:colOff>560</xdr:colOff>
      <xdr:row>6</xdr:row>
      <xdr:rowOff>0</xdr:rowOff>
    </xdr:to>
    <mc:AlternateContent xmlns:mc="http://schemas.openxmlformats.org/markup-compatibility/2006">
      <mc:Choice xmlns:a14="http://schemas.microsoft.com/office/drawing/2010/main" Requires="a14">
        <xdr:graphicFrame macro="">
          <xdr:nvGraphicFramePr>
            <xdr:cNvPr id="13" name="Gender">
              <a:extLst>
                <a:ext uri="{FF2B5EF4-FFF2-40B4-BE49-F238E27FC236}">
                  <a16:creationId xmlns:a16="http://schemas.microsoft.com/office/drawing/2014/main" id="{F1C875D2-D5ED-4D5E-9C2D-D7D7F5A2CD3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214717" y="661148"/>
              <a:ext cx="2270872" cy="63873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6</xdr:row>
      <xdr:rowOff>0</xdr:rowOff>
    </xdr:from>
    <xdr:to>
      <xdr:col>4</xdr:col>
      <xdr:colOff>502407</xdr:colOff>
      <xdr:row>11</xdr:row>
      <xdr:rowOff>0</xdr:rowOff>
    </xdr:to>
    <mc:AlternateContent xmlns:mc="http://schemas.openxmlformats.org/markup-compatibility/2006">
      <mc:Choice xmlns:a14="http://schemas.microsoft.com/office/drawing/2010/main" Requires="a14">
        <xdr:graphicFrame macro="">
          <xdr:nvGraphicFramePr>
            <xdr:cNvPr id="14" name="AgeGroup">
              <a:extLst>
                <a:ext uri="{FF2B5EF4-FFF2-40B4-BE49-F238E27FC236}">
                  <a16:creationId xmlns:a16="http://schemas.microsoft.com/office/drawing/2014/main" id="{4BBC5564-30CF-F1FC-0DC5-9F9C54E261B0}"/>
                </a:ext>
              </a:extLst>
            </xdr:cNvPr>
            <xdr:cNvGraphicFramePr/>
          </xdr:nvGraphicFramePr>
          <xdr:xfrm>
            <a:off x="0" y="0"/>
            <a:ext cx="0" cy="0"/>
          </xdr:xfrm>
          <a:graphic>
            <a:graphicData uri="http://schemas.microsoft.com/office/drawing/2010/slicer">
              <sle:slicer xmlns:sle="http://schemas.microsoft.com/office/drawing/2010/slicer" name="AgeGroup"/>
            </a:graphicData>
          </a:graphic>
        </xdr:graphicFrame>
      </mc:Choice>
      <mc:Fallback>
        <xdr:sp macro="" textlink="">
          <xdr:nvSpPr>
            <xdr:cNvPr id="0" name=""/>
            <xdr:cNvSpPr>
              <a:spLocks noTextEdit="1"/>
            </xdr:cNvSpPr>
          </xdr:nvSpPr>
          <xdr:spPr>
            <a:xfrm>
              <a:off x="1210235" y="1299882"/>
              <a:ext cx="2272937" cy="9525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11</xdr:row>
      <xdr:rowOff>0</xdr:rowOff>
    </xdr:from>
    <xdr:to>
      <xdr:col>5</xdr:col>
      <xdr:colOff>561</xdr:colOff>
      <xdr:row>16</xdr:row>
      <xdr:rowOff>0</xdr:rowOff>
    </xdr:to>
    <mc:AlternateContent xmlns:mc="http://schemas.openxmlformats.org/markup-compatibility/2006">
      <mc:Choice xmlns:a14="http://schemas.microsoft.com/office/drawing/2010/main" Requires="a14">
        <xdr:graphicFrame macro="">
          <xdr:nvGraphicFramePr>
            <xdr:cNvPr id="15" name="MaritalStatus">
              <a:extLst>
                <a:ext uri="{FF2B5EF4-FFF2-40B4-BE49-F238E27FC236}">
                  <a16:creationId xmlns:a16="http://schemas.microsoft.com/office/drawing/2014/main" id="{349CBBE2-E4B0-3689-6DAB-F97DD53B3D60}"/>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dr:sp macro="" textlink="">
          <xdr:nvSpPr>
            <xdr:cNvPr id="0" name=""/>
            <xdr:cNvSpPr>
              <a:spLocks noTextEdit="1"/>
            </xdr:cNvSpPr>
          </xdr:nvSpPr>
          <xdr:spPr>
            <a:xfrm>
              <a:off x="1210235" y="2252382"/>
              <a:ext cx="2275355" cy="9525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19</xdr:row>
      <xdr:rowOff>0</xdr:rowOff>
    </xdr:from>
    <xdr:to>
      <xdr:col>9</xdr:col>
      <xdr:colOff>4003</xdr:colOff>
      <xdr:row>33</xdr:row>
      <xdr:rowOff>0</xdr:rowOff>
    </xdr:to>
    <xdr:graphicFrame macro="">
      <xdr:nvGraphicFramePr>
        <xdr:cNvPr id="16" name="Chart 22">
          <a:extLst>
            <a:ext uri="{FF2B5EF4-FFF2-40B4-BE49-F238E27FC236}">
              <a16:creationId xmlns:a16="http://schemas.microsoft.com/office/drawing/2014/main" id="{52874176-B0FB-10E4-0CE7-EF92761819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19</xdr:row>
      <xdr:rowOff>0</xdr:rowOff>
    </xdr:from>
    <xdr:to>
      <xdr:col>12</xdr:col>
      <xdr:colOff>0</xdr:colOff>
      <xdr:row>33</xdr:row>
      <xdr:rowOff>0</xdr:rowOff>
    </xdr:to>
    <xdr:graphicFrame macro="">
      <xdr:nvGraphicFramePr>
        <xdr:cNvPr id="20" name="Chart 28">
          <a:extLst>
            <a:ext uri="{FF2B5EF4-FFF2-40B4-BE49-F238E27FC236}">
              <a16:creationId xmlns:a16="http://schemas.microsoft.com/office/drawing/2014/main" id="{548F6A88-4F0F-2DA9-1A35-5E4ECAC7C8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609039</xdr:colOff>
      <xdr:row>16</xdr:row>
      <xdr:rowOff>0</xdr:rowOff>
    </xdr:from>
    <xdr:to>
      <xdr:col>4</xdr:col>
      <xdr:colOff>506329</xdr:colOff>
      <xdr:row>21</xdr:row>
      <xdr:rowOff>190499</xdr:rowOff>
    </xdr:to>
    <mc:AlternateContent xmlns:mc="http://schemas.openxmlformats.org/markup-compatibility/2006">
      <mc:Choice xmlns:a14="http://schemas.microsoft.com/office/drawing/2010/main" Requires="a14">
        <xdr:graphicFrame macro="">
          <xdr:nvGraphicFramePr>
            <xdr:cNvPr id="23" name="EducationCategory">
              <a:extLst>
                <a:ext uri="{FF2B5EF4-FFF2-40B4-BE49-F238E27FC236}">
                  <a16:creationId xmlns:a16="http://schemas.microsoft.com/office/drawing/2014/main" id="{95CE9390-A3FC-4716-951D-EAD0EBE5EA63}"/>
                </a:ext>
              </a:extLst>
            </xdr:cNvPr>
            <xdr:cNvGraphicFramePr/>
          </xdr:nvGraphicFramePr>
          <xdr:xfrm>
            <a:off x="0" y="0"/>
            <a:ext cx="0" cy="0"/>
          </xdr:xfrm>
          <a:graphic>
            <a:graphicData uri="http://schemas.microsoft.com/office/drawing/2010/slicer">
              <sle:slicer xmlns:sle="http://schemas.microsoft.com/office/drawing/2010/slicer" name="EducationCategory"/>
            </a:graphicData>
          </a:graphic>
        </xdr:graphicFrame>
      </mc:Choice>
      <mc:Fallback>
        <xdr:sp macro="" textlink="">
          <xdr:nvSpPr>
            <xdr:cNvPr id="0" name=""/>
            <xdr:cNvSpPr>
              <a:spLocks noTextEdit="1"/>
            </xdr:cNvSpPr>
          </xdr:nvSpPr>
          <xdr:spPr>
            <a:xfrm>
              <a:off x="1214157" y="3204882"/>
              <a:ext cx="2272937" cy="114299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5</xdr:row>
      <xdr:rowOff>0</xdr:rowOff>
    </xdr:from>
    <xdr:to>
      <xdr:col>17</xdr:col>
      <xdr:colOff>0</xdr:colOff>
      <xdr:row>33</xdr:row>
      <xdr:rowOff>0</xdr:rowOff>
    </xdr:to>
    <xdr:graphicFrame macro="">
      <xdr:nvGraphicFramePr>
        <xdr:cNvPr id="2" name="Chart 1">
          <a:extLst>
            <a:ext uri="{FF2B5EF4-FFF2-40B4-BE49-F238E27FC236}">
              <a16:creationId xmlns:a16="http://schemas.microsoft.com/office/drawing/2014/main" id="{4FBF5BF5-3037-7D16-D7FE-1BE4E1AC54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0</xdr:colOff>
      <xdr:row>24</xdr:row>
      <xdr:rowOff>1</xdr:rowOff>
    </xdr:from>
    <xdr:to>
      <xdr:col>4</xdr:col>
      <xdr:colOff>506329</xdr:colOff>
      <xdr:row>29</xdr:row>
      <xdr:rowOff>0</xdr:rowOff>
    </xdr:to>
    <mc:AlternateContent xmlns:mc="http://schemas.openxmlformats.org/markup-compatibility/2006">
      <mc:Choice xmlns:a14="http://schemas.microsoft.com/office/drawing/2010/main" Requires="a14">
        <xdr:graphicFrame macro="">
          <xdr:nvGraphicFramePr>
            <xdr:cNvPr id="5" name="BusinessTravel">
              <a:extLst>
                <a:ext uri="{FF2B5EF4-FFF2-40B4-BE49-F238E27FC236}">
                  <a16:creationId xmlns:a16="http://schemas.microsoft.com/office/drawing/2014/main" id="{968D54BB-3AF5-4D00-A078-BFCBFB7639E3}"/>
                </a:ext>
              </a:extLst>
            </xdr:cNvPr>
            <xdr:cNvGraphicFramePr/>
          </xdr:nvGraphicFramePr>
          <xdr:xfrm>
            <a:off x="0" y="0"/>
            <a:ext cx="0" cy="0"/>
          </xdr:xfrm>
          <a:graphic>
            <a:graphicData uri="http://schemas.microsoft.com/office/drawing/2010/slicer">
              <sle:slicer xmlns:sle="http://schemas.microsoft.com/office/drawing/2010/slicer" name="BusinessTravel"/>
            </a:graphicData>
          </a:graphic>
        </xdr:graphicFrame>
      </mc:Choice>
      <mc:Fallback>
        <xdr:sp macro="" textlink="">
          <xdr:nvSpPr>
            <xdr:cNvPr id="0" name=""/>
            <xdr:cNvSpPr>
              <a:spLocks noTextEdit="1"/>
            </xdr:cNvSpPr>
          </xdr:nvSpPr>
          <xdr:spPr>
            <a:xfrm>
              <a:off x="1210235" y="4728883"/>
              <a:ext cx="2276859" cy="95249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29</xdr:row>
      <xdr:rowOff>0</xdr:rowOff>
    </xdr:from>
    <xdr:to>
      <xdr:col>4</xdr:col>
      <xdr:colOff>506329</xdr:colOff>
      <xdr:row>33</xdr:row>
      <xdr:rowOff>0</xdr:rowOff>
    </xdr:to>
    <mc:AlternateContent xmlns:mc="http://schemas.openxmlformats.org/markup-compatibility/2006">
      <mc:Choice xmlns:a14="http://schemas.microsoft.com/office/drawing/2010/main" Requires="a14">
        <xdr:graphicFrame macro="">
          <xdr:nvGraphicFramePr>
            <xdr:cNvPr id="6" name="OverTime">
              <a:extLst>
                <a:ext uri="{FF2B5EF4-FFF2-40B4-BE49-F238E27FC236}">
                  <a16:creationId xmlns:a16="http://schemas.microsoft.com/office/drawing/2014/main" id="{672A6B36-29CB-48BB-B306-192E17DCB5A7}"/>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dr:sp macro="" textlink="">
          <xdr:nvSpPr>
            <xdr:cNvPr id="0" name=""/>
            <xdr:cNvSpPr>
              <a:spLocks noTextEdit="1"/>
            </xdr:cNvSpPr>
          </xdr:nvSpPr>
          <xdr:spPr>
            <a:xfrm>
              <a:off x="1210235" y="5681382"/>
              <a:ext cx="2276859" cy="76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z Ann Sucgang" refreshedDate="45889.811194212962" createdVersion="8" refreshedVersion="8" minRefreshableVersion="3" recordCount="1470" xr:uid="{9AA55399-A7BB-4EA1-9197-7C9CBCF5C27B}">
  <cacheSource type="worksheet">
    <worksheetSource name="Table1"/>
  </cacheSource>
  <cacheFields count="36">
    <cacheField name="Age" numFmtId="0">
      <sharedItems containsSemiMixedTypes="0" containsString="0" containsNumber="1" containsInteger="1" minValue="18" maxValue="60"/>
    </cacheField>
    <cacheField name="AgeGroup" numFmtId="0">
      <sharedItems count="5">
        <s v="35-44"/>
        <s v="45-54"/>
        <s v="25-34"/>
        <s v="55-64"/>
        <s v="18-24"/>
      </sharedItems>
    </cacheField>
    <cacheField name="Attrition" numFmtId="0">
      <sharedItems count="2">
        <s v="Yes"/>
        <s v="No"/>
      </sharedItems>
    </cacheField>
    <cacheField name="ResignedCount" numFmtId="0">
      <sharedItems containsSemiMixedTypes="0" containsString="0" containsNumber="1" containsInteger="1" minValue="0" maxValue="1"/>
    </cacheField>
    <cacheField name="BusinessTravel" numFmtId="0">
      <sharedItems count="3">
        <s v="Travel Rarely"/>
        <s v="Travel Frequently"/>
        <s v="Non-Travel"/>
      </sharedItems>
    </cacheField>
    <cacheField name="DailyRate" numFmtId="164">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ount="29">
        <n v="1"/>
        <n v="8"/>
        <n v="2"/>
        <n v="3"/>
        <n v="24"/>
        <n v="23"/>
        <n v="27"/>
        <n v="16"/>
        <n v="15"/>
        <n v="26"/>
        <n v="19"/>
        <n v="21"/>
        <n v="5"/>
        <n v="11"/>
        <n v="9"/>
        <n v="7"/>
        <n v="6"/>
        <n v="10"/>
        <n v="4"/>
        <n v="25"/>
        <n v="12"/>
        <n v="18"/>
        <n v="29"/>
        <n v="22"/>
        <n v="14"/>
        <n v="20"/>
        <n v="28"/>
        <n v="17"/>
        <n v="13"/>
      </sharedItems>
      <fieldGroup base="7">
        <rangePr startNum="1" endNum="29" groupInterval="4"/>
        <groupItems count="9">
          <s v="&lt;1"/>
          <s v="1-4"/>
          <s v="5-8"/>
          <s v="9-12"/>
          <s v="13-16"/>
          <s v="17-20"/>
          <s v="21-24"/>
          <s v="25-29"/>
          <s v="&gt;29"/>
        </groupItems>
      </fieldGroup>
    </cacheField>
    <cacheField name="Education" numFmtId="0">
      <sharedItems containsSemiMixedTypes="0" containsString="0" containsNumber="1" containsInteger="1" minValue="1" maxValue="5"/>
    </cacheField>
    <cacheField name="EducationCategory" numFmtId="0">
      <sharedItems count="5">
        <s v="College"/>
        <s v="Below College"/>
        <s v="Master"/>
        <s v="Bachelor"/>
        <s v="Doctor"/>
      </sharedItems>
    </cacheField>
    <cacheField name="EducationField" numFmtId="0">
      <sharedItems count="6">
        <s v="Life Sciences"/>
        <s v="Other"/>
        <s v="Medical"/>
        <s v="Marketing"/>
        <s v="Technical Degree"/>
        <s v="Human Resources"/>
      </sharedItems>
    </cacheField>
    <cacheField name="EnvironmentSatisfaction" numFmtId="0">
      <sharedItems containsSemiMixedTypes="0" containsString="0" containsNumber="1" containsInteger="1" minValue="1" maxValue="4"/>
    </cacheField>
    <cacheField name="Gender" numFmtId="0">
      <sharedItems count="2">
        <s v="Female"/>
        <s v="Male"/>
      </sharedItems>
    </cacheField>
    <cacheField name="HourlyRate" numFmtId="164">
      <sharedItems containsSemiMixedTypes="0" containsString="0" containsNumber="1" containsInteger="1" minValue="30" maxValue="100"/>
    </cacheField>
    <cacheField name="JobInvolvement" numFmtId="0">
      <sharedItems containsSemiMixedTypes="0" containsString="0" containsNumber="1" containsInteger="1" minValue="1" maxValue="4" count="4">
        <n v="3"/>
        <n v="2"/>
        <n v="4"/>
        <n v="1"/>
      </sharedItems>
    </cacheField>
    <cacheField name="JobLevel" numFmtId="0">
      <sharedItems containsSemiMixedTypes="0" containsString="0" containsNumber="1" containsInteger="1" minValue="1" maxValue="5"/>
    </cacheField>
    <cacheField name="JobRole" numFmtId="0">
      <sharedItems count="9">
        <s v="Sales Executive"/>
        <s v="Research Scientist"/>
        <s v="Laboratory Technician"/>
        <s v="Manufacturing Director"/>
        <s v="Healthcare Representative"/>
        <s v="Manager"/>
        <s v="Sales Representative"/>
        <s v="Research Director"/>
        <s v="Human Resources"/>
      </sharedItems>
    </cacheField>
    <cacheField name="JobSatisfaction" numFmtId="0">
      <sharedItems containsSemiMixedTypes="0" containsString="0" containsNumber="1" containsInteger="1" minValue="1" maxValue="4"/>
    </cacheField>
    <cacheField name="MaritalStatus" numFmtId="0">
      <sharedItems count="3">
        <s v="Single"/>
        <s v="Married"/>
        <s v="Divorced"/>
      </sharedItems>
    </cacheField>
    <cacheField name="MonthlyIncome" numFmtId="164">
      <sharedItems containsSemiMixedTypes="0" containsString="0" containsNumber="1" containsInteger="1" minValue="1009" maxValue="19999" count="1349">
        <n v="5993"/>
        <n v="5130"/>
        <n v="2090"/>
        <n v="2909"/>
        <n v="3468"/>
        <n v="3068"/>
        <n v="2670"/>
        <n v="2693"/>
        <n v="9526"/>
        <n v="5237"/>
        <n v="2426"/>
        <n v="4193"/>
        <n v="2911"/>
        <n v="2661"/>
        <n v="2028"/>
        <n v="9980"/>
        <n v="3298"/>
        <n v="2935"/>
        <n v="15427"/>
        <n v="3944"/>
        <n v="4011"/>
        <n v="3407"/>
        <n v="11994"/>
        <n v="1232"/>
        <n v="2960"/>
        <n v="19094"/>
        <n v="3919"/>
        <n v="6825"/>
        <n v="10248"/>
        <n v="18947"/>
        <n v="2496"/>
        <n v="6465"/>
        <n v="2206"/>
        <n v="2086"/>
        <n v="2293"/>
        <n v="2645"/>
        <n v="2683"/>
        <n v="2014"/>
        <n v="3419"/>
        <n v="5376"/>
        <n v="1951"/>
        <n v="2341"/>
        <n v="8726"/>
        <n v="19545"/>
        <n v="4568"/>
        <n v="3022"/>
        <n v="5772"/>
        <n v="2269"/>
        <n v="5381"/>
        <n v="3441"/>
        <n v="5454"/>
        <n v="9884"/>
        <n v="4157"/>
        <n v="13458"/>
        <n v="9069"/>
        <n v="4014"/>
        <n v="5915"/>
        <n v="6162"/>
        <n v="2406"/>
        <n v="18740"/>
        <n v="7637"/>
        <n v="10096"/>
        <n v="14756"/>
        <n v="6499"/>
        <n v="9724"/>
        <n v="2194"/>
        <n v="3388"/>
        <n v="5473"/>
        <n v="2703"/>
        <n v="2501"/>
        <n v="6220"/>
        <n v="3038"/>
        <n v="4424"/>
        <n v="4312"/>
        <n v="13245"/>
        <n v="13664"/>
        <n v="5021"/>
        <n v="5126"/>
        <n v="2859"/>
        <n v="10239"/>
        <n v="5329"/>
        <n v="4325"/>
        <n v="7260"/>
        <n v="2322"/>
        <n v="2075"/>
        <n v="4152"/>
        <n v="9619"/>
        <n v="13503"/>
        <n v="5441"/>
        <n v="5209"/>
        <n v="10673"/>
        <n v="5010"/>
        <n v="13549"/>
        <n v="4999"/>
        <n v="4221"/>
        <n v="13872"/>
        <n v="2042"/>
        <n v="2073"/>
        <n v="2956"/>
        <n v="2926"/>
        <n v="4809"/>
        <n v="5163"/>
        <n v="18844"/>
        <n v="18172"/>
        <n v="5744"/>
        <n v="2889"/>
        <n v="2871"/>
        <n v="7484"/>
        <n v="6074"/>
        <n v="17328"/>
        <n v="2774"/>
        <n v="4505"/>
        <n v="7428"/>
        <n v="11631"/>
        <n v="9738"/>
        <n v="2835"/>
        <n v="16959"/>
        <n v="2613"/>
        <n v="6146"/>
        <n v="4963"/>
        <n v="19537"/>
        <n v="6172"/>
        <n v="2368"/>
        <n v="10312"/>
        <n v="1675"/>
        <n v="2523"/>
        <n v="6567"/>
        <n v="4739"/>
        <n v="9208"/>
        <n v="4559"/>
        <n v="8189"/>
        <n v="2942"/>
        <n v="4941"/>
        <n v="10650"/>
        <n v="5902"/>
        <n v="8639"/>
        <n v="6347"/>
        <n v="4200"/>
        <n v="3452"/>
        <n v="4317"/>
        <n v="2632"/>
        <n v="4668"/>
        <n v="3204"/>
        <n v="2720"/>
        <n v="17181"/>
        <n v="2238"/>
        <n v="1483"/>
        <n v="5605"/>
        <n v="7295"/>
        <n v="2306"/>
        <n v="2348"/>
        <n v="8998"/>
        <n v="4319"/>
        <n v="6132"/>
        <n v="3346"/>
        <n v="10855"/>
        <n v="2231"/>
        <n v="2323"/>
        <n v="2024"/>
        <n v="2713"/>
        <n v="9439"/>
        <n v="2566"/>
        <n v="19926"/>
        <n v="2451"/>
        <n v="9419"/>
        <n v="8686"/>
        <n v="3058"/>
        <n v="2325"/>
        <n v="2088"/>
        <n v="3072"/>
        <n v="5006"/>
        <n v="4257"/>
        <n v="2500"/>
        <n v="1102"/>
        <n v="10453"/>
        <n v="2288"/>
        <n v="3929"/>
        <n v="2311"/>
        <n v="3140"/>
        <n v="3690"/>
        <n v="4450"/>
        <n v="2756"/>
        <n v="19033"/>
        <n v="18722"/>
        <n v="9547"/>
        <n v="13734"/>
        <n v="19999"/>
        <n v="2279"/>
        <n v="5916"/>
        <n v="2089"/>
        <n v="16792"/>
        <n v="3564"/>
        <n v="4425"/>
        <n v="5265"/>
        <n v="6553"/>
        <n v="6261"/>
        <n v="4298"/>
        <n v="6804"/>
        <n v="3815"/>
        <n v="2741"/>
        <n v="6673"/>
        <n v="7639"/>
        <n v="2328"/>
        <n v="2153"/>
        <n v="4876"/>
        <n v="9396"/>
        <n v="10400"/>
        <n v="8474"/>
        <n v="9981"/>
        <n v="12490"/>
        <n v="2657"/>
        <n v="13591"/>
        <n v="6696"/>
        <n v="2058"/>
        <n v="8865"/>
        <n v="5940"/>
        <n v="5914"/>
        <n v="2622"/>
        <n v="12185"/>
        <n v="10609"/>
        <n v="4345"/>
        <n v="2177"/>
        <n v="2793"/>
        <n v="7918"/>
        <n v="8789"/>
        <n v="2389"/>
        <n v="3212"/>
        <n v="19232"/>
        <n v="2267"/>
        <n v="19517"/>
        <n v="2436"/>
        <n v="16064"/>
        <n v="2707"/>
        <n v="19068"/>
        <n v="3931"/>
        <n v="3730"/>
        <n v="2232"/>
        <n v="4465"/>
        <n v="3319"/>
        <n v="19202"/>
        <n v="13675"/>
        <n v="5957"/>
        <n v="3920"/>
        <n v="6434"/>
        <n v="10048"/>
        <n v="10938"/>
        <n v="2340"/>
        <n v="6545"/>
        <n v="6931"/>
        <n v="4898"/>
        <n v="2593"/>
        <n v="19436"/>
        <n v="2723"/>
        <n v="3479"/>
        <n v="2794"/>
        <n v="5249"/>
        <n v="2176"/>
        <n v="16872"/>
        <n v="3485"/>
        <n v="6644"/>
        <n v="5582"/>
        <n v="4000"/>
        <n v="13496"/>
        <n v="3210"/>
        <n v="19045"/>
        <n v="11849"/>
        <n v="2070"/>
        <n v="6502"/>
        <n v="3230"/>
        <n v="13603"/>
        <n v="11996"/>
        <n v="6397"/>
        <n v="19144"/>
        <n v="17584"/>
        <n v="4907"/>
        <n v="4554"/>
        <n v="5415"/>
        <n v="4741"/>
        <n v="2115"/>
        <n v="3161"/>
        <n v="5745"/>
        <n v="2373"/>
        <n v="3310"/>
        <n v="18665"/>
        <n v="4485"/>
        <n v="2789"/>
        <n v="5828"/>
        <n v="2326"/>
        <n v="13525"/>
        <n v="1420"/>
        <n v="8020"/>
        <n v="3688"/>
        <n v="5482"/>
        <n v="16015"/>
        <n v="1200"/>
        <n v="5661"/>
        <n v="6929"/>
        <n v="9613"/>
        <n v="5674"/>
        <n v="5484"/>
        <n v="12061"/>
        <n v="5660"/>
        <n v="4821"/>
        <n v="6410"/>
        <n v="5210"/>
        <n v="2695"/>
        <n v="11878"/>
        <n v="17068"/>
        <n v="2455"/>
        <n v="13964"/>
        <n v="2478"/>
        <n v="5228"/>
        <n v="4478"/>
        <n v="7547"/>
        <n v="5055"/>
        <n v="3464"/>
        <n v="5775"/>
        <n v="8943"/>
        <n v="19272"/>
        <n v="5238"/>
        <n v="4682"/>
        <n v="18300"/>
        <n v="5257"/>
        <n v="6349"/>
        <n v="4869"/>
        <n v="9985"/>
        <n v="3697"/>
        <n v="7457"/>
        <n v="2119"/>
        <n v="3983"/>
        <n v="6118"/>
        <n v="6214"/>
        <n v="11510"/>
        <n v="7143"/>
        <n v="8268"/>
        <n v="8095"/>
        <n v="2904"/>
        <n v="6032"/>
        <n v="2976"/>
        <n v="15992"/>
        <n v="4649"/>
        <n v="2696"/>
        <n v="2370"/>
        <n v="12504"/>
        <n v="5974"/>
        <n v="4736"/>
        <n v="5296"/>
        <n v="6781"/>
        <n v="2174"/>
        <n v="6653"/>
        <n v="9699"/>
        <n v="6755"/>
        <n v="2213"/>
        <n v="2610"/>
        <n v="2851"/>
        <n v="5258"/>
        <n v="9355"/>
        <n v="10496"/>
        <n v="6380"/>
        <n v="2716"/>
        <n v="2201"/>
        <n v="6540"/>
        <n v="3816"/>
        <n v="5253"/>
        <n v="10965"/>
        <n v="4936"/>
        <n v="2543"/>
        <n v="5304"/>
        <n v="16659"/>
        <n v="4260"/>
        <n v="2476"/>
        <n v="3102"/>
        <n v="2244"/>
        <n v="7596"/>
        <n v="2285"/>
        <n v="3034"/>
        <n v="5715"/>
        <n v="2576"/>
        <n v="4197"/>
        <n v="14336"/>
        <n v="3448"/>
        <n v="19406"/>
        <n v="6538"/>
        <n v="4306"/>
        <n v="2258"/>
        <n v="4522"/>
        <n v="4487"/>
        <n v="4449"/>
        <n v="2218"/>
        <n v="19197"/>
        <n v="13212"/>
        <n v="6577"/>
        <n v="8392"/>
        <n v="4558"/>
        <n v="4031"/>
        <n v="7969"/>
        <n v="2654"/>
        <n v="16555"/>
        <n v="4556"/>
        <n v="6091"/>
        <n v="19566"/>
        <n v="4810"/>
        <n v="4523"/>
        <n v="3202"/>
        <n v="2351"/>
        <n v="1702"/>
        <n v="18041"/>
        <n v="2886"/>
        <n v="2097"/>
        <n v="11935"/>
        <n v="2546"/>
        <n v="2564"/>
        <n v="8412"/>
        <n v="14118"/>
        <n v="17046"/>
        <n v="10266"/>
        <n v="5070"/>
        <n v="17861"/>
        <n v="4230"/>
        <n v="3780"/>
        <n v="2768"/>
        <n v="9071"/>
        <n v="10648"/>
        <n v="13610"/>
        <n v="3408"/>
        <n v="2983"/>
        <n v="7632"/>
        <n v="9824"/>
        <n v="9950"/>
        <n v="2093"/>
        <n v="3894"/>
        <n v="4051"/>
        <n v="16835"/>
        <n v="6230"/>
        <n v="4717"/>
        <n v="13237"/>
        <n v="3755"/>
        <n v="6582"/>
        <n v="7406"/>
        <n v="4805"/>
        <n v="4262"/>
        <n v="16184"/>
        <n v="11557"/>
        <n v="1878"/>
        <n v="10932"/>
        <n v="6811"/>
        <n v="4859"/>
        <n v="5337"/>
        <n v="7491"/>
        <n v="10527"/>
        <n v="16595"/>
        <n v="8834"/>
        <n v="5577"/>
        <n v="4707"/>
        <n v="2400"/>
        <n v="6447"/>
        <n v="19502"/>
        <n v="2725"/>
        <n v="6272"/>
        <n v="2127"/>
        <n v="18200"/>
        <n v="2096"/>
        <n v="2033"/>
        <n v="3622"/>
        <n v="4233"/>
        <n v="3681"/>
        <n v="5460"/>
        <n v="2187"/>
        <n v="9602"/>
        <n v="2836"/>
        <n v="4089"/>
        <n v="16627"/>
        <n v="2619"/>
        <n v="5679"/>
        <n v="15402"/>
        <n v="5985"/>
        <n v="2579"/>
        <n v="3041"/>
        <n v="3447"/>
        <n v="19513"/>
        <n v="2773"/>
        <n v="7104"/>
        <n v="6322"/>
        <n v="2083"/>
        <n v="8381"/>
        <n v="2691"/>
        <n v="4286"/>
        <n v="2659"/>
        <n v="9434"/>
        <n v="5561"/>
        <n v="6646"/>
        <n v="7725"/>
        <n v="10725"/>
        <n v="8847"/>
        <n v="2045"/>
        <n v="1009"/>
        <n v="3348"/>
        <n v="1281"/>
        <n v="2819"/>
        <n v="4851"/>
        <n v="4028"/>
        <n v="8120"/>
        <n v="4647"/>
        <n v="4680"/>
        <n v="3221"/>
        <n v="8621"/>
        <n v="4577"/>
        <n v="4553"/>
        <n v="5396"/>
        <n v="6796"/>
        <n v="7625"/>
        <n v="7412"/>
        <n v="11159"/>
        <n v="4960"/>
        <n v="10475"/>
        <n v="14814"/>
        <n v="19141"/>
        <n v="5405"/>
        <n v="8793"/>
        <n v="19189"/>
        <n v="3875"/>
        <n v="2216"/>
        <n v="11713"/>
        <n v="7861"/>
        <n v="3708"/>
        <n v="13770"/>
        <n v="2642"/>
        <n v="2759"/>
        <n v="6142"/>
        <n v="6389"/>
        <n v="11103"/>
        <n v="2342"/>
        <n v="2297"/>
        <n v="2450"/>
        <n v="5093"/>
        <n v="5309"/>
        <n v="3057"/>
        <n v="5121"/>
        <n v="16856"/>
        <n v="2686"/>
        <n v="6180"/>
        <n v="6632"/>
        <n v="3505"/>
        <n v="6274"/>
        <n v="19859"/>
        <n v="7587"/>
        <n v="4258"/>
        <n v="4364"/>
        <n v="4335"/>
        <n v="5326"/>
        <n v="3280"/>
        <n v="5485"/>
        <n v="4342"/>
        <n v="2782"/>
        <n v="5980"/>
        <n v="4381"/>
        <n v="2572"/>
        <n v="3833"/>
        <n v="4244"/>
        <n v="6500"/>
        <n v="18430"/>
        <n v="1601"/>
        <n v="2694"/>
        <n v="3149"/>
        <n v="17639"/>
        <n v="2319"/>
        <n v="11691"/>
        <n v="5324"/>
        <n v="16752"/>
        <n v="2700"/>
        <n v="19246"/>
        <n v="2506"/>
        <n v="6062"/>
        <n v="4382"/>
        <n v="2143"/>
        <n v="5094"/>
        <n v="6877"/>
        <n v="2274"/>
        <n v="4434"/>
        <n v="6288"/>
        <n v="2553"/>
        <n v="7654"/>
        <n v="5160"/>
        <n v="17159"/>
        <n v="12808"/>
        <n v="10221"/>
        <n v="4779"/>
        <n v="3737"/>
        <n v="2366"/>
        <n v="1706"/>
        <n v="16307"/>
        <n v="5933"/>
        <n v="3424"/>
        <n v="4037"/>
        <n v="2559"/>
        <n v="6201"/>
        <n v="4403"/>
        <n v="3761"/>
        <n v="10934"/>
        <n v="10761"/>
        <n v="5175"/>
        <n v="13826"/>
        <n v="6334"/>
        <n v="4775"/>
        <n v="2818"/>
        <n v="2515"/>
        <n v="4194"/>
        <n v="10685"/>
        <n v="2022"/>
        <n v="2314"/>
        <n v="4256"/>
        <n v="3580"/>
        <n v="3162"/>
        <n v="6524"/>
        <n v="2899"/>
        <n v="5231"/>
        <n v="2356"/>
        <n v="2800"/>
        <n v="11836"/>
        <n v="10903"/>
        <n v="2973"/>
        <n v="14275"/>
        <n v="5562"/>
        <n v="4537"/>
        <n v="7642"/>
        <n v="17924"/>
        <n v="5204"/>
        <n v="2277"/>
        <n v="2795"/>
        <n v="2532"/>
        <n v="4908"/>
        <n v="2380"/>
        <n v="4765"/>
        <n v="2044"/>
        <n v="6586"/>
        <n v="3294"/>
        <n v="4171"/>
        <n v="2778"/>
        <n v="2377"/>
        <n v="2404"/>
        <n v="2318"/>
        <n v="2008"/>
        <n v="6244"/>
        <n v="2799"/>
        <n v="10552"/>
        <n v="2329"/>
        <n v="7403"/>
        <n v="2259"/>
        <n v="6932"/>
        <n v="4678"/>
        <n v="13582"/>
        <n v="2332"/>
        <n v="2413"/>
        <n v="9705"/>
        <n v="4294"/>
        <n v="4721"/>
        <n v="2519"/>
        <n v="2121"/>
        <n v="5855"/>
        <n v="3617"/>
        <n v="6725"/>
        <n v="10325"/>
        <n v="6949"/>
        <n v="4447"/>
        <n v="2157"/>
        <n v="4601"/>
        <n v="17099"/>
        <n v="2479"/>
        <n v="14852"/>
        <n v="7264"/>
        <n v="5666"/>
        <n v="7823"/>
        <n v="7880"/>
        <n v="13194"/>
        <n v="5067"/>
        <n v="5079"/>
        <n v="2321"/>
        <n v="17444"/>
        <n v="2270"/>
        <n v="17399"/>
        <n v="5488"/>
        <n v="19419"/>
        <n v="2811"/>
        <n v="3633"/>
        <n v="4163"/>
        <n v="2132"/>
        <n v="13973"/>
        <n v="2684"/>
        <n v="10845"/>
        <n v="4377"/>
        <n v="3743"/>
        <n v="4148"/>
        <n v="1051"/>
        <n v="10739"/>
        <n v="10388"/>
        <n v="11416"/>
        <n v="2600"/>
        <n v="2422"/>
        <n v="5472"/>
        <n v="4240"/>
        <n v="10999"/>
        <n v="5003"/>
        <n v="12742"/>
        <n v="4227"/>
        <n v="3917"/>
        <n v="18303"/>
        <n v="13726"/>
        <n v="4777"/>
        <n v="6385"/>
        <n v="19973"/>
        <n v="6861"/>
        <n v="4969"/>
        <n v="19845"/>
        <n v="13320"/>
        <n v="2743"/>
        <n v="10880"/>
        <n v="17650"/>
        <n v="4025"/>
        <n v="9725"/>
        <n v="11904"/>
        <n v="7525"/>
        <n v="4834"/>
        <n v="2220"/>
        <n v="1052"/>
        <n v="2821"/>
        <n v="19237"/>
        <n v="4107"/>
        <n v="8396"/>
        <n v="2007"/>
        <n v="19627"/>
        <n v="10686"/>
        <n v="8858"/>
        <n v="16756"/>
        <n v="10798"/>
        <n v="1416"/>
        <n v="4615"/>
        <n v="2461"/>
        <n v="8722"/>
        <n v="3955"/>
        <n v="9957"/>
        <n v="3376"/>
        <n v="8823"/>
        <n v="10322"/>
        <n v="4621"/>
        <n v="10976"/>
        <n v="3660"/>
        <n v="10482"/>
        <n v="7119"/>
        <n v="9582"/>
        <n v="4508"/>
        <n v="2207"/>
        <n v="7756"/>
        <n v="6694"/>
        <n v="3691"/>
        <n v="2313"/>
        <n v="17665"/>
        <n v="2596"/>
        <n v="4728"/>
        <n v="4302"/>
        <n v="2979"/>
        <n v="16885"/>
        <n v="5593"/>
        <n v="10445"/>
        <n v="8740"/>
        <n v="2514"/>
        <n v="7655"/>
        <n v="17465"/>
        <n v="7351"/>
        <n v="10820"/>
        <n v="12169"/>
        <n v="19626"/>
        <n v="6782"/>
        <n v="7779"/>
        <n v="2791"/>
        <n v="3201"/>
        <n v="4968"/>
        <n v="13120"/>
        <n v="4033"/>
        <n v="3291"/>
        <n v="4272"/>
        <n v="5056"/>
        <n v="2844"/>
        <n v="1904"/>
        <n v="8224"/>
        <n v="4766"/>
        <n v="5731"/>
        <n v="2539"/>
        <n v="5714"/>
        <n v="4323"/>
        <n v="7336"/>
        <n v="13499"/>
        <n v="13758"/>
        <n v="5155"/>
        <n v="3597"/>
        <n v="4420"/>
        <n v="6578"/>
        <n v="4422"/>
        <n v="10274"/>
        <n v="5343"/>
        <n v="2376"/>
        <n v="5346"/>
        <n v="2827"/>
        <n v="19943"/>
        <n v="3131"/>
        <n v="2552"/>
        <n v="4477"/>
        <n v="6474"/>
        <n v="3033"/>
        <n v="2936"/>
        <n v="18606"/>
        <n v="2168"/>
        <n v="2853"/>
        <n v="17048"/>
        <n v="2290"/>
        <n v="3600"/>
        <n v="2107"/>
        <n v="4115"/>
        <n v="4327"/>
        <n v="17856"/>
        <n v="3196"/>
        <n v="19081"/>
        <n v="8966"/>
        <n v="2210"/>
        <n v="4539"/>
        <n v="3491"/>
        <n v="4541"/>
        <n v="2678"/>
        <n v="7379"/>
        <n v="5220"/>
        <n v="4998"/>
        <n v="10252"/>
        <n v="2781"/>
        <n v="6852"/>
        <n v="4950"/>
        <n v="3579"/>
        <n v="13191"/>
        <n v="10377"/>
        <n v="2235"/>
        <n v="10502"/>
        <n v="2011"/>
        <n v="1859"/>
        <n v="3760"/>
        <n v="17779"/>
        <n v="6833"/>
        <n v="6812"/>
        <n v="5171"/>
        <n v="19740"/>
        <n v="18711"/>
        <n v="3692"/>
        <n v="2517"/>
        <n v="6623"/>
        <n v="18265"/>
        <n v="16124"/>
        <n v="2585"/>
        <n v="18213"/>
        <n v="8380"/>
        <n v="2994"/>
        <n v="1223"/>
        <n v="1118"/>
        <n v="2875"/>
        <n v="18824"/>
        <n v="13577"/>
        <n v="2625"/>
        <n v="18789"/>
        <n v="4538"/>
        <n v="19847"/>
        <n v="10512"/>
        <n v="4444"/>
        <n v="2154"/>
        <n v="19190"/>
        <n v="4490"/>
        <n v="3506"/>
        <n v="2372"/>
        <n v="10231"/>
        <n v="5410"/>
        <n v="7978"/>
        <n v="3867"/>
        <n v="2838"/>
        <n v="4695"/>
        <n v="3339"/>
        <n v="2080"/>
        <n v="6209"/>
        <n v="18061"/>
        <n v="17123"/>
        <n v="4883"/>
        <n v="3904"/>
        <n v="4627"/>
        <n v="7094"/>
        <n v="3423"/>
        <n v="6674"/>
        <n v="16880"/>
        <n v="9094"/>
        <n v="8446"/>
        <n v="11916"/>
        <n v="4534"/>
        <n v="9852"/>
        <n v="6151"/>
        <n v="2302"/>
        <n v="2362"/>
        <n v="19187"/>
        <n v="19717"/>
        <n v="3544"/>
        <n v="8500"/>
        <n v="4661"/>
        <n v="4103"/>
        <n v="4249"/>
        <n v="14026"/>
        <n v="6893"/>
        <n v="6125"/>
        <n v="3669"/>
        <n v="10008"/>
        <n v="2387"/>
        <n v="4639"/>
        <n v="7898"/>
        <n v="2534"/>
        <n v="13142"/>
        <n v="1611"/>
        <n v="5363"/>
        <n v="5071"/>
        <n v="13695"/>
        <n v="13402"/>
        <n v="2029"/>
        <n v="6377"/>
        <n v="5429"/>
        <n v="2785"/>
        <n v="4614"/>
        <n v="6687"/>
        <n v="4724"/>
        <n v="6179"/>
        <n v="6120"/>
        <n v="10596"/>
        <n v="5467"/>
        <n v="2996"/>
        <n v="9998"/>
        <n v="4078"/>
        <n v="10920"/>
        <n v="6232"/>
        <n v="13247"/>
        <n v="4081"/>
        <n v="5769"/>
        <n v="2394"/>
        <n v="16799"/>
        <n v="2950"/>
        <n v="3629"/>
        <n v="9362"/>
        <n v="3229"/>
        <n v="3578"/>
        <n v="7988"/>
        <n v="4284"/>
        <n v="7553"/>
        <n v="19701"/>
        <n v="14732"/>
        <n v="9278"/>
        <n v="1359"/>
        <n v="16422"/>
        <n v="1261"/>
        <n v="2099"/>
        <n v="5810"/>
        <n v="5647"/>
        <n v="3420"/>
        <n v="4400"/>
        <n v="3500"/>
        <n v="2066"/>
        <n v="17169"/>
        <n v="4162"/>
        <n v="9204"/>
        <n v="3975"/>
        <n v="10793"/>
        <n v="3646"/>
        <n v="7446"/>
        <n v="10851"/>
        <n v="2109"/>
        <n v="3722"/>
        <n v="9380"/>
        <n v="5486"/>
        <n v="2742"/>
        <n v="13757"/>
        <n v="8463"/>
        <n v="16598"/>
        <n v="6651"/>
        <n v="2345"/>
        <n v="4373"/>
        <n v="4759"/>
        <n v="5301"/>
        <n v="3673"/>
        <n v="4768"/>
        <n v="1274"/>
        <n v="4900"/>
        <n v="10466"/>
        <n v="17007"/>
        <n v="5765"/>
        <n v="4599"/>
        <n v="3172"/>
        <n v="10209"/>
        <n v="8620"/>
        <n v="2064"/>
        <n v="4035"/>
        <n v="3838"/>
        <n v="4591"/>
        <n v="2561"/>
        <n v="1563"/>
        <n v="4789"/>
        <n v="3180"/>
        <n v="6549"/>
        <n v="6388"/>
        <n v="11244"/>
        <n v="16032"/>
        <n v="16328"/>
        <n v="8376"/>
        <n v="16606"/>
        <n v="8606"/>
        <n v="2272"/>
        <n v="2018"/>
        <n v="7083"/>
        <n v="4084"/>
        <n v="14411"/>
        <n v="2308"/>
        <n v="4841"/>
        <n v="4285"/>
        <n v="9715"/>
        <n v="4320"/>
        <n v="10124"/>
        <n v="5207"/>
        <n v="16437"/>
        <n v="2296"/>
        <n v="4069"/>
        <n v="7441"/>
        <n v="2430"/>
        <n v="5878"/>
        <n v="2644"/>
        <n v="6439"/>
        <n v="6392"/>
        <n v="9714"/>
        <n v="6077"/>
        <n v="9250"/>
        <n v="2074"/>
        <n v="10169"/>
        <n v="4855"/>
        <n v="4087"/>
        <n v="2367"/>
        <n v="2972"/>
        <n v="19586"/>
        <n v="2061"/>
        <n v="9924"/>
        <n v="4198"/>
        <n v="6815"/>
        <n v="4723"/>
        <n v="8237"/>
        <n v="8853"/>
        <n v="19331"/>
        <n v="19613"/>
        <n v="5063"/>
        <n v="2690"/>
        <n v="17567"/>
        <n v="2408"/>
        <n v="2814"/>
        <n v="11245"/>
        <n v="3312"/>
        <n v="19049"/>
        <n v="2141"/>
        <n v="4385"/>
        <n v="5332"/>
        <n v="4663"/>
        <n v="3211"/>
        <n v="5377"/>
        <n v="4066"/>
        <n v="5208"/>
        <n v="4877"/>
        <n v="3117"/>
        <n v="1569"/>
        <n v="19658"/>
        <n v="3069"/>
        <n v="10435"/>
        <n v="5768"/>
        <n v="5042"/>
        <n v="5770"/>
        <n v="10306"/>
        <n v="3936"/>
        <n v="7945"/>
        <n v="5743"/>
        <n v="15202"/>
        <n v="5440"/>
        <n v="3517"/>
        <n v="2580"/>
        <n v="2166"/>
        <n v="5869"/>
        <n v="8008"/>
        <n v="5206"/>
        <n v="5295"/>
        <n v="16413"/>
        <n v="13269"/>
        <n v="2783"/>
        <n v="5433"/>
        <n v="2013"/>
        <n v="13966"/>
        <n v="4374"/>
        <n v="6842"/>
        <n v="17426"/>
        <n v="17603"/>
        <n v="4581"/>
        <n v="4735"/>
        <n v="4187"/>
        <n v="5505"/>
        <n v="5470"/>
        <n v="5476"/>
        <n v="2587"/>
        <n v="2440"/>
        <n v="15972"/>
        <n v="15379"/>
        <n v="7082"/>
        <n v="2728"/>
        <n v="5368"/>
        <n v="5347"/>
        <n v="3195"/>
        <n v="3989"/>
        <n v="3306"/>
        <n v="7005"/>
        <n v="2655"/>
        <n v="1393"/>
        <n v="2570"/>
        <n v="3537"/>
        <n v="3986"/>
        <n v="10883"/>
        <n v="9525"/>
        <n v="2929"/>
        <n v="2275"/>
        <n v="7879"/>
        <n v="4930"/>
        <n v="7847"/>
        <n v="4401"/>
        <n v="9241"/>
        <n v="2974"/>
        <n v="4502"/>
        <n v="10748"/>
        <n v="1555"/>
        <n v="12936"/>
        <n v="2305"/>
        <n v="16704"/>
        <n v="3433"/>
        <n v="3477"/>
        <n v="6430"/>
        <n v="6516"/>
        <n v="3907"/>
        <n v="6883"/>
        <n v="2862"/>
        <n v="4978"/>
        <n v="10368"/>
        <n v="6134"/>
        <n v="6735"/>
        <n v="3295"/>
        <n v="6472"/>
        <n v="9610"/>
        <n v="19833"/>
        <n v="9756"/>
        <n v="2145"/>
        <n v="2180"/>
        <n v="8346"/>
        <n v="3445"/>
        <n v="2760"/>
        <n v="6294"/>
        <n v="7140"/>
        <n v="2932"/>
        <n v="5147"/>
        <n v="4507"/>
        <n v="8564"/>
        <n v="2468"/>
        <n v="8161"/>
        <n v="5294"/>
        <n v="2718"/>
        <n v="5811"/>
        <n v="2437"/>
        <n v="2766"/>
        <n v="19038"/>
        <n v="3055"/>
        <n v="2289"/>
        <n v="4001"/>
        <n v="12965"/>
        <n v="3539"/>
        <n v="6029"/>
        <n v="2679"/>
        <n v="3702"/>
        <n v="2398"/>
        <n v="5468"/>
        <n v="13116"/>
        <n v="4189"/>
        <n v="19328"/>
        <n v="8321"/>
        <n v="4071"/>
        <n v="5813"/>
        <n v="3143"/>
        <n v="13464"/>
        <n v="7991"/>
        <n v="3377"/>
        <n v="5538"/>
        <n v="5762"/>
        <n v="2592"/>
        <n v="4213"/>
        <n v="4127"/>
        <n v="2438"/>
        <n v="6870"/>
        <n v="10447"/>
        <n v="9667"/>
        <n v="2148"/>
        <n v="8926"/>
        <n v="6513"/>
        <n v="6799"/>
        <n v="16291"/>
        <n v="2705"/>
        <n v="10333"/>
        <n v="4448"/>
        <n v="6854"/>
        <n v="9637"/>
        <n v="3591"/>
        <n v="4684"/>
        <n v="15787"/>
        <n v="1514"/>
        <n v="2335"/>
        <n v="5154"/>
        <n v="6962"/>
        <n v="5675"/>
        <n v="2379"/>
        <n v="3812"/>
        <n v="4648"/>
        <n v="2105"/>
        <n v="8578"/>
        <n v="2706"/>
        <n v="6384"/>
        <n v="3968"/>
        <n v="9907"/>
        <n v="13225"/>
        <n v="3540"/>
        <n v="2804"/>
        <n v="19392"/>
        <n v="19665"/>
        <n v="2439"/>
        <n v="7314"/>
        <n v="4774"/>
        <n v="3902"/>
        <n v="2662"/>
        <n v="2856"/>
        <n v="1081"/>
        <n v="2472"/>
        <n v="5673"/>
        <n v="9713"/>
        <n v="2062"/>
        <n v="4788"/>
        <n v="5906"/>
        <n v="3886"/>
        <n v="16823"/>
        <n v="2933"/>
        <n v="17174"/>
        <n v="5033"/>
        <n v="2307"/>
        <n v="5507"/>
        <n v="4393"/>
        <n v="13348"/>
        <n v="6583"/>
        <n v="8103"/>
        <n v="3978"/>
        <n v="2544"/>
        <n v="5399"/>
        <n v="5487"/>
        <n v="6834"/>
        <n v="1091"/>
        <n v="5736"/>
        <n v="2226"/>
        <n v="5747"/>
        <n v="9854"/>
        <n v="5380"/>
        <n v="5151"/>
        <n v="2133"/>
        <n v="17875"/>
        <n v="2432"/>
        <n v="4771"/>
        <n v="19161"/>
        <n v="5087"/>
        <n v="2863"/>
        <n v="2144"/>
        <n v="3065"/>
        <n v="2810"/>
        <n v="9888"/>
        <n v="8628"/>
        <n v="2867"/>
        <n v="5373"/>
        <n v="6667"/>
        <n v="2858"/>
        <n v="4105"/>
        <n v="9679"/>
        <n v="5617"/>
        <n v="10448"/>
        <n v="2897"/>
        <n v="5968"/>
        <n v="7510"/>
        <n v="2991"/>
        <n v="19636"/>
        <n v="1129"/>
        <n v="13341"/>
        <n v="4332"/>
        <n v="11031"/>
        <n v="4440"/>
        <n v="4617"/>
        <n v="2647"/>
        <n v="6323"/>
        <n v="5677"/>
        <n v="3748"/>
        <n v="3977"/>
        <n v="8633"/>
        <n v="3067"/>
        <n v="5321"/>
        <n v="11957"/>
        <n v="2660"/>
        <n v="3375"/>
        <n v="5098"/>
        <n v="4878"/>
        <n v="2837"/>
        <n v="4108"/>
        <n v="13206"/>
        <n v="10422"/>
        <n v="13744"/>
        <n v="3482"/>
        <n v="19431"/>
        <n v="1790"/>
        <n v="7644"/>
        <n v="5131"/>
        <n v="6306"/>
        <n v="4787"/>
        <n v="18880"/>
        <n v="2339"/>
        <n v="13570"/>
        <n v="6712"/>
        <n v="5406"/>
        <n v="8938"/>
        <n v="8837"/>
        <n v="6728"/>
        <n v="6652"/>
        <n v="4850"/>
        <n v="2809"/>
        <n v="5689"/>
        <n v="2001"/>
        <n v="2977"/>
        <n v="3785"/>
        <n v="10854"/>
        <n v="12031"/>
        <n v="9936"/>
        <n v="2966"/>
        <n v="2571"/>
        <n v="9991"/>
        <n v="5390"/>
        <n v="4404"/>
      </sharedItems>
      <fieldGroup base="19">
        <rangePr startNum="1009" endNum="19999" groupInterval="4000"/>
        <groupItems count="7">
          <s v="&lt;1009"/>
          <s v="1009-5008"/>
          <s v="5009-9008"/>
          <s v="9009-13008"/>
          <s v="13009-17008"/>
          <s v="17009-21008"/>
          <s v="&gt;21009"/>
        </groupItems>
      </fieldGroup>
    </cacheField>
    <cacheField name="MonthlyRate" numFmtId="164">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ount="2">
        <s v="Yes"/>
        <s v="No"/>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842179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x v="0"/>
    <x v="0"/>
    <n v="1"/>
    <x v="0"/>
    <n v="1102"/>
    <x v="0"/>
    <x v="0"/>
    <n v="2"/>
    <x v="0"/>
    <x v="0"/>
    <n v="2"/>
    <x v="0"/>
    <n v="94"/>
    <x v="0"/>
    <n v="2"/>
    <x v="0"/>
    <n v="4"/>
    <x v="0"/>
    <x v="0"/>
    <n v="19479"/>
    <n v="8"/>
    <s v="Y"/>
    <x v="0"/>
    <n v="11"/>
    <n v="3"/>
    <n v="1"/>
    <n v="80"/>
    <n v="0"/>
    <n v="8"/>
    <n v="0"/>
    <n v="1"/>
    <n v="6"/>
    <n v="4"/>
    <n v="0"/>
    <n v="5"/>
  </r>
  <r>
    <n v="49"/>
    <x v="1"/>
    <x v="1"/>
    <n v="0"/>
    <x v="1"/>
    <n v="279"/>
    <x v="1"/>
    <x v="1"/>
    <n v="1"/>
    <x v="1"/>
    <x v="0"/>
    <n v="3"/>
    <x v="1"/>
    <n v="61"/>
    <x v="1"/>
    <n v="2"/>
    <x v="1"/>
    <n v="2"/>
    <x v="1"/>
    <x v="1"/>
    <n v="24907"/>
    <n v="1"/>
    <s v="Y"/>
    <x v="1"/>
    <n v="23"/>
    <n v="4"/>
    <n v="4"/>
    <n v="80"/>
    <n v="1"/>
    <n v="10"/>
    <n v="3"/>
    <n v="3"/>
    <n v="10"/>
    <n v="7"/>
    <n v="1"/>
    <n v="7"/>
  </r>
  <r>
    <n v="37"/>
    <x v="0"/>
    <x v="0"/>
    <n v="1"/>
    <x v="0"/>
    <n v="1373"/>
    <x v="1"/>
    <x v="2"/>
    <n v="2"/>
    <x v="0"/>
    <x v="1"/>
    <n v="4"/>
    <x v="1"/>
    <n v="92"/>
    <x v="1"/>
    <n v="1"/>
    <x v="2"/>
    <n v="3"/>
    <x v="0"/>
    <x v="2"/>
    <n v="2396"/>
    <n v="6"/>
    <s v="Y"/>
    <x v="0"/>
    <n v="15"/>
    <n v="3"/>
    <n v="2"/>
    <n v="80"/>
    <n v="0"/>
    <n v="7"/>
    <n v="3"/>
    <n v="3"/>
    <n v="0"/>
    <n v="0"/>
    <n v="0"/>
    <n v="0"/>
  </r>
  <r>
    <n v="33"/>
    <x v="2"/>
    <x v="1"/>
    <n v="0"/>
    <x v="1"/>
    <n v="1392"/>
    <x v="1"/>
    <x v="3"/>
    <n v="4"/>
    <x v="2"/>
    <x v="0"/>
    <n v="4"/>
    <x v="0"/>
    <n v="56"/>
    <x v="0"/>
    <n v="1"/>
    <x v="1"/>
    <n v="3"/>
    <x v="1"/>
    <x v="3"/>
    <n v="23159"/>
    <n v="1"/>
    <s v="Y"/>
    <x v="0"/>
    <n v="11"/>
    <n v="3"/>
    <n v="3"/>
    <n v="80"/>
    <n v="0"/>
    <n v="8"/>
    <n v="3"/>
    <n v="3"/>
    <n v="8"/>
    <n v="7"/>
    <n v="3"/>
    <n v="0"/>
  </r>
  <r>
    <n v="27"/>
    <x v="2"/>
    <x v="1"/>
    <n v="0"/>
    <x v="0"/>
    <n v="591"/>
    <x v="1"/>
    <x v="2"/>
    <n v="1"/>
    <x v="1"/>
    <x v="2"/>
    <n v="1"/>
    <x v="1"/>
    <n v="40"/>
    <x v="0"/>
    <n v="1"/>
    <x v="2"/>
    <n v="2"/>
    <x v="1"/>
    <x v="4"/>
    <n v="16632"/>
    <n v="9"/>
    <s v="Y"/>
    <x v="1"/>
    <n v="12"/>
    <n v="3"/>
    <n v="4"/>
    <n v="80"/>
    <n v="1"/>
    <n v="6"/>
    <n v="3"/>
    <n v="3"/>
    <n v="2"/>
    <n v="2"/>
    <n v="2"/>
    <n v="2"/>
  </r>
  <r>
    <n v="32"/>
    <x v="2"/>
    <x v="1"/>
    <n v="0"/>
    <x v="1"/>
    <n v="1005"/>
    <x v="1"/>
    <x v="2"/>
    <n v="2"/>
    <x v="0"/>
    <x v="0"/>
    <n v="4"/>
    <x v="1"/>
    <n v="79"/>
    <x v="0"/>
    <n v="1"/>
    <x v="2"/>
    <n v="4"/>
    <x v="0"/>
    <x v="5"/>
    <n v="11864"/>
    <n v="0"/>
    <s v="Y"/>
    <x v="1"/>
    <n v="13"/>
    <n v="3"/>
    <n v="3"/>
    <n v="80"/>
    <n v="0"/>
    <n v="8"/>
    <n v="2"/>
    <n v="2"/>
    <n v="7"/>
    <n v="7"/>
    <n v="3"/>
    <n v="6"/>
  </r>
  <r>
    <n v="59"/>
    <x v="3"/>
    <x v="1"/>
    <n v="0"/>
    <x v="0"/>
    <n v="1324"/>
    <x v="1"/>
    <x v="3"/>
    <n v="3"/>
    <x v="3"/>
    <x v="2"/>
    <n v="3"/>
    <x v="0"/>
    <n v="81"/>
    <x v="2"/>
    <n v="1"/>
    <x v="2"/>
    <n v="1"/>
    <x v="1"/>
    <x v="6"/>
    <n v="9964"/>
    <n v="4"/>
    <s v="Y"/>
    <x v="0"/>
    <n v="20"/>
    <n v="4"/>
    <n v="1"/>
    <n v="80"/>
    <n v="3"/>
    <n v="12"/>
    <n v="3"/>
    <n v="2"/>
    <n v="1"/>
    <n v="0"/>
    <n v="0"/>
    <n v="0"/>
  </r>
  <r>
    <n v="30"/>
    <x v="2"/>
    <x v="1"/>
    <n v="0"/>
    <x v="0"/>
    <n v="1358"/>
    <x v="1"/>
    <x v="4"/>
    <n v="1"/>
    <x v="1"/>
    <x v="0"/>
    <n v="4"/>
    <x v="1"/>
    <n v="67"/>
    <x v="0"/>
    <n v="1"/>
    <x v="2"/>
    <n v="3"/>
    <x v="2"/>
    <x v="7"/>
    <n v="13335"/>
    <n v="1"/>
    <s v="Y"/>
    <x v="1"/>
    <n v="22"/>
    <n v="4"/>
    <n v="2"/>
    <n v="80"/>
    <n v="1"/>
    <n v="1"/>
    <n v="2"/>
    <n v="3"/>
    <n v="1"/>
    <n v="0"/>
    <n v="0"/>
    <n v="0"/>
  </r>
  <r>
    <n v="38"/>
    <x v="0"/>
    <x v="1"/>
    <n v="0"/>
    <x v="1"/>
    <n v="216"/>
    <x v="1"/>
    <x v="5"/>
    <n v="3"/>
    <x v="3"/>
    <x v="0"/>
    <n v="4"/>
    <x v="1"/>
    <n v="44"/>
    <x v="1"/>
    <n v="3"/>
    <x v="3"/>
    <n v="3"/>
    <x v="0"/>
    <x v="8"/>
    <n v="8787"/>
    <n v="0"/>
    <s v="Y"/>
    <x v="1"/>
    <n v="21"/>
    <n v="4"/>
    <n v="2"/>
    <n v="80"/>
    <n v="0"/>
    <n v="10"/>
    <n v="2"/>
    <n v="3"/>
    <n v="9"/>
    <n v="7"/>
    <n v="1"/>
    <n v="8"/>
  </r>
  <r>
    <n v="36"/>
    <x v="0"/>
    <x v="1"/>
    <n v="0"/>
    <x v="0"/>
    <n v="1299"/>
    <x v="1"/>
    <x v="6"/>
    <n v="3"/>
    <x v="3"/>
    <x v="2"/>
    <n v="3"/>
    <x v="1"/>
    <n v="94"/>
    <x v="0"/>
    <n v="2"/>
    <x v="4"/>
    <n v="3"/>
    <x v="1"/>
    <x v="9"/>
    <n v="16577"/>
    <n v="6"/>
    <s v="Y"/>
    <x v="1"/>
    <n v="13"/>
    <n v="3"/>
    <n v="2"/>
    <n v="80"/>
    <n v="2"/>
    <n v="17"/>
    <n v="3"/>
    <n v="2"/>
    <n v="7"/>
    <n v="7"/>
    <n v="7"/>
    <n v="7"/>
  </r>
  <r>
    <n v="35"/>
    <x v="0"/>
    <x v="1"/>
    <n v="0"/>
    <x v="0"/>
    <n v="809"/>
    <x v="1"/>
    <x v="7"/>
    <n v="3"/>
    <x v="3"/>
    <x v="2"/>
    <n v="1"/>
    <x v="1"/>
    <n v="84"/>
    <x v="2"/>
    <n v="1"/>
    <x v="2"/>
    <n v="2"/>
    <x v="1"/>
    <x v="10"/>
    <n v="16479"/>
    <n v="0"/>
    <s v="Y"/>
    <x v="1"/>
    <n v="13"/>
    <n v="3"/>
    <n v="3"/>
    <n v="80"/>
    <n v="1"/>
    <n v="6"/>
    <n v="5"/>
    <n v="3"/>
    <n v="5"/>
    <n v="4"/>
    <n v="0"/>
    <n v="3"/>
  </r>
  <r>
    <n v="29"/>
    <x v="2"/>
    <x v="1"/>
    <n v="0"/>
    <x v="0"/>
    <n v="153"/>
    <x v="1"/>
    <x v="8"/>
    <n v="2"/>
    <x v="0"/>
    <x v="0"/>
    <n v="4"/>
    <x v="0"/>
    <n v="49"/>
    <x v="1"/>
    <n v="2"/>
    <x v="2"/>
    <n v="3"/>
    <x v="0"/>
    <x v="11"/>
    <n v="12682"/>
    <n v="0"/>
    <s v="Y"/>
    <x v="0"/>
    <n v="12"/>
    <n v="3"/>
    <n v="4"/>
    <n v="80"/>
    <n v="0"/>
    <n v="10"/>
    <n v="3"/>
    <n v="3"/>
    <n v="9"/>
    <n v="5"/>
    <n v="0"/>
    <n v="8"/>
  </r>
  <r>
    <n v="31"/>
    <x v="2"/>
    <x v="1"/>
    <n v="0"/>
    <x v="0"/>
    <n v="670"/>
    <x v="1"/>
    <x v="9"/>
    <n v="1"/>
    <x v="1"/>
    <x v="0"/>
    <n v="1"/>
    <x v="1"/>
    <n v="31"/>
    <x v="0"/>
    <n v="1"/>
    <x v="1"/>
    <n v="3"/>
    <x v="2"/>
    <x v="12"/>
    <n v="15170"/>
    <n v="1"/>
    <s v="Y"/>
    <x v="1"/>
    <n v="17"/>
    <n v="3"/>
    <n v="4"/>
    <n v="80"/>
    <n v="1"/>
    <n v="5"/>
    <n v="1"/>
    <n v="2"/>
    <n v="5"/>
    <n v="2"/>
    <n v="4"/>
    <n v="3"/>
  </r>
  <r>
    <n v="34"/>
    <x v="2"/>
    <x v="1"/>
    <n v="0"/>
    <x v="0"/>
    <n v="1346"/>
    <x v="1"/>
    <x v="10"/>
    <n v="2"/>
    <x v="0"/>
    <x v="2"/>
    <n v="2"/>
    <x v="1"/>
    <n v="93"/>
    <x v="0"/>
    <n v="1"/>
    <x v="2"/>
    <n v="4"/>
    <x v="2"/>
    <x v="13"/>
    <n v="8758"/>
    <n v="0"/>
    <s v="Y"/>
    <x v="1"/>
    <n v="11"/>
    <n v="3"/>
    <n v="3"/>
    <n v="80"/>
    <n v="1"/>
    <n v="3"/>
    <n v="2"/>
    <n v="3"/>
    <n v="2"/>
    <n v="2"/>
    <n v="1"/>
    <n v="2"/>
  </r>
  <r>
    <n v="28"/>
    <x v="2"/>
    <x v="0"/>
    <n v="1"/>
    <x v="0"/>
    <n v="103"/>
    <x v="1"/>
    <x v="4"/>
    <n v="3"/>
    <x v="3"/>
    <x v="0"/>
    <n v="3"/>
    <x v="1"/>
    <n v="50"/>
    <x v="1"/>
    <n v="1"/>
    <x v="2"/>
    <n v="3"/>
    <x v="0"/>
    <x v="14"/>
    <n v="12947"/>
    <n v="5"/>
    <s v="Y"/>
    <x v="0"/>
    <n v="14"/>
    <n v="3"/>
    <n v="2"/>
    <n v="80"/>
    <n v="0"/>
    <n v="6"/>
    <n v="4"/>
    <n v="3"/>
    <n v="4"/>
    <n v="2"/>
    <n v="0"/>
    <n v="3"/>
  </r>
  <r>
    <n v="29"/>
    <x v="2"/>
    <x v="1"/>
    <n v="0"/>
    <x v="0"/>
    <n v="1389"/>
    <x v="1"/>
    <x v="11"/>
    <n v="4"/>
    <x v="2"/>
    <x v="0"/>
    <n v="2"/>
    <x v="0"/>
    <n v="51"/>
    <x v="2"/>
    <n v="3"/>
    <x v="3"/>
    <n v="1"/>
    <x v="2"/>
    <x v="15"/>
    <n v="10195"/>
    <n v="1"/>
    <s v="Y"/>
    <x v="1"/>
    <n v="11"/>
    <n v="3"/>
    <n v="3"/>
    <n v="80"/>
    <n v="1"/>
    <n v="10"/>
    <n v="1"/>
    <n v="3"/>
    <n v="10"/>
    <n v="9"/>
    <n v="8"/>
    <n v="8"/>
  </r>
  <r>
    <n v="32"/>
    <x v="2"/>
    <x v="1"/>
    <n v="0"/>
    <x v="0"/>
    <n v="334"/>
    <x v="1"/>
    <x v="12"/>
    <n v="2"/>
    <x v="0"/>
    <x v="0"/>
    <n v="1"/>
    <x v="1"/>
    <n v="80"/>
    <x v="2"/>
    <n v="1"/>
    <x v="1"/>
    <n v="2"/>
    <x v="2"/>
    <x v="16"/>
    <n v="15053"/>
    <n v="0"/>
    <s v="Y"/>
    <x v="0"/>
    <n v="12"/>
    <n v="3"/>
    <n v="4"/>
    <n v="80"/>
    <n v="2"/>
    <n v="7"/>
    <n v="5"/>
    <n v="2"/>
    <n v="6"/>
    <n v="2"/>
    <n v="0"/>
    <n v="5"/>
  </r>
  <r>
    <n v="22"/>
    <x v="4"/>
    <x v="1"/>
    <n v="0"/>
    <x v="2"/>
    <n v="1123"/>
    <x v="1"/>
    <x v="7"/>
    <n v="2"/>
    <x v="0"/>
    <x v="2"/>
    <n v="4"/>
    <x v="1"/>
    <n v="96"/>
    <x v="2"/>
    <n v="1"/>
    <x v="2"/>
    <n v="4"/>
    <x v="2"/>
    <x v="17"/>
    <n v="7324"/>
    <n v="1"/>
    <s v="Y"/>
    <x v="0"/>
    <n v="13"/>
    <n v="3"/>
    <n v="2"/>
    <n v="80"/>
    <n v="2"/>
    <n v="1"/>
    <n v="2"/>
    <n v="2"/>
    <n v="1"/>
    <n v="0"/>
    <n v="0"/>
    <n v="0"/>
  </r>
  <r>
    <n v="53"/>
    <x v="1"/>
    <x v="1"/>
    <n v="0"/>
    <x v="0"/>
    <n v="1219"/>
    <x v="0"/>
    <x v="2"/>
    <n v="4"/>
    <x v="2"/>
    <x v="0"/>
    <n v="1"/>
    <x v="0"/>
    <n v="78"/>
    <x v="1"/>
    <n v="4"/>
    <x v="5"/>
    <n v="4"/>
    <x v="1"/>
    <x v="18"/>
    <n v="22021"/>
    <n v="2"/>
    <s v="Y"/>
    <x v="1"/>
    <n v="16"/>
    <n v="3"/>
    <n v="3"/>
    <n v="80"/>
    <n v="0"/>
    <n v="31"/>
    <n v="3"/>
    <n v="3"/>
    <n v="25"/>
    <n v="8"/>
    <n v="3"/>
    <n v="7"/>
  </r>
  <r>
    <n v="38"/>
    <x v="0"/>
    <x v="1"/>
    <n v="0"/>
    <x v="0"/>
    <n v="371"/>
    <x v="1"/>
    <x v="2"/>
    <n v="3"/>
    <x v="3"/>
    <x v="0"/>
    <n v="4"/>
    <x v="1"/>
    <n v="45"/>
    <x v="0"/>
    <n v="1"/>
    <x v="1"/>
    <n v="4"/>
    <x v="0"/>
    <x v="19"/>
    <n v="4306"/>
    <n v="5"/>
    <s v="Y"/>
    <x v="0"/>
    <n v="11"/>
    <n v="3"/>
    <n v="3"/>
    <n v="80"/>
    <n v="0"/>
    <n v="6"/>
    <n v="3"/>
    <n v="3"/>
    <n v="3"/>
    <n v="2"/>
    <n v="1"/>
    <n v="2"/>
  </r>
  <r>
    <n v="24"/>
    <x v="4"/>
    <x v="1"/>
    <n v="0"/>
    <x v="2"/>
    <n v="673"/>
    <x v="1"/>
    <x v="13"/>
    <n v="2"/>
    <x v="0"/>
    <x v="1"/>
    <n v="1"/>
    <x v="0"/>
    <n v="96"/>
    <x v="2"/>
    <n v="2"/>
    <x v="3"/>
    <n v="3"/>
    <x v="2"/>
    <x v="20"/>
    <n v="8232"/>
    <n v="0"/>
    <s v="Y"/>
    <x v="1"/>
    <n v="18"/>
    <n v="3"/>
    <n v="4"/>
    <n v="80"/>
    <n v="1"/>
    <n v="5"/>
    <n v="5"/>
    <n v="2"/>
    <n v="4"/>
    <n v="2"/>
    <n v="1"/>
    <n v="3"/>
  </r>
  <r>
    <n v="36"/>
    <x v="0"/>
    <x v="0"/>
    <n v="1"/>
    <x v="0"/>
    <n v="1218"/>
    <x v="0"/>
    <x v="14"/>
    <n v="4"/>
    <x v="2"/>
    <x v="0"/>
    <n v="3"/>
    <x v="1"/>
    <n v="82"/>
    <x v="1"/>
    <n v="1"/>
    <x v="6"/>
    <n v="1"/>
    <x v="0"/>
    <x v="21"/>
    <n v="6986"/>
    <n v="7"/>
    <s v="Y"/>
    <x v="1"/>
    <n v="23"/>
    <n v="4"/>
    <n v="2"/>
    <n v="80"/>
    <n v="0"/>
    <n v="10"/>
    <n v="4"/>
    <n v="3"/>
    <n v="5"/>
    <n v="3"/>
    <n v="0"/>
    <n v="3"/>
  </r>
  <r>
    <n v="34"/>
    <x v="2"/>
    <x v="1"/>
    <n v="0"/>
    <x v="0"/>
    <n v="419"/>
    <x v="1"/>
    <x v="15"/>
    <n v="4"/>
    <x v="2"/>
    <x v="0"/>
    <n v="1"/>
    <x v="0"/>
    <n v="53"/>
    <x v="0"/>
    <n v="3"/>
    <x v="7"/>
    <n v="2"/>
    <x v="0"/>
    <x v="22"/>
    <n v="21293"/>
    <n v="0"/>
    <s v="Y"/>
    <x v="1"/>
    <n v="11"/>
    <n v="3"/>
    <n v="3"/>
    <n v="80"/>
    <n v="0"/>
    <n v="13"/>
    <n v="4"/>
    <n v="3"/>
    <n v="12"/>
    <n v="6"/>
    <n v="2"/>
    <n v="11"/>
  </r>
  <r>
    <n v="21"/>
    <x v="4"/>
    <x v="1"/>
    <n v="0"/>
    <x v="0"/>
    <n v="391"/>
    <x v="1"/>
    <x v="8"/>
    <n v="2"/>
    <x v="0"/>
    <x v="0"/>
    <n v="3"/>
    <x v="1"/>
    <n v="96"/>
    <x v="0"/>
    <n v="1"/>
    <x v="1"/>
    <n v="4"/>
    <x v="0"/>
    <x v="23"/>
    <n v="19281"/>
    <n v="1"/>
    <s v="Y"/>
    <x v="1"/>
    <n v="14"/>
    <n v="3"/>
    <n v="4"/>
    <n v="80"/>
    <n v="0"/>
    <n v="0"/>
    <n v="6"/>
    <n v="3"/>
    <n v="0"/>
    <n v="0"/>
    <n v="0"/>
    <n v="0"/>
  </r>
  <r>
    <n v="34"/>
    <x v="2"/>
    <x v="0"/>
    <n v="1"/>
    <x v="0"/>
    <n v="699"/>
    <x v="1"/>
    <x v="16"/>
    <n v="1"/>
    <x v="1"/>
    <x v="2"/>
    <n v="2"/>
    <x v="1"/>
    <n v="83"/>
    <x v="0"/>
    <n v="1"/>
    <x v="1"/>
    <n v="1"/>
    <x v="0"/>
    <x v="24"/>
    <n v="17102"/>
    <n v="2"/>
    <s v="Y"/>
    <x v="1"/>
    <n v="11"/>
    <n v="3"/>
    <n v="3"/>
    <n v="80"/>
    <n v="0"/>
    <n v="8"/>
    <n v="2"/>
    <n v="3"/>
    <n v="4"/>
    <n v="2"/>
    <n v="1"/>
    <n v="3"/>
  </r>
  <r>
    <n v="53"/>
    <x v="1"/>
    <x v="1"/>
    <n v="0"/>
    <x v="0"/>
    <n v="1282"/>
    <x v="1"/>
    <x v="12"/>
    <n v="3"/>
    <x v="3"/>
    <x v="1"/>
    <n v="3"/>
    <x v="0"/>
    <n v="58"/>
    <x v="0"/>
    <n v="5"/>
    <x v="5"/>
    <n v="3"/>
    <x v="2"/>
    <x v="25"/>
    <n v="10735"/>
    <n v="4"/>
    <s v="Y"/>
    <x v="1"/>
    <n v="11"/>
    <n v="3"/>
    <n v="4"/>
    <n v="80"/>
    <n v="1"/>
    <n v="26"/>
    <n v="3"/>
    <n v="2"/>
    <n v="14"/>
    <n v="13"/>
    <n v="4"/>
    <n v="8"/>
  </r>
  <r>
    <n v="32"/>
    <x v="2"/>
    <x v="0"/>
    <n v="1"/>
    <x v="1"/>
    <n v="1125"/>
    <x v="1"/>
    <x v="7"/>
    <n v="1"/>
    <x v="1"/>
    <x v="0"/>
    <n v="2"/>
    <x v="0"/>
    <n v="72"/>
    <x v="3"/>
    <n v="1"/>
    <x v="1"/>
    <n v="1"/>
    <x v="0"/>
    <x v="26"/>
    <n v="4681"/>
    <n v="1"/>
    <s v="Y"/>
    <x v="0"/>
    <n v="22"/>
    <n v="4"/>
    <n v="2"/>
    <n v="80"/>
    <n v="0"/>
    <n v="10"/>
    <n v="5"/>
    <n v="3"/>
    <n v="10"/>
    <n v="2"/>
    <n v="6"/>
    <n v="7"/>
  </r>
  <r>
    <n v="42"/>
    <x v="0"/>
    <x v="1"/>
    <n v="0"/>
    <x v="0"/>
    <n v="691"/>
    <x v="0"/>
    <x v="1"/>
    <n v="4"/>
    <x v="2"/>
    <x v="3"/>
    <n v="3"/>
    <x v="1"/>
    <n v="48"/>
    <x v="0"/>
    <n v="2"/>
    <x v="0"/>
    <n v="2"/>
    <x v="1"/>
    <x v="27"/>
    <n v="21173"/>
    <n v="0"/>
    <s v="Y"/>
    <x v="1"/>
    <n v="11"/>
    <n v="3"/>
    <n v="4"/>
    <n v="80"/>
    <n v="1"/>
    <n v="10"/>
    <n v="2"/>
    <n v="3"/>
    <n v="9"/>
    <n v="7"/>
    <n v="4"/>
    <n v="2"/>
  </r>
  <r>
    <n v="44"/>
    <x v="0"/>
    <x v="1"/>
    <n v="0"/>
    <x v="0"/>
    <n v="477"/>
    <x v="1"/>
    <x v="15"/>
    <n v="4"/>
    <x v="2"/>
    <x v="2"/>
    <n v="1"/>
    <x v="0"/>
    <n v="42"/>
    <x v="1"/>
    <n v="3"/>
    <x v="4"/>
    <n v="4"/>
    <x v="1"/>
    <x v="28"/>
    <n v="2094"/>
    <n v="3"/>
    <s v="Y"/>
    <x v="1"/>
    <n v="14"/>
    <n v="3"/>
    <n v="4"/>
    <n v="80"/>
    <n v="1"/>
    <n v="24"/>
    <n v="4"/>
    <n v="3"/>
    <n v="22"/>
    <n v="6"/>
    <n v="5"/>
    <n v="17"/>
  </r>
  <r>
    <n v="46"/>
    <x v="1"/>
    <x v="1"/>
    <n v="0"/>
    <x v="0"/>
    <n v="705"/>
    <x v="0"/>
    <x v="2"/>
    <n v="4"/>
    <x v="2"/>
    <x v="3"/>
    <n v="2"/>
    <x v="0"/>
    <n v="83"/>
    <x v="0"/>
    <n v="5"/>
    <x v="5"/>
    <n v="1"/>
    <x v="0"/>
    <x v="29"/>
    <n v="22822"/>
    <n v="3"/>
    <s v="Y"/>
    <x v="1"/>
    <n v="12"/>
    <n v="3"/>
    <n v="4"/>
    <n v="80"/>
    <n v="0"/>
    <n v="22"/>
    <n v="2"/>
    <n v="2"/>
    <n v="2"/>
    <n v="2"/>
    <n v="2"/>
    <n v="1"/>
  </r>
  <r>
    <n v="33"/>
    <x v="2"/>
    <x v="1"/>
    <n v="0"/>
    <x v="0"/>
    <n v="924"/>
    <x v="1"/>
    <x v="2"/>
    <n v="3"/>
    <x v="3"/>
    <x v="2"/>
    <n v="3"/>
    <x v="1"/>
    <n v="78"/>
    <x v="0"/>
    <n v="1"/>
    <x v="2"/>
    <n v="4"/>
    <x v="0"/>
    <x v="30"/>
    <n v="6670"/>
    <n v="4"/>
    <s v="Y"/>
    <x v="1"/>
    <n v="11"/>
    <n v="3"/>
    <n v="4"/>
    <n v="80"/>
    <n v="0"/>
    <n v="7"/>
    <n v="3"/>
    <n v="3"/>
    <n v="1"/>
    <n v="1"/>
    <n v="0"/>
    <n v="0"/>
  </r>
  <r>
    <n v="44"/>
    <x v="0"/>
    <x v="1"/>
    <n v="0"/>
    <x v="0"/>
    <n v="1459"/>
    <x v="1"/>
    <x v="17"/>
    <n v="4"/>
    <x v="2"/>
    <x v="1"/>
    <n v="4"/>
    <x v="1"/>
    <n v="41"/>
    <x v="0"/>
    <n v="2"/>
    <x v="4"/>
    <n v="4"/>
    <x v="1"/>
    <x v="31"/>
    <n v="19121"/>
    <n v="2"/>
    <s v="Y"/>
    <x v="0"/>
    <n v="13"/>
    <n v="3"/>
    <n v="4"/>
    <n v="80"/>
    <n v="0"/>
    <n v="9"/>
    <n v="5"/>
    <n v="4"/>
    <n v="4"/>
    <n v="2"/>
    <n v="1"/>
    <n v="3"/>
  </r>
  <r>
    <n v="30"/>
    <x v="2"/>
    <x v="1"/>
    <n v="0"/>
    <x v="0"/>
    <n v="125"/>
    <x v="1"/>
    <x v="14"/>
    <n v="2"/>
    <x v="0"/>
    <x v="2"/>
    <n v="4"/>
    <x v="1"/>
    <n v="83"/>
    <x v="1"/>
    <n v="1"/>
    <x v="2"/>
    <n v="3"/>
    <x v="0"/>
    <x v="32"/>
    <n v="16117"/>
    <n v="1"/>
    <s v="Y"/>
    <x v="1"/>
    <n v="13"/>
    <n v="3"/>
    <n v="1"/>
    <n v="80"/>
    <n v="0"/>
    <n v="10"/>
    <n v="5"/>
    <n v="3"/>
    <n v="10"/>
    <n v="0"/>
    <n v="1"/>
    <n v="8"/>
  </r>
  <r>
    <n v="39"/>
    <x v="0"/>
    <x v="0"/>
    <n v="1"/>
    <x v="0"/>
    <n v="895"/>
    <x v="0"/>
    <x v="12"/>
    <n v="3"/>
    <x v="3"/>
    <x v="4"/>
    <n v="4"/>
    <x v="1"/>
    <n v="56"/>
    <x v="0"/>
    <n v="2"/>
    <x v="6"/>
    <n v="4"/>
    <x v="1"/>
    <x v="33"/>
    <n v="3335"/>
    <n v="3"/>
    <s v="Y"/>
    <x v="1"/>
    <n v="14"/>
    <n v="3"/>
    <n v="3"/>
    <n v="80"/>
    <n v="1"/>
    <n v="19"/>
    <n v="6"/>
    <n v="4"/>
    <n v="1"/>
    <n v="0"/>
    <n v="0"/>
    <n v="0"/>
  </r>
  <r>
    <n v="24"/>
    <x v="4"/>
    <x v="0"/>
    <n v="1"/>
    <x v="0"/>
    <n v="813"/>
    <x v="1"/>
    <x v="0"/>
    <n v="3"/>
    <x v="3"/>
    <x v="2"/>
    <n v="2"/>
    <x v="1"/>
    <n v="61"/>
    <x v="0"/>
    <n v="1"/>
    <x v="1"/>
    <n v="4"/>
    <x v="1"/>
    <x v="34"/>
    <n v="3020"/>
    <n v="2"/>
    <s v="Y"/>
    <x v="0"/>
    <n v="16"/>
    <n v="3"/>
    <n v="1"/>
    <n v="80"/>
    <n v="1"/>
    <n v="6"/>
    <n v="2"/>
    <n v="2"/>
    <n v="2"/>
    <n v="0"/>
    <n v="2"/>
    <n v="0"/>
  </r>
  <r>
    <n v="43"/>
    <x v="0"/>
    <x v="1"/>
    <n v="0"/>
    <x v="0"/>
    <n v="1273"/>
    <x v="1"/>
    <x v="2"/>
    <n v="2"/>
    <x v="0"/>
    <x v="2"/>
    <n v="4"/>
    <x v="0"/>
    <n v="72"/>
    <x v="2"/>
    <n v="1"/>
    <x v="1"/>
    <n v="3"/>
    <x v="2"/>
    <x v="35"/>
    <n v="21923"/>
    <n v="1"/>
    <s v="Y"/>
    <x v="1"/>
    <n v="12"/>
    <n v="3"/>
    <n v="4"/>
    <n v="80"/>
    <n v="2"/>
    <n v="6"/>
    <n v="3"/>
    <n v="2"/>
    <n v="5"/>
    <n v="3"/>
    <n v="1"/>
    <n v="4"/>
  </r>
  <r>
    <n v="50"/>
    <x v="1"/>
    <x v="0"/>
    <n v="1"/>
    <x v="0"/>
    <n v="869"/>
    <x v="0"/>
    <x v="3"/>
    <n v="2"/>
    <x v="0"/>
    <x v="3"/>
    <n v="1"/>
    <x v="1"/>
    <n v="86"/>
    <x v="1"/>
    <n v="1"/>
    <x v="6"/>
    <n v="3"/>
    <x v="1"/>
    <x v="36"/>
    <n v="3810"/>
    <n v="1"/>
    <s v="Y"/>
    <x v="0"/>
    <n v="14"/>
    <n v="3"/>
    <n v="3"/>
    <n v="80"/>
    <n v="0"/>
    <n v="3"/>
    <n v="2"/>
    <n v="3"/>
    <n v="3"/>
    <n v="2"/>
    <n v="0"/>
    <n v="2"/>
  </r>
  <r>
    <n v="35"/>
    <x v="0"/>
    <x v="1"/>
    <n v="0"/>
    <x v="0"/>
    <n v="890"/>
    <x v="0"/>
    <x v="2"/>
    <n v="3"/>
    <x v="3"/>
    <x v="3"/>
    <n v="4"/>
    <x v="0"/>
    <n v="97"/>
    <x v="0"/>
    <n v="1"/>
    <x v="6"/>
    <n v="4"/>
    <x v="1"/>
    <x v="37"/>
    <n v="9687"/>
    <n v="1"/>
    <s v="Y"/>
    <x v="1"/>
    <n v="13"/>
    <n v="3"/>
    <n v="1"/>
    <n v="80"/>
    <n v="0"/>
    <n v="2"/>
    <n v="3"/>
    <n v="3"/>
    <n v="2"/>
    <n v="2"/>
    <n v="2"/>
    <n v="2"/>
  </r>
  <r>
    <n v="36"/>
    <x v="0"/>
    <x v="1"/>
    <n v="0"/>
    <x v="0"/>
    <n v="852"/>
    <x v="1"/>
    <x v="12"/>
    <n v="4"/>
    <x v="2"/>
    <x v="0"/>
    <n v="2"/>
    <x v="0"/>
    <n v="82"/>
    <x v="1"/>
    <n v="1"/>
    <x v="1"/>
    <n v="1"/>
    <x v="1"/>
    <x v="38"/>
    <n v="13072"/>
    <n v="9"/>
    <s v="Y"/>
    <x v="0"/>
    <n v="14"/>
    <n v="3"/>
    <n v="4"/>
    <n v="80"/>
    <n v="1"/>
    <n v="6"/>
    <n v="3"/>
    <n v="4"/>
    <n v="1"/>
    <n v="1"/>
    <n v="0"/>
    <n v="0"/>
  </r>
  <r>
    <n v="33"/>
    <x v="2"/>
    <x v="1"/>
    <n v="0"/>
    <x v="1"/>
    <n v="1141"/>
    <x v="0"/>
    <x v="0"/>
    <n v="3"/>
    <x v="3"/>
    <x v="0"/>
    <n v="3"/>
    <x v="0"/>
    <n v="42"/>
    <x v="2"/>
    <n v="2"/>
    <x v="0"/>
    <n v="1"/>
    <x v="1"/>
    <x v="39"/>
    <n v="3193"/>
    <n v="2"/>
    <s v="Y"/>
    <x v="1"/>
    <n v="19"/>
    <n v="3"/>
    <n v="1"/>
    <n v="80"/>
    <n v="2"/>
    <n v="10"/>
    <n v="3"/>
    <n v="3"/>
    <n v="5"/>
    <n v="3"/>
    <n v="1"/>
    <n v="3"/>
  </r>
  <r>
    <n v="35"/>
    <x v="0"/>
    <x v="1"/>
    <n v="0"/>
    <x v="0"/>
    <n v="464"/>
    <x v="1"/>
    <x v="18"/>
    <n v="2"/>
    <x v="0"/>
    <x v="1"/>
    <n v="3"/>
    <x v="1"/>
    <n v="75"/>
    <x v="0"/>
    <n v="1"/>
    <x v="2"/>
    <n v="4"/>
    <x v="2"/>
    <x v="40"/>
    <n v="10910"/>
    <n v="1"/>
    <s v="Y"/>
    <x v="1"/>
    <n v="12"/>
    <n v="3"/>
    <n v="3"/>
    <n v="80"/>
    <n v="1"/>
    <n v="1"/>
    <n v="3"/>
    <n v="3"/>
    <n v="1"/>
    <n v="0"/>
    <n v="0"/>
    <n v="0"/>
  </r>
  <r>
    <n v="27"/>
    <x v="2"/>
    <x v="1"/>
    <n v="0"/>
    <x v="0"/>
    <n v="1240"/>
    <x v="1"/>
    <x v="2"/>
    <n v="4"/>
    <x v="2"/>
    <x v="0"/>
    <n v="4"/>
    <x v="0"/>
    <n v="33"/>
    <x v="0"/>
    <n v="1"/>
    <x v="2"/>
    <n v="1"/>
    <x v="2"/>
    <x v="41"/>
    <n v="19715"/>
    <n v="1"/>
    <s v="Y"/>
    <x v="1"/>
    <n v="13"/>
    <n v="3"/>
    <n v="4"/>
    <n v="80"/>
    <n v="1"/>
    <n v="1"/>
    <n v="6"/>
    <n v="3"/>
    <n v="1"/>
    <n v="0"/>
    <n v="0"/>
    <n v="0"/>
  </r>
  <r>
    <n v="26"/>
    <x v="2"/>
    <x v="0"/>
    <n v="1"/>
    <x v="0"/>
    <n v="1357"/>
    <x v="1"/>
    <x v="19"/>
    <n v="3"/>
    <x v="3"/>
    <x v="0"/>
    <n v="1"/>
    <x v="1"/>
    <n v="48"/>
    <x v="3"/>
    <n v="1"/>
    <x v="2"/>
    <n v="3"/>
    <x v="0"/>
    <x v="34"/>
    <n v="10558"/>
    <n v="1"/>
    <s v="Y"/>
    <x v="1"/>
    <n v="12"/>
    <n v="3"/>
    <n v="3"/>
    <n v="80"/>
    <n v="0"/>
    <n v="1"/>
    <n v="2"/>
    <n v="2"/>
    <n v="1"/>
    <n v="0"/>
    <n v="0"/>
    <n v="1"/>
  </r>
  <r>
    <n v="27"/>
    <x v="2"/>
    <x v="1"/>
    <n v="0"/>
    <x v="1"/>
    <n v="994"/>
    <x v="0"/>
    <x v="1"/>
    <n v="3"/>
    <x v="3"/>
    <x v="0"/>
    <n v="4"/>
    <x v="1"/>
    <n v="37"/>
    <x v="0"/>
    <n v="3"/>
    <x v="0"/>
    <n v="3"/>
    <x v="0"/>
    <x v="42"/>
    <n v="2975"/>
    <n v="1"/>
    <s v="Y"/>
    <x v="1"/>
    <n v="15"/>
    <n v="3"/>
    <n v="4"/>
    <n v="80"/>
    <n v="0"/>
    <n v="9"/>
    <n v="0"/>
    <n v="3"/>
    <n v="9"/>
    <n v="8"/>
    <n v="1"/>
    <n v="7"/>
  </r>
  <r>
    <n v="30"/>
    <x v="2"/>
    <x v="1"/>
    <n v="0"/>
    <x v="1"/>
    <n v="721"/>
    <x v="1"/>
    <x v="0"/>
    <n v="2"/>
    <x v="0"/>
    <x v="2"/>
    <n v="3"/>
    <x v="0"/>
    <n v="58"/>
    <x v="0"/>
    <n v="2"/>
    <x v="2"/>
    <n v="4"/>
    <x v="0"/>
    <x v="20"/>
    <n v="10781"/>
    <n v="1"/>
    <s v="Y"/>
    <x v="1"/>
    <n v="23"/>
    <n v="4"/>
    <n v="4"/>
    <n v="80"/>
    <n v="0"/>
    <n v="12"/>
    <n v="2"/>
    <n v="3"/>
    <n v="12"/>
    <n v="8"/>
    <n v="3"/>
    <n v="7"/>
  </r>
  <r>
    <n v="41"/>
    <x v="0"/>
    <x v="0"/>
    <n v="1"/>
    <x v="0"/>
    <n v="1360"/>
    <x v="1"/>
    <x v="20"/>
    <n v="3"/>
    <x v="3"/>
    <x v="4"/>
    <n v="2"/>
    <x v="0"/>
    <n v="49"/>
    <x v="0"/>
    <n v="5"/>
    <x v="7"/>
    <n v="3"/>
    <x v="1"/>
    <x v="43"/>
    <n v="16280"/>
    <n v="1"/>
    <s v="Y"/>
    <x v="1"/>
    <n v="12"/>
    <n v="3"/>
    <n v="4"/>
    <n v="80"/>
    <n v="0"/>
    <n v="23"/>
    <n v="0"/>
    <n v="3"/>
    <n v="22"/>
    <n v="15"/>
    <n v="15"/>
    <n v="8"/>
  </r>
  <r>
    <n v="34"/>
    <x v="2"/>
    <x v="1"/>
    <n v="0"/>
    <x v="2"/>
    <n v="1065"/>
    <x v="0"/>
    <x v="5"/>
    <n v="4"/>
    <x v="2"/>
    <x v="3"/>
    <n v="2"/>
    <x v="1"/>
    <n v="72"/>
    <x v="0"/>
    <n v="2"/>
    <x v="0"/>
    <n v="3"/>
    <x v="0"/>
    <x v="44"/>
    <n v="10034"/>
    <n v="0"/>
    <s v="Y"/>
    <x v="1"/>
    <n v="20"/>
    <n v="4"/>
    <n v="3"/>
    <n v="80"/>
    <n v="0"/>
    <n v="10"/>
    <n v="2"/>
    <n v="3"/>
    <n v="9"/>
    <n v="5"/>
    <n v="8"/>
    <n v="7"/>
  </r>
  <r>
    <n v="37"/>
    <x v="0"/>
    <x v="1"/>
    <n v="0"/>
    <x v="0"/>
    <n v="408"/>
    <x v="1"/>
    <x v="10"/>
    <n v="2"/>
    <x v="0"/>
    <x v="0"/>
    <n v="2"/>
    <x v="1"/>
    <n v="73"/>
    <x v="0"/>
    <n v="1"/>
    <x v="1"/>
    <n v="2"/>
    <x v="1"/>
    <x v="45"/>
    <n v="10227"/>
    <n v="4"/>
    <s v="Y"/>
    <x v="1"/>
    <n v="21"/>
    <n v="4"/>
    <n v="1"/>
    <n v="80"/>
    <n v="0"/>
    <n v="8"/>
    <n v="1"/>
    <n v="3"/>
    <n v="1"/>
    <n v="0"/>
    <n v="0"/>
    <n v="0"/>
  </r>
  <r>
    <n v="46"/>
    <x v="1"/>
    <x v="1"/>
    <n v="0"/>
    <x v="1"/>
    <n v="1211"/>
    <x v="0"/>
    <x v="12"/>
    <n v="4"/>
    <x v="2"/>
    <x v="3"/>
    <n v="1"/>
    <x v="1"/>
    <n v="98"/>
    <x v="0"/>
    <n v="2"/>
    <x v="0"/>
    <n v="4"/>
    <x v="0"/>
    <x v="46"/>
    <n v="20445"/>
    <n v="4"/>
    <s v="Y"/>
    <x v="0"/>
    <n v="21"/>
    <n v="4"/>
    <n v="3"/>
    <n v="80"/>
    <n v="0"/>
    <n v="14"/>
    <n v="4"/>
    <n v="3"/>
    <n v="9"/>
    <n v="6"/>
    <n v="0"/>
    <n v="8"/>
  </r>
  <r>
    <n v="35"/>
    <x v="0"/>
    <x v="1"/>
    <n v="0"/>
    <x v="0"/>
    <n v="1229"/>
    <x v="1"/>
    <x v="1"/>
    <n v="1"/>
    <x v="1"/>
    <x v="0"/>
    <n v="4"/>
    <x v="1"/>
    <n v="36"/>
    <x v="2"/>
    <n v="1"/>
    <x v="2"/>
    <n v="4"/>
    <x v="1"/>
    <x v="47"/>
    <n v="4892"/>
    <n v="1"/>
    <s v="Y"/>
    <x v="1"/>
    <n v="19"/>
    <n v="3"/>
    <n v="4"/>
    <n v="80"/>
    <n v="0"/>
    <n v="1"/>
    <n v="2"/>
    <n v="3"/>
    <n v="1"/>
    <n v="0"/>
    <n v="0"/>
    <n v="1"/>
  </r>
  <r>
    <n v="48"/>
    <x v="1"/>
    <x v="0"/>
    <n v="1"/>
    <x v="0"/>
    <n v="626"/>
    <x v="1"/>
    <x v="0"/>
    <n v="2"/>
    <x v="0"/>
    <x v="0"/>
    <n v="1"/>
    <x v="1"/>
    <n v="98"/>
    <x v="1"/>
    <n v="3"/>
    <x v="2"/>
    <n v="3"/>
    <x v="0"/>
    <x v="48"/>
    <n v="19294"/>
    <n v="9"/>
    <s v="Y"/>
    <x v="0"/>
    <n v="13"/>
    <n v="3"/>
    <n v="4"/>
    <n v="80"/>
    <n v="0"/>
    <n v="23"/>
    <n v="2"/>
    <n v="3"/>
    <n v="1"/>
    <n v="0"/>
    <n v="0"/>
    <n v="0"/>
  </r>
  <r>
    <n v="28"/>
    <x v="2"/>
    <x v="0"/>
    <n v="1"/>
    <x v="0"/>
    <n v="1434"/>
    <x v="1"/>
    <x v="12"/>
    <n v="4"/>
    <x v="2"/>
    <x v="4"/>
    <n v="3"/>
    <x v="1"/>
    <n v="50"/>
    <x v="0"/>
    <n v="1"/>
    <x v="2"/>
    <n v="3"/>
    <x v="0"/>
    <x v="49"/>
    <n v="11179"/>
    <n v="1"/>
    <s v="Y"/>
    <x v="0"/>
    <n v="13"/>
    <n v="3"/>
    <n v="3"/>
    <n v="80"/>
    <n v="0"/>
    <n v="2"/>
    <n v="3"/>
    <n v="2"/>
    <n v="2"/>
    <n v="2"/>
    <n v="2"/>
    <n v="2"/>
  </r>
  <r>
    <n v="44"/>
    <x v="0"/>
    <x v="1"/>
    <n v="0"/>
    <x v="0"/>
    <n v="1488"/>
    <x v="0"/>
    <x v="0"/>
    <n v="5"/>
    <x v="4"/>
    <x v="3"/>
    <n v="2"/>
    <x v="0"/>
    <n v="75"/>
    <x v="0"/>
    <n v="2"/>
    <x v="0"/>
    <n v="1"/>
    <x v="2"/>
    <x v="50"/>
    <n v="4009"/>
    <n v="5"/>
    <s v="Y"/>
    <x v="0"/>
    <n v="21"/>
    <n v="4"/>
    <n v="3"/>
    <n v="80"/>
    <n v="1"/>
    <n v="9"/>
    <n v="2"/>
    <n v="2"/>
    <n v="4"/>
    <n v="3"/>
    <n v="1"/>
    <n v="3"/>
  </r>
  <r>
    <n v="35"/>
    <x v="0"/>
    <x v="1"/>
    <n v="0"/>
    <x v="2"/>
    <n v="1097"/>
    <x v="1"/>
    <x v="13"/>
    <n v="2"/>
    <x v="0"/>
    <x v="2"/>
    <n v="3"/>
    <x v="1"/>
    <n v="79"/>
    <x v="1"/>
    <n v="3"/>
    <x v="4"/>
    <n v="1"/>
    <x v="1"/>
    <x v="51"/>
    <n v="8302"/>
    <n v="2"/>
    <s v="Y"/>
    <x v="0"/>
    <n v="13"/>
    <n v="3"/>
    <n v="3"/>
    <n v="80"/>
    <n v="1"/>
    <n v="10"/>
    <n v="3"/>
    <n v="3"/>
    <n v="4"/>
    <n v="0"/>
    <n v="2"/>
    <n v="3"/>
  </r>
  <r>
    <n v="26"/>
    <x v="2"/>
    <x v="1"/>
    <n v="0"/>
    <x v="0"/>
    <n v="1443"/>
    <x v="0"/>
    <x v="5"/>
    <n v="3"/>
    <x v="3"/>
    <x v="3"/>
    <n v="3"/>
    <x v="0"/>
    <n v="47"/>
    <x v="1"/>
    <n v="2"/>
    <x v="0"/>
    <n v="4"/>
    <x v="1"/>
    <x v="52"/>
    <n v="21436"/>
    <n v="7"/>
    <s v="Y"/>
    <x v="0"/>
    <n v="19"/>
    <n v="3"/>
    <n v="3"/>
    <n v="80"/>
    <n v="1"/>
    <n v="5"/>
    <n v="2"/>
    <n v="2"/>
    <n v="2"/>
    <n v="2"/>
    <n v="0"/>
    <n v="0"/>
  </r>
  <r>
    <n v="33"/>
    <x v="2"/>
    <x v="1"/>
    <n v="0"/>
    <x v="1"/>
    <n v="515"/>
    <x v="1"/>
    <x v="0"/>
    <n v="2"/>
    <x v="0"/>
    <x v="0"/>
    <n v="1"/>
    <x v="0"/>
    <n v="98"/>
    <x v="0"/>
    <n v="3"/>
    <x v="7"/>
    <n v="4"/>
    <x v="0"/>
    <x v="53"/>
    <n v="15146"/>
    <n v="1"/>
    <s v="Y"/>
    <x v="0"/>
    <n v="12"/>
    <n v="3"/>
    <n v="3"/>
    <n v="80"/>
    <n v="0"/>
    <n v="15"/>
    <n v="1"/>
    <n v="3"/>
    <n v="15"/>
    <n v="14"/>
    <n v="8"/>
    <n v="12"/>
  </r>
  <r>
    <n v="35"/>
    <x v="0"/>
    <x v="1"/>
    <n v="0"/>
    <x v="1"/>
    <n v="853"/>
    <x v="0"/>
    <x v="21"/>
    <n v="5"/>
    <x v="4"/>
    <x v="0"/>
    <n v="2"/>
    <x v="1"/>
    <n v="71"/>
    <x v="0"/>
    <n v="3"/>
    <x v="0"/>
    <n v="1"/>
    <x v="1"/>
    <x v="54"/>
    <n v="11031"/>
    <n v="1"/>
    <s v="Y"/>
    <x v="1"/>
    <n v="22"/>
    <n v="4"/>
    <n v="4"/>
    <n v="80"/>
    <n v="1"/>
    <n v="9"/>
    <n v="3"/>
    <n v="2"/>
    <n v="9"/>
    <n v="8"/>
    <n v="1"/>
    <n v="8"/>
  </r>
  <r>
    <n v="35"/>
    <x v="0"/>
    <x v="1"/>
    <n v="0"/>
    <x v="0"/>
    <n v="1142"/>
    <x v="1"/>
    <x v="5"/>
    <n v="4"/>
    <x v="2"/>
    <x v="2"/>
    <n v="3"/>
    <x v="0"/>
    <n v="30"/>
    <x v="0"/>
    <n v="1"/>
    <x v="2"/>
    <n v="1"/>
    <x v="1"/>
    <x v="55"/>
    <n v="16002"/>
    <n v="3"/>
    <s v="Y"/>
    <x v="0"/>
    <n v="15"/>
    <n v="3"/>
    <n v="3"/>
    <n v="80"/>
    <n v="1"/>
    <n v="4"/>
    <n v="3"/>
    <n v="3"/>
    <n v="2"/>
    <n v="2"/>
    <n v="2"/>
    <n v="2"/>
  </r>
  <r>
    <n v="31"/>
    <x v="2"/>
    <x v="1"/>
    <n v="0"/>
    <x v="0"/>
    <n v="655"/>
    <x v="1"/>
    <x v="15"/>
    <n v="4"/>
    <x v="2"/>
    <x v="0"/>
    <n v="4"/>
    <x v="1"/>
    <n v="48"/>
    <x v="0"/>
    <n v="2"/>
    <x v="2"/>
    <n v="4"/>
    <x v="2"/>
    <x v="56"/>
    <n v="9528"/>
    <n v="3"/>
    <s v="Y"/>
    <x v="1"/>
    <n v="22"/>
    <n v="4"/>
    <n v="4"/>
    <n v="80"/>
    <n v="1"/>
    <n v="10"/>
    <n v="3"/>
    <n v="2"/>
    <n v="7"/>
    <n v="7"/>
    <n v="1"/>
    <n v="7"/>
  </r>
  <r>
    <n v="37"/>
    <x v="0"/>
    <x v="1"/>
    <n v="0"/>
    <x v="0"/>
    <n v="1115"/>
    <x v="1"/>
    <x v="0"/>
    <n v="4"/>
    <x v="2"/>
    <x v="0"/>
    <n v="1"/>
    <x v="1"/>
    <n v="51"/>
    <x v="1"/>
    <n v="2"/>
    <x v="3"/>
    <n v="3"/>
    <x v="2"/>
    <x v="0"/>
    <n v="2689"/>
    <n v="1"/>
    <s v="Y"/>
    <x v="1"/>
    <n v="18"/>
    <n v="3"/>
    <n v="3"/>
    <n v="80"/>
    <n v="1"/>
    <n v="7"/>
    <n v="2"/>
    <n v="4"/>
    <n v="7"/>
    <n v="5"/>
    <n v="0"/>
    <n v="7"/>
  </r>
  <r>
    <n v="32"/>
    <x v="2"/>
    <x v="1"/>
    <n v="0"/>
    <x v="0"/>
    <n v="427"/>
    <x v="1"/>
    <x v="0"/>
    <n v="3"/>
    <x v="3"/>
    <x v="2"/>
    <n v="1"/>
    <x v="1"/>
    <n v="33"/>
    <x v="0"/>
    <n v="2"/>
    <x v="3"/>
    <n v="4"/>
    <x v="1"/>
    <x v="57"/>
    <n v="10877"/>
    <n v="1"/>
    <s v="Y"/>
    <x v="0"/>
    <n v="22"/>
    <n v="4"/>
    <n v="2"/>
    <n v="80"/>
    <n v="1"/>
    <n v="9"/>
    <n v="3"/>
    <n v="3"/>
    <n v="9"/>
    <n v="8"/>
    <n v="7"/>
    <n v="8"/>
  </r>
  <r>
    <n v="38"/>
    <x v="0"/>
    <x v="1"/>
    <n v="0"/>
    <x v="1"/>
    <n v="653"/>
    <x v="1"/>
    <x v="22"/>
    <n v="5"/>
    <x v="4"/>
    <x v="0"/>
    <n v="4"/>
    <x v="0"/>
    <n v="50"/>
    <x v="0"/>
    <n v="2"/>
    <x v="2"/>
    <n v="4"/>
    <x v="0"/>
    <x v="58"/>
    <n v="5456"/>
    <n v="1"/>
    <s v="Y"/>
    <x v="1"/>
    <n v="11"/>
    <n v="3"/>
    <n v="4"/>
    <n v="80"/>
    <n v="0"/>
    <n v="10"/>
    <n v="2"/>
    <n v="3"/>
    <n v="10"/>
    <n v="3"/>
    <n v="9"/>
    <n v="9"/>
  </r>
  <r>
    <n v="50"/>
    <x v="1"/>
    <x v="1"/>
    <n v="0"/>
    <x v="0"/>
    <n v="989"/>
    <x v="1"/>
    <x v="15"/>
    <n v="2"/>
    <x v="0"/>
    <x v="2"/>
    <n v="2"/>
    <x v="0"/>
    <n v="43"/>
    <x v="1"/>
    <n v="5"/>
    <x v="7"/>
    <n v="3"/>
    <x v="2"/>
    <x v="59"/>
    <n v="16701"/>
    <n v="5"/>
    <s v="Y"/>
    <x v="0"/>
    <n v="12"/>
    <n v="3"/>
    <n v="4"/>
    <n v="80"/>
    <n v="1"/>
    <n v="29"/>
    <n v="2"/>
    <n v="2"/>
    <n v="27"/>
    <n v="3"/>
    <n v="13"/>
    <n v="8"/>
  </r>
  <r>
    <n v="59"/>
    <x v="3"/>
    <x v="1"/>
    <n v="0"/>
    <x v="0"/>
    <n v="1435"/>
    <x v="0"/>
    <x v="19"/>
    <n v="3"/>
    <x v="3"/>
    <x v="0"/>
    <n v="1"/>
    <x v="0"/>
    <n v="99"/>
    <x v="0"/>
    <n v="3"/>
    <x v="0"/>
    <n v="1"/>
    <x v="0"/>
    <x v="60"/>
    <n v="2354"/>
    <n v="7"/>
    <s v="Y"/>
    <x v="1"/>
    <n v="11"/>
    <n v="3"/>
    <n v="4"/>
    <n v="80"/>
    <n v="0"/>
    <n v="28"/>
    <n v="3"/>
    <n v="2"/>
    <n v="21"/>
    <n v="16"/>
    <n v="7"/>
    <n v="9"/>
  </r>
  <r>
    <n v="36"/>
    <x v="0"/>
    <x v="1"/>
    <n v="0"/>
    <x v="0"/>
    <n v="1223"/>
    <x v="1"/>
    <x v="1"/>
    <n v="3"/>
    <x v="3"/>
    <x v="4"/>
    <n v="3"/>
    <x v="0"/>
    <n v="59"/>
    <x v="0"/>
    <n v="3"/>
    <x v="4"/>
    <n v="3"/>
    <x v="2"/>
    <x v="61"/>
    <n v="8202"/>
    <n v="1"/>
    <s v="Y"/>
    <x v="1"/>
    <n v="13"/>
    <n v="3"/>
    <n v="2"/>
    <n v="80"/>
    <n v="3"/>
    <n v="17"/>
    <n v="2"/>
    <n v="3"/>
    <n v="17"/>
    <n v="14"/>
    <n v="12"/>
    <n v="8"/>
  </r>
  <r>
    <n v="55"/>
    <x v="3"/>
    <x v="1"/>
    <n v="0"/>
    <x v="0"/>
    <n v="836"/>
    <x v="1"/>
    <x v="1"/>
    <n v="3"/>
    <x v="3"/>
    <x v="2"/>
    <n v="4"/>
    <x v="0"/>
    <n v="33"/>
    <x v="0"/>
    <n v="4"/>
    <x v="5"/>
    <n v="3"/>
    <x v="2"/>
    <x v="62"/>
    <n v="19730"/>
    <n v="2"/>
    <s v="Y"/>
    <x v="0"/>
    <n v="14"/>
    <n v="3"/>
    <n v="3"/>
    <n v="80"/>
    <n v="3"/>
    <n v="21"/>
    <n v="2"/>
    <n v="3"/>
    <n v="5"/>
    <n v="0"/>
    <n v="0"/>
    <n v="2"/>
  </r>
  <r>
    <n v="36"/>
    <x v="0"/>
    <x v="1"/>
    <n v="0"/>
    <x v="1"/>
    <n v="1195"/>
    <x v="1"/>
    <x v="13"/>
    <n v="3"/>
    <x v="3"/>
    <x v="0"/>
    <n v="2"/>
    <x v="1"/>
    <n v="95"/>
    <x v="1"/>
    <n v="2"/>
    <x v="3"/>
    <n v="2"/>
    <x v="0"/>
    <x v="63"/>
    <n v="22656"/>
    <n v="1"/>
    <s v="Y"/>
    <x v="1"/>
    <n v="13"/>
    <n v="3"/>
    <n v="3"/>
    <n v="80"/>
    <n v="0"/>
    <n v="6"/>
    <n v="3"/>
    <n v="3"/>
    <n v="6"/>
    <n v="5"/>
    <n v="0"/>
    <n v="3"/>
  </r>
  <r>
    <n v="45"/>
    <x v="1"/>
    <x v="1"/>
    <n v="0"/>
    <x v="0"/>
    <n v="1339"/>
    <x v="1"/>
    <x v="15"/>
    <n v="3"/>
    <x v="3"/>
    <x v="0"/>
    <n v="2"/>
    <x v="1"/>
    <n v="59"/>
    <x v="0"/>
    <n v="3"/>
    <x v="1"/>
    <n v="1"/>
    <x v="2"/>
    <x v="64"/>
    <n v="18787"/>
    <n v="2"/>
    <s v="Y"/>
    <x v="1"/>
    <n v="17"/>
    <n v="3"/>
    <n v="3"/>
    <n v="80"/>
    <n v="1"/>
    <n v="25"/>
    <n v="2"/>
    <n v="3"/>
    <n v="1"/>
    <n v="0"/>
    <n v="0"/>
    <n v="0"/>
  </r>
  <r>
    <n v="35"/>
    <x v="0"/>
    <x v="1"/>
    <n v="0"/>
    <x v="1"/>
    <n v="664"/>
    <x v="1"/>
    <x v="0"/>
    <n v="3"/>
    <x v="3"/>
    <x v="2"/>
    <n v="2"/>
    <x v="1"/>
    <n v="79"/>
    <x v="0"/>
    <n v="1"/>
    <x v="1"/>
    <n v="1"/>
    <x v="1"/>
    <x v="65"/>
    <n v="5868"/>
    <n v="4"/>
    <s v="Y"/>
    <x v="1"/>
    <n v="13"/>
    <n v="3"/>
    <n v="4"/>
    <n v="80"/>
    <n v="1"/>
    <n v="5"/>
    <n v="2"/>
    <n v="2"/>
    <n v="3"/>
    <n v="2"/>
    <n v="1"/>
    <n v="2"/>
  </r>
  <r>
    <n v="36"/>
    <x v="0"/>
    <x v="0"/>
    <n v="1"/>
    <x v="0"/>
    <n v="318"/>
    <x v="1"/>
    <x v="14"/>
    <n v="3"/>
    <x v="3"/>
    <x v="2"/>
    <n v="4"/>
    <x v="1"/>
    <n v="79"/>
    <x v="1"/>
    <n v="1"/>
    <x v="1"/>
    <n v="3"/>
    <x v="1"/>
    <x v="66"/>
    <n v="21777"/>
    <n v="0"/>
    <s v="Y"/>
    <x v="0"/>
    <n v="17"/>
    <n v="3"/>
    <n v="1"/>
    <n v="80"/>
    <n v="1"/>
    <n v="2"/>
    <n v="0"/>
    <n v="2"/>
    <n v="1"/>
    <n v="0"/>
    <n v="0"/>
    <n v="0"/>
  </r>
  <r>
    <n v="59"/>
    <x v="3"/>
    <x v="1"/>
    <n v="0"/>
    <x v="1"/>
    <n v="1225"/>
    <x v="0"/>
    <x v="0"/>
    <n v="1"/>
    <x v="1"/>
    <x v="0"/>
    <n v="1"/>
    <x v="0"/>
    <n v="57"/>
    <x v="1"/>
    <n v="2"/>
    <x v="0"/>
    <n v="3"/>
    <x v="0"/>
    <x v="67"/>
    <n v="24668"/>
    <n v="7"/>
    <s v="Y"/>
    <x v="1"/>
    <n v="11"/>
    <n v="3"/>
    <n v="4"/>
    <n v="80"/>
    <n v="0"/>
    <n v="20"/>
    <n v="2"/>
    <n v="2"/>
    <n v="4"/>
    <n v="3"/>
    <n v="1"/>
    <n v="3"/>
  </r>
  <r>
    <n v="29"/>
    <x v="2"/>
    <x v="1"/>
    <n v="0"/>
    <x v="0"/>
    <n v="1328"/>
    <x v="1"/>
    <x v="2"/>
    <n v="3"/>
    <x v="3"/>
    <x v="0"/>
    <n v="3"/>
    <x v="1"/>
    <n v="76"/>
    <x v="0"/>
    <n v="1"/>
    <x v="1"/>
    <n v="2"/>
    <x v="1"/>
    <x v="68"/>
    <n v="4956"/>
    <n v="0"/>
    <s v="Y"/>
    <x v="1"/>
    <n v="23"/>
    <n v="4"/>
    <n v="4"/>
    <n v="80"/>
    <n v="1"/>
    <n v="6"/>
    <n v="3"/>
    <n v="3"/>
    <n v="5"/>
    <n v="4"/>
    <n v="0"/>
    <n v="4"/>
  </r>
  <r>
    <n v="31"/>
    <x v="2"/>
    <x v="1"/>
    <n v="0"/>
    <x v="0"/>
    <n v="1082"/>
    <x v="1"/>
    <x v="0"/>
    <n v="4"/>
    <x v="2"/>
    <x v="2"/>
    <n v="3"/>
    <x v="1"/>
    <n v="87"/>
    <x v="0"/>
    <n v="1"/>
    <x v="1"/>
    <n v="2"/>
    <x v="0"/>
    <x v="69"/>
    <n v="18775"/>
    <n v="1"/>
    <s v="Y"/>
    <x v="1"/>
    <n v="17"/>
    <n v="3"/>
    <n v="2"/>
    <n v="80"/>
    <n v="0"/>
    <n v="1"/>
    <n v="4"/>
    <n v="3"/>
    <n v="1"/>
    <n v="1"/>
    <n v="1"/>
    <n v="0"/>
  </r>
  <r>
    <n v="32"/>
    <x v="2"/>
    <x v="1"/>
    <n v="0"/>
    <x v="0"/>
    <n v="548"/>
    <x v="1"/>
    <x v="0"/>
    <n v="3"/>
    <x v="3"/>
    <x v="0"/>
    <n v="2"/>
    <x v="1"/>
    <n v="66"/>
    <x v="0"/>
    <n v="2"/>
    <x v="1"/>
    <n v="2"/>
    <x v="1"/>
    <x v="70"/>
    <n v="7346"/>
    <n v="1"/>
    <s v="Y"/>
    <x v="1"/>
    <n v="17"/>
    <n v="3"/>
    <n v="2"/>
    <n v="80"/>
    <n v="2"/>
    <n v="10"/>
    <n v="3"/>
    <n v="3"/>
    <n v="10"/>
    <n v="4"/>
    <n v="0"/>
    <n v="9"/>
  </r>
  <r>
    <n v="36"/>
    <x v="0"/>
    <x v="1"/>
    <n v="0"/>
    <x v="0"/>
    <n v="132"/>
    <x v="1"/>
    <x v="16"/>
    <n v="3"/>
    <x v="3"/>
    <x v="0"/>
    <n v="2"/>
    <x v="0"/>
    <n v="55"/>
    <x v="2"/>
    <n v="1"/>
    <x v="2"/>
    <n v="4"/>
    <x v="1"/>
    <x v="71"/>
    <n v="22002"/>
    <n v="3"/>
    <s v="Y"/>
    <x v="1"/>
    <n v="12"/>
    <n v="3"/>
    <n v="2"/>
    <n v="80"/>
    <n v="0"/>
    <n v="5"/>
    <n v="3"/>
    <n v="3"/>
    <n v="1"/>
    <n v="0"/>
    <n v="0"/>
    <n v="0"/>
  </r>
  <r>
    <n v="31"/>
    <x v="2"/>
    <x v="1"/>
    <n v="0"/>
    <x v="0"/>
    <n v="746"/>
    <x v="1"/>
    <x v="1"/>
    <n v="4"/>
    <x v="2"/>
    <x v="0"/>
    <n v="3"/>
    <x v="0"/>
    <n v="61"/>
    <x v="0"/>
    <n v="2"/>
    <x v="3"/>
    <n v="4"/>
    <x v="0"/>
    <x v="72"/>
    <n v="20682"/>
    <n v="1"/>
    <s v="Y"/>
    <x v="1"/>
    <n v="23"/>
    <n v="4"/>
    <n v="4"/>
    <n v="80"/>
    <n v="0"/>
    <n v="11"/>
    <n v="2"/>
    <n v="3"/>
    <n v="11"/>
    <n v="7"/>
    <n v="1"/>
    <n v="8"/>
  </r>
  <r>
    <n v="35"/>
    <x v="0"/>
    <x v="1"/>
    <n v="0"/>
    <x v="0"/>
    <n v="776"/>
    <x v="0"/>
    <x v="0"/>
    <n v="4"/>
    <x v="2"/>
    <x v="3"/>
    <n v="3"/>
    <x v="1"/>
    <n v="32"/>
    <x v="1"/>
    <n v="2"/>
    <x v="0"/>
    <n v="1"/>
    <x v="0"/>
    <x v="73"/>
    <n v="23016"/>
    <n v="0"/>
    <s v="Y"/>
    <x v="1"/>
    <n v="14"/>
    <n v="3"/>
    <n v="2"/>
    <n v="80"/>
    <n v="0"/>
    <n v="16"/>
    <n v="2"/>
    <n v="3"/>
    <n v="15"/>
    <n v="13"/>
    <n v="2"/>
    <n v="8"/>
  </r>
  <r>
    <n v="45"/>
    <x v="1"/>
    <x v="1"/>
    <n v="0"/>
    <x v="0"/>
    <n v="193"/>
    <x v="1"/>
    <x v="16"/>
    <n v="4"/>
    <x v="2"/>
    <x v="1"/>
    <n v="4"/>
    <x v="1"/>
    <n v="52"/>
    <x v="0"/>
    <n v="3"/>
    <x v="7"/>
    <n v="1"/>
    <x v="1"/>
    <x v="74"/>
    <n v="15067"/>
    <n v="4"/>
    <s v="Y"/>
    <x v="0"/>
    <n v="14"/>
    <n v="3"/>
    <n v="2"/>
    <n v="80"/>
    <n v="0"/>
    <n v="17"/>
    <n v="3"/>
    <n v="4"/>
    <n v="0"/>
    <n v="0"/>
    <n v="0"/>
    <n v="0"/>
  </r>
  <r>
    <n v="37"/>
    <x v="0"/>
    <x v="1"/>
    <n v="0"/>
    <x v="0"/>
    <n v="397"/>
    <x v="1"/>
    <x v="15"/>
    <n v="4"/>
    <x v="2"/>
    <x v="2"/>
    <n v="1"/>
    <x v="1"/>
    <n v="30"/>
    <x v="0"/>
    <n v="3"/>
    <x v="7"/>
    <n v="3"/>
    <x v="0"/>
    <x v="75"/>
    <n v="25258"/>
    <n v="4"/>
    <s v="Y"/>
    <x v="1"/>
    <n v="13"/>
    <n v="3"/>
    <n v="1"/>
    <n v="80"/>
    <n v="0"/>
    <n v="16"/>
    <n v="3"/>
    <n v="4"/>
    <n v="5"/>
    <n v="2"/>
    <n v="0"/>
    <n v="2"/>
  </r>
  <r>
    <n v="46"/>
    <x v="1"/>
    <x v="1"/>
    <n v="0"/>
    <x v="0"/>
    <n v="945"/>
    <x v="2"/>
    <x v="12"/>
    <n v="2"/>
    <x v="0"/>
    <x v="2"/>
    <n v="2"/>
    <x v="1"/>
    <n v="80"/>
    <x v="0"/>
    <n v="2"/>
    <x v="8"/>
    <n v="2"/>
    <x v="2"/>
    <x v="76"/>
    <n v="10425"/>
    <n v="8"/>
    <s v="Y"/>
    <x v="0"/>
    <n v="22"/>
    <n v="4"/>
    <n v="4"/>
    <n v="80"/>
    <n v="1"/>
    <n v="16"/>
    <n v="2"/>
    <n v="3"/>
    <n v="4"/>
    <n v="2"/>
    <n v="0"/>
    <n v="2"/>
  </r>
  <r>
    <n v="30"/>
    <x v="2"/>
    <x v="1"/>
    <n v="0"/>
    <x v="0"/>
    <n v="852"/>
    <x v="1"/>
    <x v="0"/>
    <n v="1"/>
    <x v="1"/>
    <x v="0"/>
    <n v="4"/>
    <x v="1"/>
    <n v="55"/>
    <x v="1"/>
    <n v="2"/>
    <x v="2"/>
    <n v="4"/>
    <x v="1"/>
    <x v="77"/>
    <n v="15998"/>
    <n v="1"/>
    <s v="Y"/>
    <x v="0"/>
    <n v="12"/>
    <n v="3"/>
    <n v="3"/>
    <n v="80"/>
    <n v="2"/>
    <n v="10"/>
    <n v="1"/>
    <n v="2"/>
    <n v="10"/>
    <n v="8"/>
    <n v="3"/>
    <n v="0"/>
  </r>
  <r>
    <n v="35"/>
    <x v="0"/>
    <x v="1"/>
    <n v="0"/>
    <x v="0"/>
    <n v="1214"/>
    <x v="1"/>
    <x v="0"/>
    <n v="3"/>
    <x v="3"/>
    <x v="2"/>
    <n v="2"/>
    <x v="1"/>
    <n v="30"/>
    <x v="1"/>
    <n v="1"/>
    <x v="1"/>
    <n v="3"/>
    <x v="0"/>
    <x v="78"/>
    <n v="26278"/>
    <n v="1"/>
    <s v="Y"/>
    <x v="1"/>
    <n v="18"/>
    <n v="3"/>
    <n v="1"/>
    <n v="80"/>
    <n v="0"/>
    <n v="6"/>
    <n v="3"/>
    <n v="3"/>
    <n v="6"/>
    <n v="4"/>
    <n v="0"/>
    <n v="4"/>
  </r>
  <r>
    <n v="55"/>
    <x v="3"/>
    <x v="1"/>
    <n v="0"/>
    <x v="0"/>
    <n v="111"/>
    <x v="0"/>
    <x v="0"/>
    <n v="2"/>
    <x v="0"/>
    <x v="0"/>
    <n v="1"/>
    <x v="1"/>
    <n v="70"/>
    <x v="0"/>
    <n v="3"/>
    <x v="0"/>
    <n v="4"/>
    <x v="1"/>
    <x v="79"/>
    <n v="18092"/>
    <n v="3"/>
    <s v="Y"/>
    <x v="1"/>
    <n v="14"/>
    <n v="3"/>
    <n v="4"/>
    <n v="80"/>
    <n v="1"/>
    <n v="24"/>
    <n v="4"/>
    <n v="3"/>
    <n v="1"/>
    <n v="0"/>
    <n v="1"/>
    <n v="0"/>
  </r>
  <r>
    <n v="38"/>
    <x v="0"/>
    <x v="1"/>
    <n v="0"/>
    <x v="2"/>
    <n v="573"/>
    <x v="1"/>
    <x v="16"/>
    <n v="3"/>
    <x v="3"/>
    <x v="2"/>
    <n v="2"/>
    <x v="0"/>
    <n v="79"/>
    <x v="3"/>
    <n v="2"/>
    <x v="1"/>
    <n v="4"/>
    <x v="2"/>
    <x v="80"/>
    <n v="15717"/>
    <n v="7"/>
    <s v="Y"/>
    <x v="0"/>
    <n v="12"/>
    <n v="3"/>
    <n v="4"/>
    <n v="80"/>
    <n v="3"/>
    <n v="17"/>
    <n v="3"/>
    <n v="3"/>
    <n v="13"/>
    <n v="11"/>
    <n v="1"/>
    <n v="9"/>
  </r>
  <r>
    <n v="34"/>
    <x v="2"/>
    <x v="1"/>
    <n v="0"/>
    <x v="0"/>
    <n v="1153"/>
    <x v="1"/>
    <x v="0"/>
    <n v="2"/>
    <x v="0"/>
    <x v="2"/>
    <n v="1"/>
    <x v="1"/>
    <n v="94"/>
    <x v="0"/>
    <n v="2"/>
    <x v="3"/>
    <n v="2"/>
    <x v="1"/>
    <x v="81"/>
    <n v="17736"/>
    <n v="1"/>
    <s v="Y"/>
    <x v="1"/>
    <n v="15"/>
    <n v="3"/>
    <n v="3"/>
    <n v="80"/>
    <n v="0"/>
    <n v="5"/>
    <n v="2"/>
    <n v="3"/>
    <n v="5"/>
    <n v="2"/>
    <n v="1"/>
    <n v="3"/>
  </r>
  <r>
    <n v="56"/>
    <x v="3"/>
    <x v="1"/>
    <n v="0"/>
    <x v="0"/>
    <n v="1400"/>
    <x v="1"/>
    <x v="15"/>
    <n v="3"/>
    <x v="3"/>
    <x v="0"/>
    <n v="4"/>
    <x v="1"/>
    <n v="49"/>
    <x v="3"/>
    <n v="3"/>
    <x v="3"/>
    <n v="4"/>
    <x v="0"/>
    <x v="82"/>
    <n v="21698"/>
    <n v="4"/>
    <s v="Y"/>
    <x v="1"/>
    <n v="11"/>
    <n v="3"/>
    <n v="1"/>
    <n v="80"/>
    <n v="0"/>
    <n v="37"/>
    <n v="3"/>
    <n v="2"/>
    <n v="6"/>
    <n v="4"/>
    <n v="0"/>
    <n v="2"/>
  </r>
  <r>
    <n v="23"/>
    <x v="4"/>
    <x v="1"/>
    <n v="0"/>
    <x v="0"/>
    <n v="541"/>
    <x v="0"/>
    <x v="2"/>
    <n v="1"/>
    <x v="1"/>
    <x v="4"/>
    <n v="3"/>
    <x v="1"/>
    <n v="62"/>
    <x v="0"/>
    <n v="1"/>
    <x v="6"/>
    <n v="1"/>
    <x v="2"/>
    <x v="83"/>
    <n v="9518"/>
    <n v="3"/>
    <s v="Y"/>
    <x v="1"/>
    <n v="13"/>
    <n v="3"/>
    <n v="3"/>
    <n v="80"/>
    <n v="1"/>
    <n v="3"/>
    <n v="3"/>
    <n v="3"/>
    <n v="0"/>
    <n v="0"/>
    <n v="0"/>
    <n v="0"/>
  </r>
  <r>
    <n v="51"/>
    <x v="1"/>
    <x v="1"/>
    <n v="0"/>
    <x v="0"/>
    <n v="432"/>
    <x v="1"/>
    <x v="14"/>
    <n v="4"/>
    <x v="2"/>
    <x v="0"/>
    <n v="4"/>
    <x v="1"/>
    <n v="96"/>
    <x v="0"/>
    <n v="1"/>
    <x v="2"/>
    <n v="4"/>
    <x v="1"/>
    <x v="84"/>
    <n v="18725"/>
    <n v="3"/>
    <s v="Y"/>
    <x v="1"/>
    <n v="23"/>
    <n v="4"/>
    <n v="2"/>
    <n v="80"/>
    <n v="2"/>
    <n v="10"/>
    <n v="4"/>
    <n v="3"/>
    <n v="4"/>
    <n v="2"/>
    <n v="0"/>
    <n v="3"/>
  </r>
  <r>
    <n v="30"/>
    <x v="2"/>
    <x v="1"/>
    <n v="0"/>
    <x v="0"/>
    <n v="288"/>
    <x v="1"/>
    <x v="2"/>
    <n v="3"/>
    <x v="3"/>
    <x v="0"/>
    <n v="3"/>
    <x v="1"/>
    <n v="99"/>
    <x v="1"/>
    <n v="2"/>
    <x v="4"/>
    <n v="4"/>
    <x v="1"/>
    <x v="85"/>
    <n v="15830"/>
    <n v="1"/>
    <s v="Y"/>
    <x v="1"/>
    <n v="19"/>
    <n v="3"/>
    <n v="1"/>
    <n v="80"/>
    <n v="3"/>
    <n v="11"/>
    <n v="3"/>
    <n v="3"/>
    <n v="11"/>
    <n v="10"/>
    <n v="10"/>
    <n v="8"/>
  </r>
  <r>
    <n v="46"/>
    <x v="1"/>
    <x v="0"/>
    <n v="1"/>
    <x v="0"/>
    <n v="669"/>
    <x v="0"/>
    <x v="14"/>
    <n v="2"/>
    <x v="0"/>
    <x v="2"/>
    <n v="3"/>
    <x v="1"/>
    <n v="64"/>
    <x v="1"/>
    <n v="3"/>
    <x v="0"/>
    <n v="4"/>
    <x v="0"/>
    <x v="86"/>
    <n v="13596"/>
    <n v="1"/>
    <s v="Y"/>
    <x v="1"/>
    <n v="16"/>
    <n v="3"/>
    <n v="4"/>
    <n v="80"/>
    <n v="0"/>
    <n v="9"/>
    <n v="3"/>
    <n v="3"/>
    <n v="9"/>
    <n v="8"/>
    <n v="4"/>
    <n v="7"/>
  </r>
  <r>
    <n v="40"/>
    <x v="0"/>
    <x v="1"/>
    <n v="0"/>
    <x v="1"/>
    <n v="530"/>
    <x v="1"/>
    <x v="0"/>
    <n v="4"/>
    <x v="2"/>
    <x v="0"/>
    <n v="3"/>
    <x v="1"/>
    <n v="78"/>
    <x v="1"/>
    <n v="4"/>
    <x v="4"/>
    <n v="2"/>
    <x v="1"/>
    <x v="87"/>
    <n v="14115"/>
    <n v="1"/>
    <s v="Y"/>
    <x v="1"/>
    <n v="22"/>
    <n v="4"/>
    <n v="4"/>
    <n v="80"/>
    <n v="1"/>
    <n v="22"/>
    <n v="3"/>
    <n v="2"/>
    <n v="22"/>
    <n v="3"/>
    <n v="11"/>
    <n v="11"/>
  </r>
  <r>
    <n v="51"/>
    <x v="1"/>
    <x v="1"/>
    <n v="0"/>
    <x v="0"/>
    <n v="632"/>
    <x v="0"/>
    <x v="11"/>
    <n v="4"/>
    <x v="2"/>
    <x v="3"/>
    <n v="3"/>
    <x v="1"/>
    <n v="71"/>
    <x v="0"/>
    <n v="2"/>
    <x v="0"/>
    <n v="4"/>
    <x v="0"/>
    <x v="88"/>
    <n v="8423"/>
    <n v="0"/>
    <s v="Y"/>
    <x v="0"/>
    <n v="22"/>
    <n v="4"/>
    <n v="4"/>
    <n v="80"/>
    <n v="0"/>
    <n v="11"/>
    <n v="2"/>
    <n v="1"/>
    <n v="10"/>
    <n v="7"/>
    <n v="1"/>
    <n v="0"/>
  </r>
  <r>
    <n v="30"/>
    <x v="2"/>
    <x v="1"/>
    <n v="0"/>
    <x v="0"/>
    <n v="1334"/>
    <x v="0"/>
    <x v="18"/>
    <n v="2"/>
    <x v="0"/>
    <x v="2"/>
    <n v="3"/>
    <x v="0"/>
    <n v="63"/>
    <x v="1"/>
    <n v="2"/>
    <x v="0"/>
    <n v="2"/>
    <x v="2"/>
    <x v="89"/>
    <n v="19760"/>
    <n v="1"/>
    <s v="Y"/>
    <x v="0"/>
    <n v="12"/>
    <n v="3"/>
    <n v="2"/>
    <n v="80"/>
    <n v="3"/>
    <n v="11"/>
    <n v="4"/>
    <n v="2"/>
    <n v="11"/>
    <n v="8"/>
    <n v="2"/>
    <n v="7"/>
  </r>
  <r>
    <n v="46"/>
    <x v="1"/>
    <x v="1"/>
    <n v="0"/>
    <x v="1"/>
    <n v="638"/>
    <x v="1"/>
    <x v="0"/>
    <n v="3"/>
    <x v="3"/>
    <x v="2"/>
    <n v="3"/>
    <x v="1"/>
    <n v="40"/>
    <x v="1"/>
    <n v="3"/>
    <x v="4"/>
    <n v="1"/>
    <x v="1"/>
    <x v="90"/>
    <n v="3142"/>
    <n v="2"/>
    <s v="Y"/>
    <x v="0"/>
    <n v="13"/>
    <n v="3"/>
    <n v="3"/>
    <n v="80"/>
    <n v="1"/>
    <n v="21"/>
    <n v="5"/>
    <n v="2"/>
    <n v="10"/>
    <n v="9"/>
    <n v="9"/>
    <n v="5"/>
  </r>
  <r>
    <n v="32"/>
    <x v="2"/>
    <x v="1"/>
    <n v="0"/>
    <x v="0"/>
    <n v="1093"/>
    <x v="0"/>
    <x v="16"/>
    <n v="4"/>
    <x v="2"/>
    <x v="2"/>
    <n v="2"/>
    <x v="1"/>
    <n v="87"/>
    <x v="0"/>
    <n v="2"/>
    <x v="0"/>
    <n v="3"/>
    <x v="0"/>
    <x v="91"/>
    <n v="24301"/>
    <n v="1"/>
    <s v="Y"/>
    <x v="1"/>
    <n v="16"/>
    <n v="3"/>
    <n v="1"/>
    <n v="80"/>
    <n v="0"/>
    <n v="12"/>
    <n v="0"/>
    <n v="3"/>
    <n v="11"/>
    <n v="8"/>
    <n v="5"/>
    <n v="7"/>
  </r>
  <r>
    <n v="54"/>
    <x v="1"/>
    <x v="1"/>
    <n v="0"/>
    <x v="0"/>
    <n v="1217"/>
    <x v="1"/>
    <x v="2"/>
    <n v="4"/>
    <x v="2"/>
    <x v="4"/>
    <n v="1"/>
    <x v="0"/>
    <n v="60"/>
    <x v="0"/>
    <n v="3"/>
    <x v="7"/>
    <n v="3"/>
    <x v="1"/>
    <x v="92"/>
    <n v="24001"/>
    <n v="9"/>
    <s v="Y"/>
    <x v="1"/>
    <n v="12"/>
    <n v="3"/>
    <n v="1"/>
    <n v="80"/>
    <n v="1"/>
    <n v="16"/>
    <n v="5"/>
    <n v="1"/>
    <n v="4"/>
    <n v="3"/>
    <n v="0"/>
    <n v="3"/>
  </r>
  <r>
    <n v="24"/>
    <x v="4"/>
    <x v="1"/>
    <n v="0"/>
    <x v="0"/>
    <n v="1353"/>
    <x v="0"/>
    <x v="3"/>
    <n v="2"/>
    <x v="0"/>
    <x v="1"/>
    <n v="1"/>
    <x v="0"/>
    <n v="33"/>
    <x v="0"/>
    <n v="2"/>
    <x v="0"/>
    <n v="3"/>
    <x v="1"/>
    <x v="93"/>
    <n v="17519"/>
    <n v="0"/>
    <s v="Y"/>
    <x v="1"/>
    <n v="21"/>
    <n v="4"/>
    <n v="1"/>
    <n v="80"/>
    <n v="1"/>
    <n v="4"/>
    <n v="2"/>
    <n v="2"/>
    <n v="3"/>
    <n v="2"/>
    <n v="0"/>
    <n v="2"/>
  </r>
  <r>
    <n v="28"/>
    <x v="2"/>
    <x v="1"/>
    <n v="0"/>
    <x v="2"/>
    <n v="120"/>
    <x v="0"/>
    <x v="18"/>
    <n v="3"/>
    <x v="3"/>
    <x v="2"/>
    <n v="2"/>
    <x v="1"/>
    <n v="43"/>
    <x v="0"/>
    <n v="2"/>
    <x v="0"/>
    <n v="3"/>
    <x v="1"/>
    <x v="94"/>
    <n v="8863"/>
    <n v="1"/>
    <s v="Y"/>
    <x v="1"/>
    <n v="15"/>
    <n v="3"/>
    <n v="2"/>
    <n v="80"/>
    <n v="0"/>
    <n v="5"/>
    <n v="3"/>
    <n v="4"/>
    <n v="5"/>
    <n v="4"/>
    <n v="0"/>
    <n v="4"/>
  </r>
  <r>
    <n v="58"/>
    <x v="3"/>
    <x v="1"/>
    <n v="0"/>
    <x v="0"/>
    <n v="682"/>
    <x v="0"/>
    <x v="17"/>
    <n v="4"/>
    <x v="2"/>
    <x v="2"/>
    <n v="4"/>
    <x v="1"/>
    <n v="37"/>
    <x v="0"/>
    <n v="4"/>
    <x v="0"/>
    <n v="3"/>
    <x v="0"/>
    <x v="95"/>
    <n v="24409"/>
    <n v="0"/>
    <s v="Y"/>
    <x v="1"/>
    <n v="13"/>
    <n v="3"/>
    <n v="3"/>
    <n v="80"/>
    <n v="0"/>
    <n v="38"/>
    <n v="1"/>
    <n v="2"/>
    <n v="37"/>
    <n v="10"/>
    <n v="1"/>
    <n v="8"/>
  </r>
  <r>
    <n v="44"/>
    <x v="0"/>
    <x v="1"/>
    <n v="0"/>
    <x v="2"/>
    <n v="489"/>
    <x v="1"/>
    <x v="5"/>
    <n v="3"/>
    <x v="3"/>
    <x v="2"/>
    <n v="2"/>
    <x v="1"/>
    <n v="67"/>
    <x v="0"/>
    <n v="2"/>
    <x v="2"/>
    <n v="2"/>
    <x v="1"/>
    <x v="96"/>
    <n v="25043"/>
    <n v="4"/>
    <s v="Y"/>
    <x v="1"/>
    <n v="12"/>
    <n v="3"/>
    <n v="3"/>
    <n v="80"/>
    <n v="1"/>
    <n v="17"/>
    <n v="3"/>
    <n v="4"/>
    <n v="3"/>
    <n v="2"/>
    <n v="1"/>
    <n v="2"/>
  </r>
  <r>
    <n v="37"/>
    <x v="0"/>
    <x v="0"/>
    <n v="1"/>
    <x v="0"/>
    <n v="807"/>
    <x v="2"/>
    <x v="16"/>
    <n v="4"/>
    <x v="2"/>
    <x v="5"/>
    <n v="3"/>
    <x v="1"/>
    <n v="63"/>
    <x v="0"/>
    <n v="1"/>
    <x v="8"/>
    <n v="1"/>
    <x v="2"/>
    <x v="97"/>
    <n v="23648"/>
    <n v="4"/>
    <s v="Y"/>
    <x v="0"/>
    <n v="22"/>
    <n v="4"/>
    <n v="4"/>
    <n v="80"/>
    <n v="0"/>
    <n v="7"/>
    <n v="3"/>
    <n v="3"/>
    <n v="3"/>
    <n v="2"/>
    <n v="0"/>
    <n v="2"/>
  </r>
  <r>
    <n v="32"/>
    <x v="2"/>
    <x v="1"/>
    <n v="0"/>
    <x v="0"/>
    <n v="827"/>
    <x v="1"/>
    <x v="0"/>
    <n v="1"/>
    <x v="1"/>
    <x v="0"/>
    <n v="4"/>
    <x v="1"/>
    <n v="71"/>
    <x v="0"/>
    <n v="1"/>
    <x v="1"/>
    <n v="1"/>
    <x v="0"/>
    <x v="98"/>
    <n v="15178"/>
    <n v="1"/>
    <s v="Y"/>
    <x v="1"/>
    <n v="13"/>
    <n v="3"/>
    <n v="4"/>
    <n v="80"/>
    <n v="0"/>
    <n v="1"/>
    <n v="2"/>
    <n v="3"/>
    <n v="1"/>
    <n v="0"/>
    <n v="0"/>
    <n v="0"/>
  </r>
  <r>
    <n v="20"/>
    <x v="4"/>
    <x v="0"/>
    <n v="1"/>
    <x v="1"/>
    <n v="871"/>
    <x v="1"/>
    <x v="16"/>
    <n v="3"/>
    <x v="3"/>
    <x v="0"/>
    <n v="4"/>
    <x v="0"/>
    <n v="66"/>
    <x v="1"/>
    <n v="1"/>
    <x v="2"/>
    <n v="4"/>
    <x v="0"/>
    <x v="99"/>
    <n v="19783"/>
    <n v="1"/>
    <s v="Y"/>
    <x v="0"/>
    <n v="18"/>
    <n v="3"/>
    <n v="2"/>
    <n v="80"/>
    <n v="0"/>
    <n v="1"/>
    <n v="5"/>
    <n v="3"/>
    <n v="1"/>
    <n v="0"/>
    <n v="1"/>
    <n v="0"/>
  </r>
  <r>
    <n v="34"/>
    <x v="2"/>
    <x v="1"/>
    <n v="0"/>
    <x v="0"/>
    <n v="665"/>
    <x v="1"/>
    <x v="16"/>
    <n v="4"/>
    <x v="2"/>
    <x v="1"/>
    <n v="1"/>
    <x v="0"/>
    <n v="41"/>
    <x v="0"/>
    <n v="2"/>
    <x v="1"/>
    <n v="3"/>
    <x v="0"/>
    <x v="100"/>
    <n v="12482"/>
    <n v="1"/>
    <s v="Y"/>
    <x v="1"/>
    <n v="14"/>
    <n v="3"/>
    <n v="3"/>
    <n v="80"/>
    <n v="0"/>
    <n v="16"/>
    <n v="3"/>
    <n v="3"/>
    <n v="16"/>
    <n v="13"/>
    <n v="2"/>
    <n v="10"/>
  </r>
  <r>
    <n v="37"/>
    <x v="0"/>
    <x v="1"/>
    <n v="0"/>
    <x v="2"/>
    <n v="1040"/>
    <x v="1"/>
    <x v="2"/>
    <n v="2"/>
    <x v="0"/>
    <x v="0"/>
    <n v="3"/>
    <x v="1"/>
    <n v="100"/>
    <x v="1"/>
    <n v="2"/>
    <x v="4"/>
    <n v="4"/>
    <x v="2"/>
    <x v="101"/>
    <n v="15850"/>
    <n v="5"/>
    <s v="Y"/>
    <x v="1"/>
    <n v="14"/>
    <n v="3"/>
    <n v="4"/>
    <n v="80"/>
    <n v="1"/>
    <n v="17"/>
    <n v="2"/>
    <n v="4"/>
    <n v="1"/>
    <n v="0"/>
    <n v="0"/>
    <n v="0"/>
  </r>
  <r>
    <n v="59"/>
    <x v="3"/>
    <x v="1"/>
    <n v="0"/>
    <x v="2"/>
    <n v="1420"/>
    <x v="2"/>
    <x v="2"/>
    <n v="4"/>
    <x v="2"/>
    <x v="5"/>
    <n v="3"/>
    <x v="0"/>
    <n v="32"/>
    <x v="1"/>
    <n v="5"/>
    <x v="5"/>
    <n v="4"/>
    <x v="1"/>
    <x v="102"/>
    <n v="21922"/>
    <n v="9"/>
    <s v="Y"/>
    <x v="1"/>
    <n v="21"/>
    <n v="4"/>
    <n v="4"/>
    <n v="80"/>
    <n v="1"/>
    <n v="30"/>
    <n v="3"/>
    <n v="3"/>
    <n v="3"/>
    <n v="2"/>
    <n v="2"/>
    <n v="2"/>
  </r>
  <r>
    <n v="50"/>
    <x v="1"/>
    <x v="1"/>
    <n v="0"/>
    <x v="1"/>
    <n v="1115"/>
    <x v="1"/>
    <x v="0"/>
    <n v="3"/>
    <x v="3"/>
    <x v="0"/>
    <n v="1"/>
    <x v="0"/>
    <n v="73"/>
    <x v="0"/>
    <n v="5"/>
    <x v="7"/>
    <n v="2"/>
    <x v="1"/>
    <x v="103"/>
    <n v="9755"/>
    <n v="3"/>
    <s v="Y"/>
    <x v="0"/>
    <n v="19"/>
    <n v="3"/>
    <n v="1"/>
    <n v="80"/>
    <n v="0"/>
    <n v="28"/>
    <n v="1"/>
    <n v="2"/>
    <n v="8"/>
    <n v="3"/>
    <n v="0"/>
    <n v="7"/>
  </r>
  <r>
    <n v="25"/>
    <x v="2"/>
    <x v="0"/>
    <n v="1"/>
    <x v="0"/>
    <n v="240"/>
    <x v="0"/>
    <x v="12"/>
    <n v="3"/>
    <x v="3"/>
    <x v="3"/>
    <n v="3"/>
    <x v="1"/>
    <n v="46"/>
    <x v="1"/>
    <n v="2"/>
    <x v="0"/>
    <n v="3"/>
    <x v="0"/>
    <x v="104"/>
    <n v="26959"/>
    <n v="1"/>
    <s v="Y"/>
    <x v="0"/>
    <n v="11"/>
    <n v="3"/>
    <n v="4"/>
    <n v="80"/>
    <n v="0"/>
    <n v="6"/>
    <n v="1"/>
    <n v="3"/>
    <n v="6"/>
    <n v="4"/>
    <n v="0"/>
    <n v="3"/>
  </r>
  <r>
    <n v="25"/>
    <x v="2"/>
    <x v="1"/>
    <n v="0"/>
    <x v="0"/>
    <n v="1280"/>
    <x v="1"/>
    <x v="15"/>
    <n v="1"/>
    <x v="1"/>
    <x v="2"/>
    <n v="4"/>
    <x v="1"/>
    <n v="64"/>
    <x v="1"/>
    <n v="1"/>
    <x v="1"/>
    <n v="4"/>
    <x v="1"/>
    <x v="105"/>
    <n v="26897"/>
    <n v="1"/>
    <s v="Y"/>
    <x v="1"/>
    <n v="11"/>
    <n v="3"/>
    <n v="3"/>
    <n v="80"/>
    <n v="2"/>
    <n v="2"/>
    <n v="2"/>
    <n v="3"/>
    <n v="2"/>
    <n v="2"/>
    <n v="2"/>
    <n v="1"/>
  </r>
  <r>
    <n v="22"/>
    <x v="4"/>
    <x v="1"/>
    <n v="0"/>
    <x v="0"/>
    <n v="534"/>
    <x v="1"/>
    <x v="8"/>
    <n v="3"/>
    <x v="3"/>
    <x v="2"/>
    <n v="2"/>
    <x v="0"/>
    <n v="59"/>
    <x v="0"/>
    <n v="1"/>
    <x v="2"/>
    <n v="4"/>
    <x v="0"/>
    <x v="106"/>
    <n v="23785"/>
    <n v="1"/>
    <s v="Y"/>
    <x v="1"/>
    <n v="15"/>
    <n v="3"/>
    <n v="3"/>
    <n v="80"/>
    <n v="0"/>
    <n v="1"/>
    <n v="5"/>
    <n v="3"/>
    <n v="0"/>
    <n v="0"/>
    <n v="0"/>
    <n v="0"/>
  </r>
  <r>
    <n v="51"/>
    <x v="1"/>
    <x v="1"/>
    <n v="0"/>
    <x v="1"/>
    <n v="1456"/>
    <x v="1"/>
    <x v="0"/>
    <n v="4"/>
    <x v="2"/>
    <x v="2"/>
    <n v="1"/>
    <x v="0"/>
    <n v="30"/>
    <x v="1"/>
    <n v="3"/>
    <x v="4"/>
    <n v="1"/>
    <x v="0"/>
    <x v="107"/>
    <n v="25796"/>
    <n v="3"/>
    <s v="Y"/>
    <x v="1"/>
    <n v="20"/>
    <n v="4"/>
    <n v="3"/>
    <n v="80"/>
    <n v="0"/>
    <n v="23"/>
    <n v="1"/>
    <n v="2"/>
    <n v="13"/>
    <n v="12"/>
    <n v="12"/>
    <n v="8"/>
  </r>
  <r>
    <n v="34"/>
    <x v="2"/>
    <x v="0"/>
    <n v="1"/>
    <x v="1"/>
    <n v="658"/>
    <x v="1"/>
    <x v="15"/>
    <n v="3"/>
    <x v="3"/>
    <x v="0"/>
    <n v="1"/>
    <x v="1"/>
    <n v="66"/>
    <x v="3"/>
    <n v="2"/>
    <x v="2"/>
    <n v="3"/>
    <x v="0"/>
    <x v="108"/>
    <n v="22887"/>
    <n v="1"/>
    <s v="Y"/>
    <x v="0"/>
    <n v="24"/>
    <n v="4"/>
    <n v="4"/>
    <n v="80"/>
    <n v="0"/>
    <n v="9"/>
    <n v="3"/>
    <n v="3"/>
    <n v="9"/>
    <n v="7"/>
    <n v="0"/>
    <n v="6"/>
  </r>
  <r>
    <n v="54"/>
    <x v="1"/>
    <x v="1"/>
    <n v="0"/>
    <x v="2"/>
    <n v="142"/>
    <x v="2"/>
    <x v="9"/>
    <n v="3"/>
    <x v="3"/>
    <x v="5"/>
    <n v="4"/>
    <x v="0"/>
    <n v="30"/>
    <x v="2"/>
    <n v="4"/>
    <x v="5"/>
    <n v="4"/>
    <x v="0"/>
    <x v="109"/>
    <n v="13871"/>
    <n v="2"/>
    <s v="Y"/>
    <x v="0"/>
    <n v="12"/>
    <n v="3"/>
    <n v="3"/>
    <n v="80"/>
    <n v="0"/>
    <n v="23"/>
    <n v="3"/>
    <n v="3"/>
    <n v="5"/>
    <n v="3"/>
    <n v="4"/>
    <n v="4"/>
  </r>
  <r>
    <n v="24"/>
    <x v="4"/>
    <x v="1"/>
    <n v="0"/>
    <x v="0"/>
    <n v="1127"/>
    <x v="1"/>
    <x v="21"/>
    <n v="1"/>
    <x v="1"/>
    <x v="0"/>
    <n v="2"/>
    <x v="1"/>
    <n v="52"/>
    <x v="0"/>
    <n v="1"/>
    <x v="2"/>
    <n v="3"/>
    <x v="1"/>
    <x v="110"/>
    <n v="13257"/>
    <n v="0"/>
    <s v="Y"/>
    <x v="1"/>
    <n v="12"/>
    <n v="3"/>
    <n v="3"/>
    <n v="80"/>
    <n v="1"/>
    <n v="6"/>
    <n v="2"/>
    <n v="3"/>
    <n v="5"/>
    <n v="3"/>
    <n v="1"/>
    <n v="2"/>
  </r>
  <r>
    <n v="34"/>
    <x v="2"/>
    <x v="1"/>
    <n v="0"/>
    <x v="0"/>
    <n v="1031"/>
    <x v="1"/>
    <x v="16"/>
    <n v="4"/>
    <x v="2"/>
    <x v="0"/>
    <n v="3"/>
    <x v="0"/>
    <n v="45"/>
    <x v="1"/>
    <n v="2"/>
    <x v="1"/>
    <n v="2"/>
    <x v="2"/>
    <x v="111"/>
    <n v="15000"/>
    <n v="6"/>
    <s v="Y"/>
    <x v="1"/>
    <n v="15"/>
    <n v="3"/>
    <n v="3"/>
    <n v="80"/>
    <n v="1"/>
    <n v="12"/>
    <n v="3"/>
    <n v="3"/>
    <n v="1"/>
    <n v="0"/>
    <n v="0"/>
    <n v="0"/>
  </r>
  <r>
    <n v="37"/>
    <x v="0"/>
    <x v="1"/>
    <n v="0"/>
    <x v="0"/>
    <n v="1189"/>
    <x v="0"/>
    <x v="3"/>
    <n v="3"/>
    <x v="3"/>
    <x v="0"/>
    <n v="3"/>
    <x v="1"/>
    <n v="87"/>
    <x v="0"/>
    <n v="3"/>
    <x v="0"/>
    <n v="4"/>
    <x v="0"/>
    <x v="112"/>
    <n v="14506"/>
    <n v="2"/>
    <s v="Y"/>
    <x v="1"/>
    <n v="12"/>
    <n v="3"/>
    <n v="1"/>
    <n v="80"/>
    <n v="0"/>
    <n v="12"/>
    <n v="3"/>
    <n v="3"/>
    <n v="5"/>
    <n v="3"/>
    <n v="1"/>
    <n v="3"/>
  </r>
  <r>
    <n v="34"/>
    <x v="2"/>
    <x v="1"/>
    <n v="0"/>
    <x v="0"/>
    <n v="1354"/>
    <x v="1"/>
    <x v="12"/>
    <n v="3"/>
    <x v="3"/>
    <x v="2"/>
    <n v="3"/>
    <x v="0"/>
    <n v="45"/>
    <x v="1"/>
    <n v="3"/>
    <x v="5"/>
    <n v="1"/>
    <x v="0"/>
    <x v="113"/>
    <n v="5615"/>
    <n v="2"/>
    <s v="Y"/>
    <x v="1"/>
    <n v="12"/>
    <n v="3"/>
    <n v="4"/>
    <n v="80"/>
    <n v="0"/>
    <n v="14"/>
    <n v="6"/>
    <n v="3"/>
    <n v="11"/>
    <n v="10"/>
    <n v="5"/>
    <n v="8"/>
  </r>
  <r>
    <n v="36"/>
    <x v="0"/>
    <x v="1"/>
    <n v="0"/>
    <x v="1"/>
    <n v="1467"/>
    <x v="0"/>
    <x v="13"/>
    <n v="2"/>
    <x v="0"/>
    <x v="4"/>
    <n v="2"/>
    <x v="0"/>
    <n v="92"/>
    <x v="0"/>
    <n v="3"/>
    <x v="0"/>
    <n v="4"/>
    <x v="1"/>
    <x v="114"/>
    <n v="22952"/>
    <n v="0"/>
    <s v="Y"/>
    <x v="1"/>
    <n v="14"/>
    <n v="3"/>
    <n v="3"/>
    <n v="80"/>
    <n v="1"/>
    <n v="10"/>
    <n v="6"/>
    <n v="3"/>
    <n v="9"/>
    <n v="7"/>
    <n v="2"/>
    <n v="8"/>
  </r>
  <r>
    <n v="36"/>
    <x v="0"/>
    <x v="1"/>
    <n v="0"/>
    <x v="0"/>
    <n v="922"/>
    <x v="1"/>
    <x v="3"/>
    <n v="2"/>
    <x v="0"/>
    <x v="0"/>
    <n v="1"/>
    <x v="0"/>
    <n v="39"/>
    <x v="0"/>
    <n v="1"/>
    <x v="2"/>
    <n v="4"/>
    <x v="2"/>
    <x v="115"/>
    <n v="2561"/>
    <n v="5"/>
    <s v="Y"/>
    <x v="1"/>
    <n v="22"/>
    <n v="4"/>
    <n v="1"/>
    <n v="80"/>
    <n v="1"/>
    <n v="7"/>
    <n v="2"/>
    <n v="3"/>
    <n v="1"/>
    <n v="0"/>
    <n v="0"/>
    <n v="0"/>
  </r>
  <r>
    <n v="43"/>
    <x v="0"/>
    <x v="1"/>
    <n v="0"/>
    <x v="1"/>
    <n v="394"/>
    <x v="0"/>
    <x v="9"/>
    <n v="2"/>
    <x v="0"/>
    <x v="0"/>
    <n v="3"/>
    <x v="1"/>
    <n v="92"/>
    <x v="0"/>
    <n v="4"/>
    <x v="5"/>
    <n v="4"/>
    <x v="1"/>
    <x v="116"/>
    <n v="19494"/>
    <n v="1"/>
    <s v="Y"/>
    <x v="0"/>
    <n v="12"/>
    <n v="3"/>
    <n v="4"/>
    <n v="80"/>
    <n v="2"/>
    <n v="25"/>
    <n v="3"/>
    <n v="4"/>
    <n v="25"/>
    <n v="12"/>
    <n v="4"/>
    <n v="12"/>
  </r>
  <r>
    <n v="30"/>
    <x v="2"/>
    <x v="1"/>
    <n v="0"/>
    <x v="1"/>
    <n v="1312"/>
    <x v="1"/>
    <x v="5"/>
    <n v="3"/>
    <x v="3"/>
    <x v="0"/>
    <n v="1"/>
    <x v="1"/>
    <n v="96"/>
    <x v="3"/>
    <n v="1"/>
    <x v="1"/>
    <n v="3"/>
    <x v="2"/>
    <x v="117"/>
    <n v="22310"/>
    <n v="1"/>
    <s v="Y"/>
    <x v="1"/>
    <n v="25"/>
    <n v="4"/>
    <n v="3"/>
    <n v="80"/>
    <n v="3"/>
    <n v="10"/>
    <n v="2"/>
    <n v="2"/>
    <n v="10"/>
    <n v="7"/>
    <n v="0"/>
    <n v="9"/>
  </r>
  <r>
    <n v="33"/>
    <x v="2"/>
    <x v="1"/>
    <n v="0"/>
    <x v="2"/>
    <n v="750"/>
    <x v="0"/>
    <x v="23"/>
    <n v="2"/>
    <x v="0"/>
    <x v="3"/>
    <n v="3"/>
    <x v="1"/>
    <n v="95"/>
    <x v="0"/>
    <n v="2"/>
    <x v="0"/>
    <n v="2"/>
    <x v="1"/>
    <x v="118"/>
    <n v="15480"/>
    <n v="0"/>
    <s v="Y"/>
    <x v="1"/>
    <n v="13"/>
    <n v="3"/>
    <n v="1"/>
    <n v="80"/>
    <n v="1"/>
    <n v="8"/>
    <n v="2"/>
    <n v="4"/>
    <n v="7"/>
    <n v="7"/>
    <n v="0"/>
    <n v="7"/>
  </r>
  <r>
    <n v="56"/>
    <x v="3"/>
    <x v="0"/>
    <n v="1"/>
    <x v="0"/>
    <n v="441"/>
    <x v="1"/>
    <x v="24"/>
    <n v="4"/>
    <x v="2"/>
    <x v="0"/>
    <n v="2"/>
    <x v="0"/>
    <n v="72"/>
    <x v="0"/>
    <n v="1"/>
    <x v="1"/>
    <n v="2"/>
    <x v="1"/>
    <x v="119"/>
    <n v="4510"/>
    <n v="9"/>
    <s v="Y"/>
    <x v="0"/>
    <n v="18"/>
    <n v="3"/>
    <n v="1"/>
    <n v="80"/>
    <n v="3"/>
    <n v="7"/>
    <n v="2"/>
    <n v="3"/>
    <n v="5"/>
    <n v="4"/>
    <n v="4"/>
    <n v="3"/>
  </r>
  <r>
    <n v="51"/>
    <x v="1"/>
    <x v="1"/>
    <n v="0"/>
    <x v="0"/>
    <n v="684"/>
    <x v="1"/>
    <x v="16"/>
    <n v="3"/>
    <x v="3"/>
    <x v="0"/>
    <n v="1"/>
    <x v="1"/>
    <n v="51"/>
    <x v="0"/>
    <n v="5"/>
    <x v="7"/>
    <n v="3"/>
    <x v="0"/>
    <x v="120"/>
    <n v="6462"/>
    <n v="7"/>
    <s v="Y"/>
    <x v="1"/>
    <n v="13"/>
    <n v="3"/>
    <n v="3"/>
    <n v="80"/>
    <n v="0"/>
    <n v="23"/>
    <n v="5"/>
    <n v="3"/>
    <n v="20"/>
    <n v="18"/>
    <n v="15"/>
    <n v="15"/>
  </r>
  <r>
    <n v="31"/>
    <x v="2"/>
    <x v="0"/>
    <n v="1"/>
    <x v="0"/>
    <n v="249"/>
    <x v="0"/>
    <x v="16"/>
    <n v="4"/>
    <x v="2"/>
    <x v="0"/>
    <n v="2"/>
    <x v="1"/>
    <n v="76"/>
    <x v="3"/>
    <n v="2"/>
    <x v="0"/>
    <n v="3"/>
    <x v="1"/>
    <x v="121"/>
    <n v="20739"/>
    <n v="4"/>
    <s v="Y"/>
    <x v="0"/>
    <n v="18"/>
    <n v="3"/>
    <n v="2"/>
    <n v="80"/>
    <n v="0"/>
    <n v="12"/>
    <n v="3"/>
    <n v="2"/>
    <n v="7"/>
    <n v="7"/>
    <n v="7"/>
    <n v="7"/>
  </r>
  <r>
    <n v="26"/>
    <x v="2"/>
    <x v="1"/>
    <n v="0"/>
    <x v="0"/>
    <n v="841"/>
    <x v="1"/>
    <x v="16"/>
    <n v="3"/>
    <x v="3"/>
    <x v="1"/>
    <n v="3"/>
    <x v="0"/>
    <n v="46"/>
    <x v="1"/>
    <n v="1"/>
    <x v="1"/>
    <n v="2"/>
    <x v="1"/>
    <x v="122"/>
    <n v="23300"/>
    <n v="1"/>
    <s v="Y"/>
    <x v="1"/>
    <n v="19"/>
    <n v="3"/>
    <n v="3"/>
    <n v="80"/>
    <n v="0"/>
    <n v="5"/>
    <n v="3"/>
    <n v="2"/>
    <n v="5"/>
    <n v="4"/>
    <n v="4"/>
    <n v="3"/>
  </r>
  <r>
    <n v="58"/>
    <x v="3"/>
    <x v="0"/>
    <n v="1"/>
    <x v="0"/>
    <n v="147"/>
    <x v="1"/>
    <x v="5"/>
    <n v="4"/>
    <x v="2"/>
    <x v="2"/>
    <n v="4"/>
    <x v="0"/>
    <n v="94"/>
    <x v="0"/>
    <n v="3"/>
    <x v="4"/>
    <n v="4"/>
    <x v="1"/>
    <x v="123"/>
    <n v="3465"/>
    <n v="1"/>
    <s v="Y"/>
    <x v="1"/>
    <n v="12"/>
    <n v="3"/>
    <n v="4"/>
    <n v="80"/>
    <n v="1"/>
    <n v="40"/>
    <n v="3"/>
    <n v="2"/>
    <n v="40"/>
    <n v="10"/>
    <n v="15"/>
    <n v="6"/>
  </r>
  <r>
    <n v="19"/>
    <x v="4"/>
    <x v="0"/>
    <n v="1"/>
    <x v="0"/>
    <n v="528"/>
    <x v="0"/>
    <x v="23"/>
    <n v="1"/>
    <x v="1"/>
    <x v="3"/>
    <n v="4"/>
    <x v="1"/>
    <n v="50"/>
    <x v="0"/>
    <n v="1"/>
    <x v="6"/>
    <n v="3"/>
    <x v="0"/>
    <x v="124"/>
    <n v="26820"/>
    <n v="1"/>
    <s v="Y"/>
    <x v="0"/>
    <n v="19"/>
    <n v="3"/>
    <n v="4"/>
    <n v="80"/>
    <n v="0"/>
    <n v="0"/>
    <n v="2"/>
    <n v="2"/>
    <n v="0"/>
    <n v="0"/>
    <n v="0"/>
    <n v="0"/>
  </r>
  <r>
    <n v="22"/>
    <x v="4"/>
    <x v="1"/>
    <n v="0"/>
    <x v="0"/>
    <n v="594"/>
    <x v="1"/>
    <x v="2"/>
    <n v="1"/>
    <x v="1"/>
    <x v="4"/>
    <n v="3"/>
    <x v="1"/>
    <n v="100"/>
    <x v="0"/>
    <n v="1"/>
    <x v="2"/>
    <n v="4"/>
    <x v="1"/>
    <x v="125"/>
    <n v="19299"/>
    <n v="0"/>
    <s v="Y"/>
    <x v="1"/>
    <n v="14"/>
    <n v="3"/>
    <n v="3"/>
    <n v="80"/>
    <n v="1"/>
    <n v="3"/>
    <n v="2"/>
    <n v="3"/>
    <n v="2"/>
    <n v="1"/>
    <n v="2"/>
    <n v="1"/>
  </r>
  <r>
    <n v="49"/>
    <x v="1"/>
    <x v="1"/>
    <n v="0"/>
    <x v="0"/>
    <n v="470"/>
    <x v="1"/>
    <x v="25"/>
    <n v="4"/>
    <x v="2"/>
    <x v="2"/>
    <n v="3"/>
    <x v="0"/>
    <n v="96"/>
    <x v="0"/>
    <n v="2"/>
    <x v="3"/>
    <n v="1"/>
    <x v="1"/>
    <x v="126"/>
    <n v="5549"/>
    <n v="1"/>
    <s v="Y"/>
    <x v="1"/>
    <n v="14"/>
    <n v="3"/>
    <n v="3"/>
    <n v="80"/>
    <n v="0"/>
    <n v="16"/>
    <n v="2"/>
    <n v="2"/>
    <n v="15"/>
    <n v="11"/>
    <n v="5"/>
    <n v="11"/>
  </r>
  <r>
    <n v="43"/>
    <x v="0"/>
    <x v="1"/>
    <n v="0"/>
    <x v="1"/>
    <n v="957"/>
    <x v="1"/>
    <x v="26"/>
    <n v="3"/>
    <x v="3"/>
    <x v="2"/>
    <n v="2"/>
    <x v="0"/>
    <n v="72"/>
    <x v="2"/>
    <n v="1"/>
    <x v="1"/>
    <n v="3"/>
    <x v="0"/>
    <x v="127"/>
    <n v="16090"/>
    <n v="4"/>
    <s v="Y"/>
    <x v="1"/>
    <n v="12"/>
    <n v="3"/>
    <n v="4"/>
    <n v="80"/>
    <n v="0"/>
    <n v="18"/>
    <n v="2"/>
    <n v="3"/>
    <n v="3"/>
    <n v="2"/>
    <n v="1"/>
    <n v="2"/>
  </r>
  <r>
    <n v="50"/>
    <x v="1"/>
    <x v="1"/>
    <n v="0"/>
    <x v="1"/>
    <n v="809"/>
    <x v="0"/>
    <x v="20"/>
    <n v="3"/>
    <x v="3"/>
    <x v="3"/>
    <n v="3"/>
    <x v="0"/>
    <n v="77"/>
    <x v="0"/>
    <n v="3"/>
    <x v="0"/>
    <n v="4"/>
    <x v="0"/>
    <x v="128"/>
    <n v="6645"/>
    <n v="4"/>
    <s v="Y"/>
    <x v="1"/>
    <n v="11"/>
    <n v="3"/>
    <n v="4"/>
    <n v="80"/>
    <n v="0"/>
    <n v="16"/>
    <n v="3"/>
    <n v="3"/>
    <n v="2"/>
    <n v="2"/>
    <n v="2"/>
    <n v="1"/>
  </r>
  <r>
    <n v="31"/>
    <x v="2"/>
    <x v="0"/>
    <n v="1"/>
    <x v="0"/>
    <n v="542"/>
    <x v="0"/>
    <x v="25"/>
    <n v="3"/>
    <x v="3"/>
    <x v="0"/>
    <n v="2"/>
    <x v="0"/>
    <n v="71"/>
    <x v="3"/>
    <n v="2"/>
    <x v="0"/>
    <n v="3"/>
    <x v="1"/>
    <x v="129"/>
    <n v="24788"/>
    <n v="3"/>
    <s v="Y"/>
    <x v="0"/>
    <n v="11"/>
    <n v="3"/>
    <n v="3"/>
    <n v="80"/>
    <n v="1"/>
    <n v="4"/>
    <n v="2"/>
    <n v="3"/>
    <n v="2"/>
    <n v="2"/>
    <n v="2"/>
    <n v="2"/>
  </r>
  <r>
    <n v="41"/>
    <x v="0"/>
    <x v="1"/>
    <n v="0"/>
    <x v="0"/>
    <n v="802"/>
    <x v="0"/>
    <x v="14"/>
    <n v="1"/>
    <x v="1"/>
    <x v="0"/>
    <n v="3"/>
    <x v="1"/>
    <n v="96"/>
    <x v="0"/>
    <n v="3"/>
    <x v="0"/>
    <n v="3"/>
    <x v="2"/>
    <x v="130"/>
    <n v="21196"/>
    <n v="3"/>
    <s v="Y"/>
    <x v="0"/>
    <n v="13"/>
    <n v="3"/>
    <n v="3"/>
    <n v="80"/>
    <n v="1"/>
    <n v="12"/>
    <n v="2"/>
    <n v="3"/>
    <n v="9"/>
    <n v="7"/>
    <n v="0"/>
    <n v="7"/>
  </r>
  <r>
    <n v="26"/>
    <x v="2"/>
    <x v="1"/>
    <n v="0"/>
    <x v="0"/>
    <n v="1355"/>
    <x v="2"/>
    <x v="19"/>
    <n v="1"/>
    <x v="1"/>
    <x v="0"/>
    <n v="3"/>
    <x v="0"/>
    <n v="61"/>
    <x v="0"/>
    <n v="1"/>
    <x v="8"/>
    <n v="3"/>
    <x v="1"/>
    <x v="131"/>
    <n v="8916"/>
    <n v="1"/>
    <s v="Y"/>
    <x v="1"/>
    <n v="23"/>
    <n v="4"/>
    <n v="4"/>
    <n v="80"/>
    <n v="1"/>
    <n v="8"/>
    <n v="3"/>
    <n v="3"/>
    <n v="8"/>
    <n v="7"/>
    <n v="5"/>
    <n v="7"/>
  </r>
  <r>
    <n v="36"/>
    <x v="0"/>
    <x v="1"/>
    <n v="0"/>
    <x v="0"/>
    <n v="216"/>
    <x v="1"/>
    <x v="16"/>
    <n v="2"/>
    <x v="0"/>
    <x v="2"/>
    <n v="2"/>
    <x v="1"/>
    <n v="84"/>
    <x v="0"/>
    <n v="2"/>
    <x v="3"/>
    <n v="2"/>
    <x v="2"/>
    <x v="132"/>
    <n v="2819"/>
    <n v="6"/>
    <s v="Y"/>
    <x v="1"/>
    <n v="20"/>
    <n v="4"/>
    <n v="4"/>
    <n v="80"/>
    <n v="2"/>
    <n v="7"/>
    <n v="0"/>
    <n v="3"/>
    <n v="3"/>
    <n v="2"/>
    <n v="0"/>
    <n v="1"/>
  </r>
  <r>
    <n v="51"/>
    <x v="1"/>
    <x v="0"/>
    <n v="1"/>
    <x v="1"/>
    <n v="1150"/>
    <x v="1"/>
    <x v="1"/>
    <n v="4"/>
    <x v="2"/>
    <x v="0"/>
    <n v="1"/>
    <x v="1"/>
    <n v="53"/>
    <x v="3"/>
    <n v="3"/>
    <x v="3"/>
    <n v="4"/>
    <x v="0"/>
    <x v="133"/>
    <n v="25150"/>
    <n v="2"/>
    <s v="Y"/>
    <x v="1"/>
    <n v="15"/>
    <n v="3"/>
    <n v="4"/>
    <n v="80"/>
    <n v="0"/>
    <n v="18"/>
    <n v="2"/>
    <n v="3"/>
    <n v="4"/>
    <n v="2"/>
    <n v="0"/>
    <n v="3"/>
  </r>
  <r>
    <n v="39"/>
    <x v="0"/>
    <x v="1"/>
    <n v="0"/>
    <x v="0"/>
    <n v="1329"/>
    <x v="0"/>
    <x v="18"/>
    <n v="4"/>
    <x v="2"/>
    <x v="0"/>
    <n v="4"/>
    <x v="0"/>
    <n v="47"/>
    <x v="1"/>
    <n v="2"/>
    <x v="0"/>
    <n v="3"/>
    <x v="1"/>
    <x v="134"/>
    <n v="14590"/>
    <n v="4"/>
    <s v="Y"/>
    <x v="1"/>
    <n v="14"/>
    <n v="3"/>
    <n v="3"/>
    <n v="80"/>
    <n v="1"/>
    <n v="17"/>
    <n v="1"/>
    <n v="4"/>
    <n v="15"/>
    <n v="11"/>
    <n v="5"/>
    <n v="9"/>
  </r>
  <r>
    <n v="25"/>
    <x v="2"/>
    <x v="1"/>
    <n v="0"/>
    <x v="0"/>
    <n v="959"/>
    <x v="0"/>
    <x v="26"/>
    <n v="3"/>
    <x v="3"/>
    <x v="0"/>
    <n v="1"/>
    <x v="1"/>
    <n v="41"/>
    <x v="1"/>
    <n v="2"/>
    <x v="0"/>
    <n v="3"/>
    <x v="1"/>
    <x v="135"/>
    <n v="24835"/>
    <n v="2"/>
    <s v="Y"/>
    <x v="1"/>
    <n v="18"/>
    <n v="3"/>
    <n v="4"/>
    <n v="80"/>
    <n v="0"/>
    <n v="6"/>
    <n v="3"/>
    <n v="3"/>
    <n v="2"/>
    <n v="2"/>
    <n v="2"/>
    <n v="2"/>
  </r>
  <r>
    <n v="30"/>
    <x v="2"/>
    <x v="1"/>
    <n v="0"/>
    <x v="0"/>
    <n v="1240"/>
    <x v="2"/>
    <x v="14"/>
    <n v="3"/>
    <x v="3"/>
    <x v="5"/>
    <n v="3"/>
    <x v="1"/>
    <n v="48"/>
    <x v="0"/>
    <n v="2"/>
    <x v="8"/>
    <n v="4"/>
    <x v="1"/>
    <x v="136"/>
    <n v="13982"/>
    <n v="0"/>
    <s v="Y"/>
    <x v="0"/>
    <n v="19"/>
    <n v="3"/>
    <n v="4"/>
    <n v="80"/>
    <n v="0"/>
    <n v="12"/>
    <n v="2"/>
    <n v="1"/>
    <n v="11"/>
    <n v="9"/>
    <n v="4"/>
    <n v="7"/>
  </r>
  <r>
    <n v="32"/>
    <x v="2"/>
    <x v="0"/>
    <n v="1"/>
    <x v="0"/>
    <n v="1033"/>
    <x v="1"/>
    <x v="14"/>
    <n v="3"/>
    <x v="3"/>
    <x v="2"/>
    <n v="1"/>
    <x v="0"/>
    <n v="41"/>
    <x v="0"/>
    <n v="1"/>
    <x v="2"/>
    <n v="1"/>
    <x v="0"/>
    <x v="137"/>
    <n v="10224"/>
    <n v="7"/>
    <s v="Y"/>
    <x v="1"/>
    <n v="22"/>
    <n v="4"/>
    <n v="1"/>
    <n v="80"/>
    <n v="0"/>
    <n v="10"/>
    <n v="2"/>
    <n v="4"/>
    <n v="5"/>
    <n v="4"/>
    <n v="0"/>
    <n v="4"/>
  </r>
  <r>
    <n v="45"/>
    <x v="1"/>
    <x v="1"/>
    <n v="0"/>
    <x v="0"/>
    <n v="1316"/>
    <x v="1"/>
    <x v="22"/>
    <n v="3"/>
    <x v="3"/>
    <x v="2"/>
    <n v="3"/>
    <x v="1"/>
    <n v="83"/>
    <x v="0"/>
    <n v="1"/>
    <x v="1"/>
    <n v="4"/>
    <x v="0"/>
    <x v="138"/>
    <n v="9752"/>
    <n v="5"/>
    <s v="Y"/>
    <x v="1"/>
    <n v="13"/>
    <n v="3"/>
    <n v="2"/>
    <n v="80"/>
    <n v="0"/>
    <n v="9"/>
    <n v="2"/>
    <n v="2"/>
    <n v="6"/>
    <n v="5"/>
    <n v="0"/>
    <n v="3"/>
  </r>
  <r>
    <n v="38"/>
    <x v="0"/>
    <x v="1"/>
    <n v="0"/>
    <x v="0"/>
    <n v="364"/>
    <x v="1"/>
    <x v="3"/>
    <n v="5"/>
    <x v="4"/>
    <x v="4"/>
    <n v="4"/>
    <x v="0"/>
    <n v="32"/>
    <x v="0"/>
    <n v="2"/>
    <x v="1"/>
    <n v="3"/>
    <x v="0"/>
    <x v="139"/>
    <n v="2302"/>
    <n v="3"/>
    <s v="Y"/>
    <x v="0"/>
    <n v="20"/>
    <n v="4"/>
    <n v="2"/>
    <n v="80"/>
    <n v="0"/>
    <n v="19"/>
    <n v="2"/>
    <n v="3"/>
    <n v="3"/>
    <n v="2"/>
    <n v="2"/>
    <n v="2"/>
  </r>
  <r>
    <n v="30"/>
    <x v="2"/>
    <x v="1"/>
    <n v="0"/>
    <x v="0"/>
    <n v="438"/>
    <x v="1"/>
    <x v="21"/>
    <n v="3"/>
    <x v="3"/>
    <x v="0"/>
    <n v="1"/>
    <x v="0"/>
    <n v="75"/>
    <x v="0"/>
    <n v="1"/>
    <x v="1"/>
    <n v="3"/>
    <x v="0"/>
    <x v="140"/>
    <n v="23910"/>
    <n v="1"/>
    <s v="Y"/>
    <x v="1"/>
    <n v="14"/>
    <n v="3"/>
    <n v="3"/>
    <n v="80"/>
    <n v="0"/>
    <n v="5"/>
    <n v="4"/>
    <n v="2"/>
    <n v="5"/>
    <n v="4"/>
    <n v="0"/>
    <n v="4"/>
  </r>
  <r>
    <n v="32"/>
    <x v="2"/>
    <x v="1"/>
    <n v="0"/>
    <x v="1"/>
    <n v="689"/>
    <x v="0"/>
    <x v="14"/>
    <n v="2"/>
    <x v="0"/>
    <x v="2"/>
    <n v="4"/>
    <x v="1"/>
    <n v="35"/>
    <x v="3"/>
    <n v="2"/>
    <x v="0"/>
    <n v="4"/>
    <x v="2"/>
    <x v="141"/>
    <n v="22812"/>
    <n v="0"/>
    <s v="Y"/>
    <x v="1"/>
    <n v="17"/>
    <n v="3"/>
    <n v="4"/>
    <n v="80"/>
    <n v="3"/>
    <n v="9"/>
    <n v="2"/>
    <n v="4"/>
    <n v="8"/>
    <n v="7"/>
    <n v="0"/>
    <n v="7"/>
  </r>
  <r>
    <n v="30"/>
    <x v="2"/>
    <x v="1"/>
    <n v="0"/>
    <x v="0"/>
    <n v="201"/>
    <x v="1"/>
    <x v="12"/>
    <n v="3"/>
    <x v="3"/>
    <x v="4"/>
    <n v="4"/>
    <x v="0"/>
    <n v="84"/>
    <x v="0"/>
    <n v="1"/>
    <x v="1"/>
    <n v="1"/>
    <x v="2"/>
    <x v="142"/>
    <n v="10415"/>
    <n v="5"/>
    <s v="Y"/>
    <x v="1"/>
    <n v="14"/>
    <n v="3"/>
    <n v="4"/>
    <n v="80"/>
    <n v="1"/>
    <n v="8"/>
    <n v="3"/>
    <n v="3"/>
    <n v="3"/>
    <n v="2"/>
    <n v="2"/>
    <n v="2"/>
  </r>
  <r>
    <n v="30"/>
    <x v="2"/>
    <x v="1"/>
    <n v="0"/>
    <x v="0"/>
    <n v="1427"/>
    <x v="1"/>
    <x v="2"/>
    <n v="1"/>
    <x v="1"/>
    <x v="2"/>
    <n v="2"/>
    <x v="1"/>
    <n v="35"/>
    <x v="1"/>
    <n v="1"/>
    <x v="2"/>
    <n v="4"/>
    <x v="0"/>
    <x v="143"/>
    <n v="11162"/>
    <n v="0"/>
    <s v="Y"/>
    <x v="1"/>
    <n v="13"/>
    <n v="3"/>
    <n v="4"/>
    <n v="80"/>
    <n v="0"/>
    <n v="6"/>
    <n v="3"/>
    <n v="3"/>
    <n v="5"/>
    <n v="3"/>
    <n v="1"/>
    <n v="2"/>
  </r>
  <r>
    <n v="41"/>
    <x v="0"/>
    <x v="1"/>
    <n v="0"/>
    <x v="1"/>
    <n v="857"/>
    <x v="1"/>
    <x v="17"/>
    <n v="3"/>
    <x v="3"/>
    <x v="0"/>
    <n v="4"/>
    <x v="1"/>
    <n v="91"/>
    <x v="1"/>
    <n v="4"/>
    <x v="5"/>
    <n v="1"/>
    <x v="2"/>
    <x v="144"/>
    <n v="12888"/>
    <n v="4"/>
    <s v="Y"/>
    <x v="1"/>
    <n v="13"/>
    <n v="3"/>
    <n v="2"/>
    <n v="80"/>
    <n v="1"/>
    <n v="21"/>
    <n v="2"/>
    <n v="2"/>
    <n v="7"/>
    <n v="6"/>
    <n v="7"/>
    <n v="7"/>
  </r>
  <r>
    <n v="41"/>
    <x v="0"/>
    <x v="1"/>
    <n v="0"/>
    <x v="0"/>
    <n v="933"/>
    <x v="1"/>
    <x v="14"/>
    <n v="4"/>
    <x v="2"/>
    <x v="0"/>
    <n v="3"/>
    <x v="1"/>
    <n v="94"/>
    <x v="0"/>
    <n v="1"/>
    <x v="2"/>
    <n v="1"/>
    <x v="1"/>
    <x v="145"/>
    <n v="6961"/>
    <n v="2"/>
    <s v="Y"/>
    <x v="1"/>
    <n v="21"/>
    <n v="4"/>
    <n v="4"/>
    <n v="80"/>
    <n v="1"/>
    <n v="7"/>
    <n v="2"/>
    <n v="3"/>
    <n v="5"/>
    <n v="0"/>
    <n v="1"/>
    <n v="4"/>
  </r>
  <r>
    <n v="19"/>
    <x v="4"/>
    <x v="1"/>
    <n v="0"/>
    <x v="0"/>
    <n v="1181"/>
    <x v="1"/>
    <x v="3"/>
    <n v="1"/>
    <x v="1"/>
    <x v="2"/>
    <n v="2"/>
    <x v="0"/>
    <n v="79"/>
    <x v="0"/>
    <n v="1"/>
    <x v="2"/>
    <n v="2"/>
    <x v="0"/>
    <x v="146"/>
    <n v="16102"/>
    <n v="1"/>
    <s v="Y"/>
    <x v="1"/>
    <n v="14"/>
    <n v="3"/>
    <n v="4"/>
    <n v="80"/>
    <n v="0"/>
    <n v="1"/>
    <n v="3"/>
    <n v="3"/>
    <n v="1"/>
    <n v="0"/>
    <n v="0"/>
    <n v="0"/>
  </r>
  <r>
    <n v="40"/>
    <x v="0"/>
    <x v="1"/>
    <n v="0"/>
    <x v="1"/>
    <n v="1395"/>
    <x v="1"/>
    <x v="9"/>
    <n v="3"/>
    <x v="3"/>
    <x v="2"/>
    <n v="2"/>
    <x v="0"/>
    <n v="54"/>
    <x v="0"/>
    <n v="2"/>
    <x v="1"/>
    <n v="2"/>
    <x v="2"/>
    <x v="147"/>
    <n v="8504"/>
    <n v="1"/>
    <s v="Y"/>
    <x v="1"/>
    <n v="11"/>
    <n v="3"/>
    <n v="1"/>
    <n v="80"/>
    <n v="1"/>
    <n v="20"/>
    <n v="2"/>
    <n v="3"/>
    <n v="20"/>
    <n v="7"/>
    <n v="2"/>
    <n v="13"/>
  </r>
  <r>
    <n v="35"/>
    <x v="0"/>
    <x v="1"/>
    <n v="0"/>
    <x v="0"/>
    <n v="662"/>
    <x v="0"/>
    <x v="0"/>
    <n v="5"/>
    <x v="4"/>
    <x v="3"/>
    <n v="3"/>
    <x v="1"/>
    <n v="94"/>
    <x v="0"/>
    <n v="3"/>
    <x v="0"/>
    <n v="2"/>
    <x v="1"/>
    <x v="148"/>
    <n v="11439"/>
    <n v="1"/>
    <s v="Y"/>
    <x v="1"/>
    <n v="13"/>
    <n v="3"/>
    <n v="1"/>
    <n v="80"/>
    <n v="2"/>
    <n v="10"/>
    <n v="3"/>
    <n v="3"/>
    <n v="10"/>
    <n v="8"/>
    <n v="0"/>
    <n v="6"/>
  </r>
  <r>
    <n v="53"/>
    <x v="1"/>
    <x v="1"/>
    <n v="0"/>
    <x v="0"/>
    <n v="1436"/>
    <x v="0"/>
    <x v="16"/>
    <n v="2"/>
    <x v="0"/>
    <x v="3"/>
    <n v="2"/>
    <x v="1"/>
    <n v="34"/>
    <x v="0"/>
    <n v="2"/>
    <x v="6"/>
    <n v="3"/>
    <x v="1"/>
    <x v="149"/>
    <n v="16047"/>
    <n v="2"/>
    <s v="Y"/>
    <x v="0"/>
    <n v="20"/>
    <n v="4"/>
    <n v="4"/>
    <n v="80"/>
    <n v="1"/>
    <n v="13"/>
    <n v="3"/>
    <n v="1"/>
    <n v="7"/>
    <n v="7"/>
    <n v="4"/>
    <n v="5"/>
  </r>
  <r>
    <n v="45"/>
    <x v="1"/>
    <x v="1"/>
    <n v="0"/>
    <x v="0"/>
    <n v="194"/>
    <x v="1"/>
    <x v="14"/>
    <n v="3"/>
    <x v="3"/>
    <x v="0"/>
    <n v="2"/>
    <x v="1"/>
    <n v="60"/>
    <x v="0"/>
    <n v="2"/>
    <x v="2"/>
    <n v="2"/>
    <x v="2"/>
    <x v="150"/>
    <n v="10901"/>
    <n v="8"/>
    <s v="Y"/>
    <x v="1"/>
    <n v="18"/>
    <n v="3"/>
    <n v="3"/>
    <n v="80"/>
    <n v="1"/>
    <n v="20"/>
    <n v="2"/>
    <n v="1"/>
    <n v="17"/>
    <n v="9"/>
    <n v="0"/>
    <n v="15"/>
  </r>
  <r>
    <n v="32"/>
    <x v="2"/>
    <x v="1"/>
    <n v="0"/>
    <x v="1"/>
    <n v="967"/>
    <x v="0"/>
    <x v="1"/>
    <n v="3"/>
    <x v="3"/>
    <x v="3"/>
    <n v="2"/>
    <x v="0"/>
    <n v="43"/>
    <x v="0"/>
    <n v="3"/>
    <x v="0"/>
    <n v="4"/>
    <x v="0"/>
    <x v="151"/>
    <n v="15589"/>
    <n v="1"/>
    <s v="Y"/>
    <x v="1"/>
    <n v="14"/>
    <n v="3"/>
    <n v="4"/>
    <n v="80"/>
    <n v="0"/>
    <n v="9"/>
    <n v="2"/>
    <n v="3"/>
    <n v="9"/>
    <n v="8"/>
    <n v="3"/>
    <n v="7"/>
  </r>
  <r>
    <n v="29"/>
    <x v="2"/>
    <x v="1"/>
    <n v="0"/>
    <x v="2"/>
    <n v="1496"/>
    <x v="1"/>
    <x v="0"/>
    <n v="1"/>
    <x v="1"/>
    <x v="4"/>
    <n v="4"/>
    <x v="1"/>
    <n v="41"/>
    <x v="0"/>
    <n v="2"/>
    <x v="3"/>
    <n v="3"/>
    <x v="1"/>
    <x v="152"/>
    <n v="26283"/>
    <n v="1"/>
    <s v="Y"/>
    <x v="1"/>
    <n v="13"/>
    <n v="3"/>
    <n v="1"/>
    <n v="80"/>
    <n v="1"/>
    <n v="10"/>
    <n v="1"/>
    <n v="3"/>
    <n v="10"/>
    <n v="7"/>
    <n v="0"/>
    <n v="9"/>
  </r>
  <r>
    <n v="51"/>
    <x v="1"/>
    <x v="1"/>
    <n v="0"/>
    <x v="0"/>
    <n v="1169"/>
    <x v="1"/>
    <x v="15"/>
    <n v="4"/>
    <x v="2"/>
    <x v="2"/>
    <n v="2"/>
    <x v="1"/>
    <n v="34"/>
    <x v="1"/>
    <n v="2"/>
    <x v="3"/>
    <n v="3"/>
    <x v="1"/>
    <x v="153"/>
    <n v="13983"/>
    <n v="2"/>
    <s v="Y"/>
    <x v="1"/>
    <n v="17"/>
    <n v="3"/>
    <n v="3"/>
    <n v="80"/>
    <n v="0"/>
    <n v="10"/>
    <n v="2"/>
    <n v="3"/>
    <n v="1"/>
    <n v="0"/>
    <n v="0"/>
    <n v="0"/>
  </r>
  <r>
    <n v="58"/>
    <x v="3"/>
    <x v="1"/>
    <n v="0"/>
    <x v="0"/>
    <n v="1145"/>
    <x v="1"/>
    <x v="14"/>
    <n v="3"/>
    <x v="3"/>
    <x v="2"/>
    <n v="2"/>
    <x v="0"/>
    <n v="75"/>
    <x v="1"/>
    <n v="1"/>
    <x v="1"/>
    <n v="2"/>
    <x v="1"/>
    <x v="154"/>
    <n v="11873"/>
    <n v="4"/>
    <s v="Y"/>
    <x v="0"/>
    <n v="20"/>
    <n v="4"/>
    <n v="2"/>
    <n v="80"/>
    <n v="1"/>
    <n v="9"/>
    <n v="3"/>
    <n v="2"/>
    <n v="1"/>
    <n v="0"/>
    <n v="0"/>
    <n v="0"/>
  </r>
  <r>
    <n v="40"/>
    <x v="0"/>
    <x v="1"/>
    <n v="0"/>
    <x v="0"/>
    <n v="630"/>
    <x v="0"/>
    <x v="18"/>
    <n v="4"/>
    <x v="2"/>
    <x v="3"/>
    <n v="3"/>
    <x v="1"/>
    <n v="67"/>
    <x v="1"/>
    <n v="3"/>
    <x v="0"/>
    <n v="4"/>
    <x v="1"/>
    <x v="155"/>
    <n v="8552"/>
    <n v="7"/>
    <s v="Y"/>
    <x v="1"/>
    <n v="11"/>
    <n v="3"/>
    <n v="1"/>
    <n v="80"/>
    <n v="1"/>
    <n v="15"/>
    <n v="2"/>
    <n v="2"/>
    <n v="12"/>
    <n v="11"/>
    <n v="2"/>
    <n v="11"/>
  </r>
  <r>
    <n v="34"/>
    <x v="2"/>
    <x v="1"/>
    <n v="0"/>
    <x v="1"/>
    <n v="303"/>
    <x v="0"/>
    <x v="2"/>
    <n v="4"/>
    <x v="2"/>
    <x v="3"/>
    <n v="3"/>
    <x v="0"/>
    <n v="75"/>
    <x v="0"/>
    <n v="1"/>
    <x v="6"/>
    <n v="3"/>
    <x v="1"/>
    <x v="156"/>
    <n v="11314"/>
    <n v="6"/>
    <s v="Y"/>
    <x v="1"/>
    <n v="18"/>
    <n v="3"/>
    <n v="4"/>
    <n v="80"/>
    <n v="1"/>
    <n v="6"/>
    <n v="3"/>
    <n v="3"/>
    <n v="4"/>
    <n v="3"/>
    <n v="1"/>
    <n v="2"/>
  </r>
  <r>
    <n v="22"/>
    <x v="4"/>
    <x v="1"/>
    <n v="0"/>
    <x v="0"/>
    <n v="1256"/>
    <x v="1"/>
    <x v="10"/>
    <n v="1"/>
    <x v="1"/>
    <x v="2"/>
    <n v="3"/>
    <x v="1"/>
    <n v="80"/>
    <x v="0"/>
    <n v="1"/>
    <x v="1"/>
    <n v="4"/>
    <x v="1"/>
    <x v="157"/>
    <n v="11992"/>
    <n v="1"/>
    <s v="Y"/>
    <x v="1"/>
    <n v="24"/>
    <n v="4"/>
    <n v="1"/>
    <n v="80"/>
    <n v="2"/>
    <n v="2"/>
    <n v="6"/>
    <n v="3"/>
    <n v="2"/>
    <n v="2"/>
    <n v="2"/>
    <n v="2"/>
  </r>
  <r>
    <n v="27"/>
    <x v="2"/>
    <x v="1"/>
    <n v="0"/>
    <x v="2"/>
    <n v="691"/>
    <x v="1"/>
    <x v="14"/>
    <n v="3"/>
    <x v="3"/>
    <x v="2"/>
    <n v="4"/>
    <x v="1"/>
    <n v="57"/>
    <x v="0"/>
    <n v="1"/>
    <x v="1"/>
    <n v="2"/>
    <x v="2"/>
    <x v="158"/>
    <n v="5970"/>
    <n v="6"/>
    <s v="Y"/>
    <x v="1"/>
    <n v="18"/>
    <n v="3"/>
    <n v="4"/>
    <n v="80"/>
    <n v="1"/>
    <n v="6"/>
    <n v="1"/>
    <n v="1"/>
    <n v="2"/>
    <n v="2"/>
    <n v="2"/>
    <n v="2"/>
  </r>
  <r>
    <n v="28"/>
    <x v="2"/>
    <x v="1"/>
    <n v="0"/>
    <x v="0"/>
    <n v="440"/>
    <x v="1"/>
    <x v="11"/>
    <n v="3"/>
    <x v="3"/>
    <x v="2"/>
    <n v="3"/>
    <x v="1"/>
    <n v="42"/>
    <x v="0"/>
    <n v="1"/>
    <x v="1"/>
    <n v="4"/>
    <x v="1"/>
    <x v="159"/>
    <n v="6672"/>
    <n v="1"/>
    <s v="Y"/>
    <x v="1"/>
    <n v="11"/>
    <n v="3"/>
    <n v="3"/>
    <n v="80"/>
    <n v="1"/>
    <n v="5"/>
    <n v="2"/>
    <n v="1"/>
    <n v="5"/>
    <n v="2"/>
    <n v="0"/>
    <n v="2"/>
  </r>
  <r>
    <n v="57"/>
    <x v="3"/>
    <x v="1"/>
    <n v="0"/>
    <x v="0"/>
    <n v="334"/>
    <x v="1"/>
    <x v="4"/>
    <n v="2"/>
    <x v="0"/>
    <x v="0"/>
    <n v="3"/>
    <x v="1"/>
    <n v="83"/>
    <x v="2"/>
    <n v="3"/>
    <x v="4"/>
    <n v="4"/>
    <x v="2"/>
    <x v="160"/>
    <n v="23402"/>
    <n v="3"/>
    <s v="Y"/>
    <x v="0"/>
    <n v="16"/>
    <n v="3"/>
    <n v="2"/>
    <n v="80"/>
    <n v="1"/>
    <n v="12"/>
    <n v="2"/>
    <n v="1"/>
    <n v="5"/>
    <n v="3"/>
    <n v="1"/>
    <n v="4"/>
  </r>
  <r>
    <n v="27"/>
    <x v="2"/>
    <x v="1"/>
    <n v="0"/>
    <x v="2"/>
    <n v="1450"/>
    <x v="1"/>
    <x v="3"/>
    <n v="3"/>
    <x v="3"/>
    <x v="2"/>
    <n v="3"/>
    <x v="1"/>
    <n v="79"/>
    <x v="1"/>
    <n v="1"/>
    <x v="1"/>
    <n v="3"/>
    <x v="2"/>
    <x v="161"/>
    <n v="25326"/>
    <n v="1"/>
    <s v="Y"/>
    <x v="0"/>
    <n v="15"/>
    <n v="3"/>
    <n v="4"/>
    <n v="80"/>
    <n v="1"/>
    <n v="1"/>
    <n v="2"/>
    <n v="2"/>
    <n v="1"/>
    <n v="1"/>
    <n v="0"/>
    <n v="1"/>
  </r>
  <r>
    <n v="50"/>
    <x v="1"/>
    <x v="1"/>
    <n v="0"/>
    <x v="0"/>
    <n v="1452"/>
    <x v="1"/>
    <x v="13"/>
    <n v="3"/>
    <x v="3"/>
    <x v="0"/>
    <n v="3"/>
    <x v="0"/>
    <n v="53"/>
    <x v="0"/>
    <n v="5"/>
    <x v="5"/>
    <n v="2"/>
    <x v="0"/>
    <x v="162"/>
    <n v="17053"/>
    <n v="3"/>
    <s v="Y"/>
    <x v="1"/>
    <n v="15"/>
    <n v="3"/>
    <n v="2"/>
    <n v="80"/>
    <n v="0"/>
    <n v="21"/>
    <n v="5"/>
    <n v="3"/>
    <n v="5"/>
    <n v="4"/>
    <n v="4"/>
    <n v="4"/>
  </r>
  <r>
    <n v="41"/>
    <x v="0"/>
    <x v="1"/>
    <n v="0"/>
    <x v="0"/>
    <n v="465"/>
    <x v="1"/>
    <x v="24"/>
    <n v="3"/>
    <x v="3"/>
    <x v="0"/>
    <n v="1"/>
    <x v="1"/>
    <n v="56"/>
    <x v="0"/>
    <n v="1"/>
    <x v="1"/>
    <n v="3"/>
    <x v="2"/>
    <x v="163"/>
    <n v="4609"/>
    <n v="4"/>
    <s v="Y"/>
    <x v="1"/>
    <n v="12"/>
    <n v="3"/>
    <n v="1"/>
    <n v="80"/>
    <n v="1"/>
    <n v="13"/>
    <n v="2"/>
    <n v="3"/>
    <n v="9"/>
    <n v="8"/>
    <n v="1"/>
    <n v="8"/>
  </r>
  <r>
    <n v="30"/>
    <x v="2"/>
    <x v="1"/>
    <n v="0"/>
    <x v="0"/>
    <n v="1339"/>
    <x v="0"/>
    <x v="12"/>
    <n v="3"/>
    <x v="3"/>
    <x v="0"/>
    <n v="2"/>
    <x v="0"/>
    <n v="41"/>
    <x v="0"/>
    <n v="3"/>
    <x v="0"/>
    <n v="4"/>
    <x v="1"/>
    <x v="164"/>
    <n v="8053"/>
    <n v="2"/>
    <s v="Y"/>
    <x v="1"/>
    <n v="12"/>
    <n v="3"/>
    <n v="3"/>
    <n v="80"/>
    <n v="1"/>
    <n v="12"/>
    <n v="2"/>
    <n v="3"/>
    <n v="10"/>
    <n v="9"/>
    <n v="7"/>
    <n v="4"/>
  </r>
  <r>
    <n v="38"/>
    <x v="0"/>
    <x v="1"/>
    <n v="0"/>
    <x v="0"/>
    <n v="702"/>
    <x v="0"/>
    <x v="0"/>
    <n v="4"/>
    <x v="2"/>
    <x v="0"/>
    <n v="1"/>
    <x v="0"/>
    <n v="59"/>
    <x v="1"/>
    <n v="2"/>
    <x v="0"/>
    <n v="4"/>
    <x v="0"/>
    <x v="165"/>
    <n v="12930"/>
    <n v="4"/>
    <s v="Y"/>
    <x v="1"/>
    <n v="22"/>
    <n v="4"/>
    <n v="3"/>
    <n v="80"/>
    <n v="0"/>
    <n v="12"/>
    <n v="2"/>
    <n v="4"/>
    <n v="8"/>
    <n v="3"/>
    <n v="0"/>
    <n v="7"/>
  </r>
  <r>
    <n v="32"/>
    <x v="2"/>
    <x v="1"/>
    <n v="0"/>
    <x v="0"/>
    <n v="120"/>
    <x v="1"/>
    <x v="16"/>
    <n v="5"/>
    <x v="4"/>
    <x v="0"/>
    <n v="3"/>
    <x v="1"/>
    <n v="43"/>
    <x v="0"/>
    <n v="1"/>
    <x v="1"/>
    <n v="3"/>
    <x v="0"/>
    <x v="71"/>
    <n v="12430"/>
    <n v="3"/>
    <s v="Y"/>
    <x v="1"/>
    <n v="20"/>
    <n v="4"/>
    <n v="1"/>
    <n v="80"/>
    <n v="0"/>
    <n v="8"/>
    <n v="2"/>
    <n v="3"/>
    <n v="5"/>
    <n v="4"/>
    <n v="1"/>
    <n v="4"/>
  </r>
  <r>
    <n v="27"/>
    <x v="2"/>
    <x v="1"/>
    <n v="0"/>
    <x v="0"/>
    <n v="1157"/>
    <x v="1"/>
    <x v="27"/>
    <n v="3"/>
    <x v="3"/>
    <x v="4"/>
    <n v="3"/>
    <x v="1"/>
    <n v="51"/>
    <x v="0"/>
    <n v="1"/>
    <x v="1"/>
    <n v="2"/>
    <x v="1"/>
    <x v="166"/>
    <n v="13364"/>
    <n v="0"/>
    <s v="Y"/>
    <x v="0"/>
    <n v="16"/>
    <n v="3"/>
    <n v="4"/>
    <n v="80"/>
    <n v="1"/>
    <n v="6"/>
    <n v="3"/>
    <n v="2"/>
    <n v="5"/>
    <n v="2"/>
    <n v="1"/>
    <n v="1"/>
  </r>
  <r>
    <n v="19"/>
    <x v="4"/>
    <x v="0"/>
    <n v="1"/>
    <x v="1"/>
    <n v="602"/>
    <x v="0"/>
    <x v="0"/>
    <n v="1"/>
    <x v="1"/>
    <x v="4"/>
    <n v="3"/>
    <x v="0"/>
    <n v="100"/>
    <x v="3"/>
    <n v="1"/>
    <x v="6"/>
    <n v="1"/>
    <x v="0"/>
    <x v="167"/>
    <n v="20989"/>
    <n v="0"/>
    <s v="Y"/>
    <x v="1"/>
    <n v="21"/>
    <n v="4"/>
    <n v="1"/>
    <n v="80"/>
    <n v="0"/>
    <n v="1"/>
    <n v="5"/>
    <n v="4"/>
    <n v="0"/>
    <n v="0"/>
    <n v="0"/>
    <n v="0"/>
  </r>
  <r>
    <n v="36"/>
    <x v="0"/>
    <x v="1"/>
    <n v="0"/>
    <x v="1"/>
    <n v="1480"/>
    <x v="1"/>
    <x v="3"/>
    <n v="2"/>
    <x v="0"/>
    <x v="2"/>
    <n v="4"/>
    <x v="1"/>
    <n v="30"/>
    <x v="0"/>
    <n v="1"/>
    <x v="2"/>
    <n v="2"/>
    <x v="0"/>
    <x v="168"/>
    <n v="15062"/>
    <n v="4"/>
    <s v="Y"/>
    <x v="1"/>
    <n v="12"/>
    <n v="3"/>
    <n v="3"/>
    <n v="80"/>
    <n v="0"/>
    <n v="13"/>
    <n v="3"/>
    <n v="2"/>
    <n v="8"/>
    <n v="7"/>
    <n v="7"/>
    <n v="2"/>
  </r>
  <r>
    <n v="30"/>
    <x v="2"/>
    <x v="1"/>
    <n v="0"/>
    <x v="2"/>
    <n v="111"/>
    <x v="1"/>
    <x v="14"/>
    <n v="3"/>
    <x v="3"/>
    <x v="2"/>
    <n v="3"/>
    <x v="1"/>
    <n v="66"/>
    <x v="0"/>
    <n v="2"/>
    <x v="2"/>
    <n v="1"/>
    <x v="2"/>
    <x v="169"/>
    <n v="11012"/>
    <n v="1"/>
    <s v="Y"/>
    <x v="1"/>
    <n v="11"/>
    <n v="3"/>
    <n v="3"/>
    <n v="80"/>
    <n v="2"/>
    <n v="12"/>
    <n v="4"/>
    <n v="3"/>
    <n v="12"/>
    <n v="9"/>
    <n v="6"/>
    <n v="10"/>
  </r>
  <r>
    <n v="45"/>
    <x v="1"/>
    <x v="1"/>
    <n v="0"/>
    <x v="0"/>
    <n v="1268"/>
    <x v="0"/>
    <x v="18"/>
    <n v="2"/>
    <x v="0"/>
    <x v="0"/>
    <n v="3"/>
    <x v="0"/>
    <n v="30"/>
    <x v="0"/>
    <n v="2"/>
    <x v="0"/>
    <n v="1"/>
    <x v="2"/>
    <x v="170"/>
    <n v="6319"/>
    <n v="4"/>
    <s v="Y"/>
    <x v="0"/>
    <n v="11"/>
    <n v="3"/>
    <n v="1"/>
    <n v="80"/>
    <n v="1"/>
    <n v="9"/>
    <n v="3"/>
    <n v="4"/>
    <n v="5"/>
    <n v="4"/>
    <n v="0"/>
    <n v="3"/>
  </r>
  <r>
    <n v="56"/>
    <x v="3"/>
    <x v="1"/>
    <n v="0"/>
    <x v="0"/>
    <n v="713"/>
    <x v="1"/>
    <x v="1"/>
    <n v="3"/>
    <x v="3"/>
    <x v="0"/>
    <n v="3"/>
    <x v="0"/>
    <n v="67"/>
    <x v="0"/>
    <n v="1"/>
    <x v="1"/>
    <n v="1"/>
    <x v="2"/>
    <x v="171"/>
    <n v="13939"/>
    <n v="4"/>
    <s v="Y"/>
    <x v="0"/>
    <n v="18"/>
    <n v="3"/>
    <n v="3"/>
    <n v="80"/>
    <n v="1"/>
    <n v="19"/>
    <n v="3"/>
    <n v="3"/>
    <n v="2"/>
    <n v="2"/>
    <n v="2"/>
    <n v="2"/>
  </r>
  <r>
    <n v="33"/>
    <x v="2"/>
    <x v="1"/>
    <n v="0"/>
    <x v="0"/>
    <n v="134"/>
    <x v="1"/>
    <x v="2"/>
    <n v="3"/>
    <x v="3"/>
    <x v="0"/>
    <n v="3"/>
    <x v="1"/>
    <n v="90"/>
    <x v="0"/>
    <n v="1"/>
    <x v="1"/>
    <n v="4"/>
    <x v="0"/>
    <x v="172"/>
    <n v="10515"/>
    <n v="0"/>
    <s v="Y"/>
    <x v="1"/>
    <n v="14"/>
    <n v="3"/>
    <n v="1"/>
    <n v="80"/>
    <n v="0"/>
    <n v="4"/>
    <n v="2"/>
    <n v="4"/>
    <n v="3"/>
    <n v="1"/>
    <n v="0"/>
    <n v="2"/>
  </r>
  <r>
    <n v="19"/>
    <x v="4"/>
    <x v="0"/>
    <n v="1"/>
    <x v="0"/>
    <n v="303"/>
    <x v="1"/>
    <x v="2"/>
    <n v="3"/>
    <x v="3"/>
    <x v="0"/>
    <n v="2"/>
    <x v="1"/>
    <n v="47"/>
    <x v="1"/>
    <n v="1"/>
    <x v="2"/>
    <n v="4"/>
    <x v="0"/>
    <x v="173"/>
    <n v="9241"/>
    <n v="1"/>
    <s v="Y"/>
    <x v="1"/>
    <n v="22"/>
    <n v="4"/>
    <n v="3"/>
    <n v="80"/>
    <n v="0"/>
    <n v="1"/>
    <n v="3"/>
    <n v="2"/>
    <n v="1"/>
    <n v="0"/>
    <n v="1"/>
    <n v="0"/>
  </r>
  <r>
    <n v="46"/>
    <x v="1"/>
    <x v="1"/>
    <n v="0"/>
    <x v="0"/>
    <n v="526"/>
    <x v="0"/>
    <x v="0"/>
    <n v="2"/>
    <x v="0"/>
    <x v="3"/>
    <n v="2"/>
    <x v="0"/>
    <n v="92"/>
    <x v="0"/>
    <n v="3"/>
    <x v="0"/>
    <n v="1"/>
    <x v="2"/>
    <x v="174"/>
    <n v="2137"/>
    <n v="1"/>
    <s v="Y"/>
    <x v="1"/>
    <n v="25"/>
    <n v="4"/>
    <n v="3"/>
    <n v="80"/>
    <n v="3"/>
    <n v="24"/>
    <n v="2"/>
    <n v="3"/>
    <n v="24"/>
    <n v="13"/>
    <n v="15"/>
    <n v="7"/>
  </r>
  <r>
    <n v="38"/>
    <x v="0"/>
    <x v="1"/>
    <n v="0"/>
    <x v="0"/>
    <n v="1380"/>
    <x v="1"/>
    <x v="14"/>
    <n v="2"/>
    <x v="0"/>
    <x v="0"/>
    <n v="3"/>
    <x v="0"/>
    <n v="75"/>
    <x v="0"/>
    <n v="1"/>
    <x v="2"/>
    <n v="4"/>
    <x v="0"/>
    <x v="175"/>
    <n v="6319"/>
    <n v="1"/>
    <s v="Y"/>
    <x v="1"/>
    <n v="12"/>
    <n v="3"/>
    <n v="3"/>
    <n v="80"/>
    <n v="0"/>
    <n v="2"/>
    <n v="3"/>
    <n v="3"/>
    <n v="2"/>
    <n v="2"/>
    <n v="2"/>
    <n v="1"/>
  </r>
  <r>
    <n v="31"/>
    <x v="2"/>
    <x v="1"/>
    <n v="0"/>
    <x v="0"/>
    <n v="140"/>
    <x v="1"/>
    <x v="20"/>
    <n v="1"/>
    <x v="1"/>
    <x v="2"/>
    <n v="3"/>
    <x v="0"/>
    <n v="95"/>
    <x v="0"/>
    <n v="1"/>
    <x v="1"/>
    <n v="4"/>
    <x v="1"/>
    <x v="176"/>
    <n v="6984"/>
    <n v="8"/>
    <s v="Y"/>
    <x v="0"/>
    <n v="23"/>
    <n v="4"/>
    <n v="3"/>
    <n v="80"/>
    <n v="1"/>
    <n v="7"/>
    <n v="0"/>
    <n v="3"/>
    <n v="4"/>
    <n v="2"/>
    <n v="0"/>
    <n v="2"/>
  </r>
  <r>
    <n v="34"/>
    <x v="2"/>
    <x v="1"/>
    <n v="0"/>
    <x v="0"/>
    <n v="629"/>
    <x v="1"/>
    <x v="6"/>
    <n v="2"/>
    <x v="0"/>
    <x v="2"/>
    <n v="4"/>
    <x v="0"/>
    <n v="95"/>
    <x v="0"/>
    <n v="1"/>
    <x v="1"/>
    <n v="2"/>
    <x v="0"/>
    <x v="177"/>
    <n v="5711"/>
    <n v="2"/>
    <s v="Y"/>
    <x v="1"/>
    <n v="15"/>
    <n v="3"/>
    <n v="4"/>
    <n v="80"/>
    <n v="0"/>
    <n v="9"/>
    <n v="3"/>
    <n v="3"/>
    <n v="3"/>
    <n v="2"/>
    <n v="1"/>
    <n v="2"/>
  </r>
  <r>
    <n v="41"/>
    <x v="0"/>
    <x v="0"/>
    <n v="1"/>
    <x v="0"/>
    <n v="1356"/>
    <x v="0"/>
    <x v="25"/>
    <n v="2"/>
    <x v="0"/>
    <x v="3"/>
    <n v="2"/>
    <x v="0"/>
    <n v="70"/>
    <x v="0"/>
    <n v="1"/>
    <x v="6"/>
    <n v="2"/>
    <x v="0"/>
    <x v="178"/>
    <n v="21728"/>
    <n v="1"/>
    <s v="Y"/>
    <x v="0"/>
    <n v="22"/>
    <n v="4"/>
    <n v="4"/>
    <n v="80"/>
    <n v="0"/>
    <n v="4"/>
    <n v="5"/>
    <n v="2"/>
    <n v="4"/>
    <n v="3"/>
    <n v="0"/>
    <n v="2"/>
  </r>
  <r>
    <n v="50"/>
    <x v="1"/>
    <x v="1"/>
    <n v="0"/>
    <x v="0"/>
    <n v="328"/>
    <x v="1"/>
    <x v="0"/>
    <n v="3"/>
    <x v="3"/>
    <x v="2"/>
    <n v="3"/>
    <x v="1"/>
    <n v="86"/>
    <x v="1"/>
    <n v="1"/>
    <x v="2"/>
    <n v="3"/>
    <x v="1"/>
    <x v="179"/>
    <n v="3425"/>
    <n v="2"/>
    <s v="Y"/>
    <x v="1"/>
    <n v="15"/>
    <n v="3"/>
    <n v="4"/>
    <n v="80"/>
    <n v="1"/>
    <n v="5"/>
    <n v="2"/>
    <n v="2"/>
    <n v="3"/>
    <n v="2"/>
    <n v="0"/>
    <n v="2"/>
  </r>
  <r>
    <n v="53"/>
    <x v="1"/>
    <x v="1"/>
    <n v="0"/>
    <x v="0"/>
    <n v="1084"/>
    <x v="1"/>
    <x v="28"/>
    <n v="2"/>
    <x v="0"/>
    <x v="2"/>
    <n v="4"/>
    <x v="0"/>
    <n v="57"/>
    <x v="2"/>
    <n v="2"/>
    <x v="3"/>
    <n v="1"/>
    <x v="2"/>
    <x v="180"/>
    <n v="26250"/>
    <n v="1"/>
    <s v="Y"/>
    <x v="1"/>
    <n v="11"/>
    <n v="3"/>
    <n v="3"/>
    <n v="80"/>
    <n v="2"/>
    <n v="5"/>
    <n v="3"/>
    <n v="3"/>
    <n v="4"/>
    <n v="2"/>
    <n v="1"/>
    <n v="3"/>
  </r>
  <r>
    <n v="33"/>
    <x v="2"/>
    <x v="1"/>
    <n v="0"/>
    <x v="0"/>
    <n v="931"/>
    <x v="1"/>
    <x v="24"/>
    <n v="3"/>
    <x v="3"/>
    <x v="2"/>
    <n v="4"/>
    <x v="0"/>
    <n v="72"/>
    <x v="0"/>
    <n v="1"/>
    <x v="1"/>
    <n v="2"/>
    <x v="1"/>
    <x v="181"/>
    <n v="4673"/>
    <n v="1"/>
    <s v="Y"/>
    <x v="1"/>
    <n v="13"/>
    <n v="3"/>
    <n v="4"/>
    <n v="80"/>
    <n v="1"/>
    <n v="8"/>
    <n v="5"/>
    <n v="3"/>
    <n v="8"/>
    <n v="7"/>
    <n v="1"/>
    <n v="6"/>
  </r>
  <r>
    <n v="40"/>
    <x v="0"/>
    <x v="1"/>
    <n v="0"/>
    <x v="0"/>
    <n v="989"/>
    <x v="1"/>
    <x v="18"/>
    <n v="1"/>
    <x v="1"/>
    <x v="2"/>
    <n v="4"/>
    <x v="0"/>
    <n v="46"/>
    <x v="0"/>
    <n v="5"/>
    <x v="5"/>
    <n v="3"/>
    <x v="1"/>
    <x v="182"/>
    <n v="6499"/>
    <n v="1"/>
    <s v="Y"/>
    <x v="1"/>
    <n v="14"/>
    <n v="3"/>
    <n v="2"/>
    <n v="80"/>
    <n v="1"/>
    <n v="21"/>
    <n v="2"/>
    <n v="3"/>
    <n v="20"/>
    <n v="8"/>
    <n v="9"/>
    <n v="9"/>
  </r>
  <r>
    <n v="55"/>
    <x v="3"/>
    <x v="1"/>
    <n v="0"/>
    <x v="0"/>
    <n v="692"/>
    <x v="1"/>
    <x v="24"/>
    <n v="4"/>
    <x v="2"/>
    <x v="2"/>
    <n v="3"/>
    <x v="1"/>
    <n v="61"/>
    <x v="2"/>
    <n v="5"/>
    <x v="7"/>
    <n v="2"/>
    <x v="0"/>
    <x v="183"/>
    <n v="13339"/>
    <n v="8"/>
    <s v="Y"/>
    <x v="1"/>
    <n v="11"/>
    <n v="3"/>
    <n v="4"/>
    <n v="80"/>
    <n v="0"/>
    <n v="36"/>
    <n v="3"/>
    <n v="3"/>
    <n v="24"/>
    <n v="15"/>
    <n v="2"/>
    <n v="15"/>
  </r>
  <r>
    <n v="34"/>
    <x v="2"/>
    <x v="1"/>
    <n v="0"/>
    <x v="1"/>
    <n v="1069"/>
    <x v="1"/>
    <x v="2"/>
    <n v="1"/>
    <x v="1"/>
    <x v="0"/>
    <n v="4"/>
    <x v="1"/>
    <n v="45"/>
    <x v="1"/>
    <n v="2"/>
    <x v="3"/>
    <n v="3"/>
    <x v="1"/>
    <x v="184"/>
    <n v="14074"/>
    <n v="1"/>
    <s v="Y"/>
    <x v="1"/>
    <n v="17"/>
    <n v="3"/>
    <n v="3"/>
    <n v="80"/>
    <n v="0"/>
    <n v="10"/>
    <n v="2"/>
    <n v="2"/>
    <n v="10"/>
    <n v="9"/>
    <n v="1"/>
    <n v="9"/>
  </r>
  <r>
    <n v="51"/>
    <x v="1"/>
    <x v="1"/>
    <n v="0"/>
    <x v="0"/>
    <n v="313"/>
    <x v="1"/>
    <x v="3"/>
    <n v="3"/>
    <x v="3"/>
    <x v="2"/>
    <n v="4"/>
    <x v="0"/>
    <n v="98"/>
    <x v="0"/>
    <n v="4"/>
    <x v="4"/>
    <n v="2"/>
    <x v="0"/>
    <x v="185"/>
    <n v="7192"/>
    <n v="3"/>
    <s v="Y"/>
    <x v="1"/>
    <n v="18"/>
    <n v="3"/>
    <n v="3"/>
    <n v="80"/>
    <n v="0"/>
    <n v="21"/>
    <n v="6"/>
    <n v="3"/>
    <n v="7"/>
    <n v="7"/>
    <n v="1"/>
    <n v="0"/>
  </r>
  <r>
    <n v="52"/>
    <x v="1"/>
    <x v="1"/>
    <n v="0"/>
    <x v="0"/>
    <n v="699"/>
    <x v="1"/>
    <x v="0"/>
    <n v="4"/>
    <x v="2"/>
    <x v="0"/>
    <n v="3"/>
    <x v="1"/>
    <n v="65"/>
    <x v="1"/>
    <n v="5"/>
    <x v="5"/>
    <n v="3"/>
    <x v="1"/>
    <x v="186"/>
    <n v="5678"/>
    <n v="0"/>
    <s v="Y"/>
    <x v="1"/>
    <n v="14"/>
    <n v="3"/>
    <n v="1"/>
    <n v="80"/>
    <n v="1"/>
    <n v="34"/>
    <n v="5"/>
    <n v="3"/>
    <n v="33"/>
    <n v="18"/>
    <n v="11"/>
    <n v="9"/>
  </r>
  <r>
    <n v="27"/>
    <x v="2"/>
    <x v="1"/>
    <n v="0"/>
    <x v="0"/>
    <n v="894"/>
    <x v="1"/>
    <x v="14"/>
    <n v="3"/>
    <x v="3"/>
    <x v="2"/>
    <n v="4"/>
    <x v="0"/>
    <n v="99"/>
    <x v="0"/>
    <n v="1"/>
    <x v="1"/>
    <n v="2"/>
    <x v="0"/>
    <x v="187"/>
    <n v="11781"/>
    <n v="1"/>
    <s v="Y"/>
    <x v="1"/>
    <n v="16"/>
    <n v="3"/>
    <n v="4"/>
    <n v="80"/>
    <n v="0"/>
    <n v="7"/>
    <n v="2"/>
    <n v="2"/>
    <n v="7"/>
    <n v="7"/>
    <n v="0"/>
    <n v="3"/>
  </r>
  <r>
    <n v="35"/>
    <x v="0"/>
    <x v="0"/>
    <n v="1"/>
    <x v="0"/>
    <n v="556"/>
    <x v="1"/>
    <x v="5"/>
    <n v="2"/>
    <x v="0"/>
    <x v="0"/>
    <n v="2"/>
    <x v="1"/>
    <n v="50"/>
    <x v="1"/>
    <n v="2"/>
    <x v="3"/>
    <n v="3"/>
    <x v="1"/>
    <x v="188"/>
    <n v="15497"/>
    <n v="3"/>
    <s v="Y"/>
    <x v="0"/>
    <n v="13"/>
    <n v="3"/>
    <n v="1"/>
    <n v="80"/>
    <n v="0"/>
    <n v="8"/>
    <n v="1"/>
    <n v="3"/>
    <n v="1"/>
    <n v="0"/>
    <n v="0"/>
    <n v="1"/>
  </r>
  <r>
    <n v="43"/>
    <x v="0"/>
    <x v="1"/>
    <n v="0"/>
    <x v="2"/>
    <n v="1344"/>
    <x v="1"/>
    <x v="15"/>
    <n v="3"/>
    <x v="3"/>
    <x v="2"/>
    <n v="4"/>
    <x v="1"/>
    <n v="37"/>
    <x v="2"/>
    <n v="1"/>
    <x v="1"/>
    <n v="4"/>
    <x v="2"/>
    <x v="189"/>
    <n v="5228"/>
    <n v="4"/>
    <s v="Y"/>
    <x v="1"/>
    <n v="14"/>
    <n v="3"/>
    <n v="4"/>
    <n v="80"/>
    <n v="3"/>
    <n v="7"/>
    <n v="3"/>
    <n v="4"/>
    <n v="5"/>
    <n v="4"/>
    <n v="2"/>
    <n v="2"/>
  </r>
  <r>
    <n v="45"/>
    <x v="1"/>
    <x v="1"/>
    <n v="0"/>
    <x v="2"/>
    <n v="1195"/>
    <x v="1"/>
    <x v="2"/>
    <n v="2"/>
    <x v="0"/>
    <x v="2"/>
    <n v="1"/>
    <x v="1"/>
    <n v="65"/>
    <x v="1"/>
    <n v="4"/>
    <x v="5"/>
    <n v="4"/>
    <x v="1"/>
    <x v="190"/>
    <n v="20462"/>
    <n v="9"/>
    <s v="Y"/>
    <x v="1"/>
    <n v="23"/>
    <n v="4"/>
    <n v="4"/>
    <n v="80"/>
    <n v="1"/>
    <n v="22"/>
    <n v="1"/>
    <n v="3"/>
    <n v="20"/>
    <n v="8"/>
    <n v="11"/>
    <n v="8"/>
  </r>
  <r>
    <n v="37"/>
    <x v="0"/>
    <x v="1"/>
    <n v="0"/>
    <x v="0"/>
    <n v="290"/>
    <x v="1"/>
    <x v="11"/>
    <n v="3"/>
    <x v="3"/>
    <x v="0"/>
    <n v="2"/>
    <x v="1"/>
    <n v="65"/>
    <x v="2"/>
    <n v="1"/>
    <x v="1"/>
    <n v="1"/>
    <x v="1"/>
    <x v="191"/>
    <n v="22977"/>
    <n v="1"/>
    <s v="Y"/>
    <x v="0"/>
    <n v="12"/>
    <n v="3"/>
    <n v="1"/>
    <n v="80"/>
    <n v="1"/>
    <n v="8"/>
    <n v="3"/>
    <n v="2"/>
    <n v="8"/>
    <n v="7"/>
    <n v="1"/>
    <n v="7"/>
  </r>
  <r>
    <n v="35"/>
    <x v="0"/>
    <x v="1"/>
    <n v="0"/>
    <x v="1"/>
    <n v="138"/>
    <x v="1"/>
    <x v="2"/>
    <n v="3"/>
    <x v="3"/>
    <x v="2"/>
    <n v="2"/>
    <x v="0"/>
    <n v="37"/>
    <x v="0"/>
    <n v="2"/>
    <x v="2"/>
    <n v="2"/>
    <x v="0"/>
    <x v="192"/>
    <n v="15986"/>
    <n v="5"/>
    <s v="Y"/>
    <x v="1"/>
    <n v="11"/>
    <n v="3"/>
    <n v="4"/>
    <n v="80"/>
    <n v="0"/>
    <n v="10"/>
    <n v="5"/>
    <n v="3"/>
    <n v="6"/>
    <n v="2"/>
    <n v="1"/>
    <n v="2"/>
  </r>
  <r>
    <n v="42"/>
    <x v="0"/>
    <x v="1"/>
    <n v="0"/>
    <x v="2"/>
    <n v="926"/>
    <x v="1"/>
    <x v="11"/>
    <n v="2"/>
    <x v="0"/>
    <x v="2"/>
    <n v="3"/>
    <x v="0"/>
    <n v="36"/>
    <x v="0"/>
    <n v="2"/>
    <x v="3"/>
    <n v="3"/>
    <x v="2"/>
    <x v="193"/>
    <n v="16439"/>
    <n v="2"/>
    <s v="Y"/>
    <x v="1"/>
    <n v="16"/>
    <n v="3"/>
    <n v="2"/>
    <n v="80"/>
    <n v="1"/>
    <n v="11"/>
    <n v="5"/>
    <n v="3"/>
    <n v="5"/>
    <n v="3"/>
    <n v="0"/>
    <n v="2"/>
  </r>
  <r>
    <n v="38"/>
    <x v="0"/>
    <x v="1"/>
    <n v="0"/>
    <x v="0"/>
    <n v="1261"/>
    <x v="1"/>
    <x v="2"/>
    <n v="4"/>
    <x v="2"/>
    <x v="0"/>
    <n v="4"/>
    <x v="1"/>
    <n v="88"/>
    <x v="0"/>
    <n v="2"/>
    <x v="3"/>
    <n v="3"/>
    <x v="1"/>
    <x v="194"/>
    <n v="7259"/>
    <n v="9"/>
    <s v="Y"/>
    <x v="1"/>
    <n v="14"/>
    <n v="3"/>
    <n v="2"/>
    <n v="80"/>
    <n v="0"/>
    <n v="14"/>
    <n v="3"/>
    <n v="3"/>
    <n v="1"/>
    <n v="0"/>
    <n v="0"/>
    <n v="0"/>
  </r>
  <r>
    <n v="38"/>
    <x v="0"/>
    <x v="1"/>
    <n v="0"/>
    <x v="0"/>
    <n v="1084"/>
    <x v="1"/>
    <x v="22"/>
    <n v="3"/>
    <x v="3"/>
    <x v="4"/>
    <n v="4"/>
    <x v="1"/>
    <n v="54"/>
    <x v="0"/>
    <n v="2"/>
    <x v="3"/>
    <n v="4"/>
    <x v="1"/>
    <x v="195"/>
    <n v="4185"/>
    <n v="3"/>
    <s v="Y"/>
    <x v="1"/>
    <n v="18"/>
    <n v="3"/>
    <n v="1"/>
    <n v="80"/>
    <n v="1"/>
    <n v="9"/>
    <n v="3"/>
    <n v="1"/>
    <n v="7"/>
    <n v="7"/>
    <n v="1"/>
    <n v="7"/>
  </r>
  <r>
    <n v="27"/>
    <x v="2"/>
    <x v="1"/>
    <n v="0"/>
    <x v="1"/>
    <n v="472"/>
    <x v="1"/>
    <x v="0"/>
    <n v="1"/>
    <x v="1"/>
    <x v="4"/>
    <n v="3"/>
    <x v="1"/>
    <n v="60"/>
    <x v="1"/>
    <n v="2"/>
    <x v="3"/>
    <n v="1"/>
    <x v="1"/>
    <x v="196"/>
    <n v="9679"/>
    <n v="5"/>
    <s v="Y"/>
    <x v="1"/>
    <n v="19"/>
    <n v="3"/>
    <n v="3"/>
    <n v="80"/>
    <n v="1"/>
    <n v="6"/>
    <n v="1"/>
    <n v="3"/>
    <n v="2"/>
    <n v="2"/>
    <n v="2"/>
    <n v="0"/>
  </r>
  <r>
    <n v="49"/>
    <x v="1"/>
    <x v="1"/>
    <n v="0"/>
    <x v="2"/>
    <n v="1002"/>
    <x v="1"/>
    <x v="21"/>
    <n v="4"/>
    <x v="2"/>
    <x v="0"/>
    <n v="4"/>
    <x v="1"/>
    <n v="92"/>
    <x v="0"/>
    <n v="2"/>
    <x v="3"/>
    <n v="4"/>
    <x v="2"/>
    <x v="197"/>
    <n v="23793"/>
    <n v="1"/>
    <s v="Y"/>
    <x v="0"/>
    <n v="15"/>
    <n v="3"/>
    <n v="1"/>
    <n v="80"/>
    <n v="2"/>
    <n v="7"/>
    <n v="0"/>
    <n v="3"/>
    <n v="7"/>
    <n v="7"/>
    <n v="1"/>
    <n v="7"/>
  </r>
  <r>
    <n v="34"/>
    <x v="2"/>
    <x v="1"/>
    <n v="0"/>
    <x v="1"/>
    <n v="878"/>
    <x v="1"/>
    <x v="17"/>
    <n v="4"/>
    <x v="2"/>
    <x v="2"/>
    <n v="4"/>
    <x v="1"/>
    <n v="43"/>
    <x v="0"/>
    <n v="1"/>
    <x v="1"/>
    <n v="3"/>
    <x v="2"/>
    <x v="198"/>
    <n v="5972"/>
    <n v="1"/>
    <s v="Y"/>
    <x v="0"/>
    <n v="17"/>
    <n v="3"/>
    <n v="4"/>
    <n v="80"/>
    <n v="1"/>
    <n v="5"/>
    <n v="4"/>
    <n v="4"/>
    <n v="5"/>
    <n v="3"/>
    <n v="2"/>
    <n v="0"/>
  </r>
  <r>
    <n v="40"/>
    <x v="0"/>
    <x v="1"/>
    <n v="0"/>
    <x v="0"/>
    <n v="905"/>
    <x v="1"/>
    <x v="10"/>
    <n v="2"/>
    <x v="0"/>
    <x v="2"/>
    <n v="3"/>
    <x v="1"/>
    <n v="99"/>
    <x v="0"/>
    <n v="2"/>
    <x v="2"/>
    <n v="4"/>
    <x v="1"/>
    <x v="199"/>
    <n v="16523"/>
    <n v="8"/>
    <s v="Y"/>
    <x v="0"/>
    <n v="15"/>
    <n v="3"/>
    <n v="3"/>
    <n v="80"/>
    <n v="1"/>
    <n v="15"/>
    <n v="2"/>
    <n v="4"/>
    <n v="7"/>
    <n v="2"/>
    <n v="3"/>
    <n v="7"/>
  </r>
  <r>
    <n v="38"/>
    <x v="0"/>
    <x v="0"/>
    <n v="1"/>
    <x v="0"/>
    <n v="1180"/>
    <x v="1"/>
    <x v="22"/>
    <n v="1"/>
    <x v="1"/>
    <x v="2"/>
    <n v="2"/>
    <x v="1"/>
    <n v="70"/>
    <x v="0"/>
    <n v="2"/>
    <x v="4"/>
    <n v="1"/>
    <x v="1"/>
    <x v="200"/>
    <n v="11354"/>
    <n v="7"/>
    <s v="Y"/>
    <x v="0"/>
    <n v="19"/>
    <n v="3"/>
    <n v="2"/>
    <n v="80"/>
    <n v="0"/>
    <n v="17"/>
    <n v="2"/>
    <n v="3"/>
    <n v="1"/>
    <n v="0"/>
    <n v="0"/>
    <n v="0"/>
  </r>
  <r>
    <n v="29"/>
    <x v="2"/>
    <x v="0"/>
    <n v="1"/>
    <x v="0"/>
    <n v="121"/>
    <x v="0"/>
    <x v="6"/>
    <n v="3"/>
    <x v="3"/>
    <x v="3"/>
    <n v="2"/>
    <x v="0"/>
    <n v="35"/>
    <x v="0"/>
    <n v="3"/>
    <x v="0"/>
    <n v="4"/>
    <x v="1"/>
    <x v="201"/>
    <n v="24525"/>
    <n v="1"/>
    <s v="Y"/>
    <x v="1"/>
    <n v="22"/>
    <n v="4"/>
    <n v="4"/>
    <n v="80"/>
    <n v="3"/>
    <n v="10"/>
    <n v="3"/>
    <n v="2"/>
    <n v="10"/>
    <n v="4"/>
    <n v="1"/>
    <n v="9"/>
  </r>
  <r>
    <n v="22"/>
    <x v="4"/>
    <x v="1"/>
    <n v="0"/>
    <x v="0"/>
    <n v="1136"/>
    <x v="1"/>
    <x v="12"/>
    <n v="3"/>
    <x v="3"/>
    <x v="0"/>
    <n v="4"/>
    <x v="1"/>
    <n v="60"/>
    <x v="2"/>
    <n v="1"/>
    <x v="1"/>
    <n v="2"/>
    <x v="2"/>
    <x v="202"/>
    <n v="12392"/>
    <n v="1"/>
    <s v="Y"/>
    <x v="0"/>
    <n v="16"/>
    <n v="3"/>
    <n v="1"/>
    <n v="80"/>
    <n v="1"/>
    <n v="4"/>
    <n v="2"/>
    <n v="2"/>
    <n v="4"/>
    <n v="2"/>
    <n v="2"/>
    <n v="2"/>
  </r>
  <r>
    <n v="36"/>
    <x v="0"/>
    <x v="1"/>
    <n v="0"/>
    <x v="1"/>
    <n v="635"/>
    <x v="1"/>
    <x v="21"/>
    <n v="1"/>
    <x v="1"/>
    <x v="2"/>
    <n v="2"/>
    <x v="0"/>
    <n v="73"/>
    <x v="0"/>
    <n v="1"/>
    <x v="2"/>
    <n v="4"/>
    <x v="0"/>
    <x v="203"/>
    <n v="7703"/>
    <n v="1"/>
    <s v="Y"/>
    <x v="1"/>
    <n v="13"/>
    <n v="3"/>
    <n v="1"/>
    <n v="80"/>
    <n v="0"/>
    <n v="8"/>
    <n v="2"/>
    <n v="3"/>
    <n v="8"/>
    <n v="1"/>
    <n v="1"/>
    <n v="7"/>
  </r>
  <r>
    <n v="40"/>
    <x v="0"/>
    <x v="1"/>
    <n v="0"/>
    <x v="2"/>
    <n v="1151"/>
    <x v="1"/>
    <x v="14"/>
    <n v="5"/>
    <x v="4"/>
    <x v="0"/>
    <n v="4"/>
    <x v="1"/>
    <n v="63"/>
    <x v="1"/>
    <n v="2"/>
    <x v="4"/>
    <n v="4"/>
    <x v="1"/>
    <x v="204"/>
    <n v="14242"/>
    <n v="9"/>
    <s v="Y"/>
    <x v="1"/>
    <n v="14"/>
    <n v="3"/>
    <n v="4"/>
    <n v="80"/>
    <n v="1"/>
    <n v="5"/>
    <n v="5"/>
    <n v="1"/>
    <n v="3"/>
    <n v="2"/>
    <n v="0"/>
    <n v="2"/>
  </r>
  <r>
    <n v="46"/>
    <x v="1"/>
    <x v="1"/>
    <n v="0"/>
    <x v="0"/>
    <n v="644"/>
    <x v="1"/>
    <x v="0"/>
    <n v="4"/>
    <x v="2"/>
    <x v="2"/>
    <n v="4"/>
    <x v="1"/>
    <n v="97"/>
    <x v="0"/>
    <n v="3"/>
    <x v="4"/>
    <n v="1"/>
    <x v="2"/>
    <x v="205"/>
    <n v="12368"/>
    <n v="7"/>
    <s v="Y"/>
    <x v="1"/>
    <n v="16"/>
    <n v="3"/>
    <n v="3"/>
    <n v="80"/>
    <n v="1"/>
    <n v="17"/>
    <n v="3"/>
    <n v="3"/>
    <n v="4"/>
    <n v="2"/>
    <n v="0"/>
    <n v="3"/>
  </r>
  <r>
    <n v="32"/>
    <x v="2"/>
    <x v="0"/>
    <n v="1"/>
    <x v="0"/>
    <n v="1045"/>
    <x v="0"/>
    <x v="18"/>
    <n v="4"/>
    <x v="2"/>
    <x v="2"/>
    <n v="4"/>
    <x v="1"/>
    <n v="32"/>
    <x v="3"/>
    <n v="3"/>
    <x v="0"/>
    <n v="4"/>
    <x v="1"/>
    <x v="206"/>
    <n v="25812"/>
    <n v="1"/>
    <s v="Y"/>
    <x v="1"/>
    <n v="11"/>
    <n v="3"/>
    <n v="3"/>
    <n v="80"/>
    <n v="0"/>
    <n v="14"/>
    <n v="2"/>
    <n v="2"/>
    <n v="14"/>
    <n v="8"/>
    <n v="9"/>
    <n v="8"/>
  </r>
  <r>
    <n v="30"/>
    <x v="2"/>
    <x v="1"/>
    <n v="0"/>
    <x v="2"/>
    <n v="829"/>
    <x v="1"/>
    <x v="0"/>
    <n v="1"/>
    <x v="1"/>
    <x v="0"/>
    <n v="3"/>
    <x v="1"/>
    <n v="88"/>
    <x v="1"/>
    <n v="3"/>
    <x v="3"/>
    <n v="3"/>
    <x v="0"/>
    <x v="207"/>
    <n v="20925"/>
    <n v="1"/>
    <s v="Y"/>
    <x v="1"/>
    <n v="22"/>
    <n v="4"/>
    <n v="3"/>
    <n v="80"/>
    <n v="0"/>
    <n v="12"/>
    <n v="2"/>
    <n v="3"/>
    <n v="11"/>
    <n v="8"/>
    <n v="5"/>
    <n v="8"/>
  </r>
  <r>
    <n v="27"/>
    <x v="2"/>
    <x v="1"/>
    <n v="0"/>
    <x v="1"/>
    <n v="1242"/>
    <x v="0"/>
    <x v="25"/>
    <n v="3"/>
    <x v="3"/>
    <x v="0"/>
    <n v="4"/>
    <x v="0"/>
    <n v="90"/>
    <x v="0"/>
    <n v="2"/>
    <x v="0"/>
    <n v="3"/>
    <x v="0"/>
    <x v="208"/>
    <n v="12916"/>
    <n v="1"/>
    <s v="Y"/>
    <x v="1"/>
    <n v="14"/>
    <n v="3"/>
    <n v="4"/>
    <n v="80"/>
    <n v="0"/>
    <n v="7"/>
    <n v="2"/>
    <n v="3"/>
    <n v="7"/>
    <n v="7"/>
    <n v="0"/>
    <n v="7"/>
  </r>
  <r>
    <n v="51"/>
    <x v="1"/>
    <x v="1"/>
    <n v="0"/>
    <x v="0"/>
    <n v="1469"/>
    <x v="1"/>
    <x v="1"/>
    <n v="4"/>
    <x v="2"/>
    <x v="0"/>
    <n v="2"/>
    <x v="1"/>
    <n v="81"/>
    <x v="1"/>
    <n v="3"/>
    <x v="7"/>
    <n v="2"/>
    <x v="1"/>
    <x v="209"/>
    <n v="15736"/>
    <n v="5"/>
    <s v="Y"/>
    <x v="1"/>
    <n v="16"/>
    <n v="3"/>
    <n v="4"/>
    <n v="80"/>
    <n v="2"/>
    <n v="16"/>
    <n v="5"/>
    <n v="1"/>
    <n v="10"/>
    <n v="9"/>
    <n v="4"/>
    <n v="7"/>
  </r>
  <r>
    <n v="30"/>
    <x v="2"/>
    <x v="0"/>
    <n v="1"/>
    <x v="0"/>
    <n v="1005"/>
    <x v="1"/>
    <x v="3"/>
    <n v="3"/>
    <x v="3"/>
    <x v="4"/>
    <n v="4"/>
    <x v="0"/>
    <n v="88"/>
    <x v="0"/>
    <n v="1"/>
    <x v="1"/>
    <n v="1"/>
    <x v="0"/>
    <x v="210"/>
    <n v="8556"/>
    <n v="5"/>
    <s v="Y"/>
    <x v="0"/>
    <n v="11"/>
    <n v="3"/>
    <n v="3"/>
    <n v="80"/>
    <n v="0"/>
    <n v="8"/>
    <n v="5"/>
    <n v="3"/>
    <n v="5"/>
    <n v="2"/>
    <n v="0"/>
    <n v="4"/>
  </r>
  <r>
    <n v="41"/>
    <x v="0"/>
    <x v="1"/>
    <n v="0"/>
    <x v="0"/>
    <n v="896"/>
    <x v="0"/>
    <x v="16"/>
    <n v="3"/>
    <x v="3"/>
    <x v="0"/>
    <n v="4"/>
    <x v="0"/>
    <n v="75"/>
    <x v="0"/>
    <n v="3"/>
    <x v="5"/>
    <n v="4"/>
    <x v="0"/>
    <x v="211"/>
    <n v="14674"/>
    <n v="3"/>
    <s v="Y"/>
    <x v="0"/>
    <n v="18"/>
    <n v="3"/>
    <n v="3"/>
    <n v="80"/>
    <n v="0"/>
    <n v="16"/>
    <n v="3"/>
    <n v="3"/>
    <n v="1"/>
    <n v="0"/>
    <n v="0"/>
    <n v="0"/>
  </r>
  <r>
    <n v="30"/>
    <x v="2"/>
    <x v="0"/>
    <n v="1"/>
    <x v="1"/>
    <n v="334"/>
    <x v="0"/>
    <x v="9"/>
    <n v="4"/>
    <x v="2"/>
    <x v="3"/>
    <n v="3"/>
    <x v="0"/>
    <n v="52"/>
    <x v="1"/>
    <n v="2"/>
    <x v="0"/>
    <n v="1"/>
    <x v="0"/>
    <x v="212"/>
    <n v="22967"/>
    <n v="5"/>
    <s v="Y"/>
    <x v="1"/>
    <n v="15"/>
    <n v="3"/>
    <n v="3"/>
    <n v="80"/>
    <n v="0"/>
    <n v="9"/>
    <n v="5"/>
    <n v="2"/>
    <n v="6"/>
    <n v="3"/>
    <n v="0"/>
    <n v="1"/>
  </r>
  <r>
    <n v="29"/>
    <x v="2"/>
    <x v="0"/>
    <n v="1"/>
    <x v="0"/>
    <n v="992"/>
    <x v="1"/>
    <x v="0"/>
    <n v="3"/>
    <x v="3"/>
    <x v="4"/>
    <n v="3"/>
    <x v="1"/>
    <n v="85"/>
    <x v="0"/>
    <n v="1"/>
    <x v="1"/>
    <n v="3"/>
    <x v="0"/>
    <x v="213"/>
    <n v="19757"/>
    <n v="0"/>
    <s v="Y"/>
    <x v="1"/>
    <n v="14"/>
    <n v="3"/>
    <n v="4"/>
    <n v="80"/>
    <n v="0"/>
    <n v="7"/>
    <n v="1"/>
    <n v="2"/>
    <n v="6"/>
    <n v="2"/>
    <n v="1"/>
    <n v="5"/>
  </r>
  <r>
    <n v="45"/>
    <x v="1"/>
    <x v="1"/>
    <n v="0"/>
    <x v="2"/>
    <n v="1052"/>
    <x v="0"/>
    <x v="16"/>
    <n v="3"/>
    <x v="3"/>
    <x v="2"/>
    <n v="4"/>
    <x v="0"/>
    <n v="57"/>
    <x v="1"/>
    <n v="3"/>
    <x v="0"/>
    <n v="4"/>
    <x v="0"/>
    <x v="214"/>
    <n v="16840"/>
    <n v="6"/>
    <s v="Y"/>
    <x v="1"/>
    <n v="12"/>
    <n v="3"/>
    <n v="4"/>
    <n v="80"/>
    <n v="0"/>
    <n v="23"/>
    <n v="2"/>
    <n v="3"/>
    <n v="19"/>
    <n v="7"/>
    <n v="12"/>
    <n v="8"/>
  </r>
  <r>
    <n v="54"/>
    <x v="1"/>
    <x v="1"/>
    <n v="0"/>
    <x v="0"/>
    <n v="1147"/>
    <x v="0"/>
    <x v="3"/>
    <n v="3"/>
    <x v="3"/>
    <x v="3"/>
    <n v="4"/>
    <x v="0"/>
    <n v="52"/>
    <x v="0"/>
    <n v="2"/>
    <x v="0"/>
    <n v="1"/>
    <x v="1"/>
    <x v="215"/>
    <n v="17011"/>
    <n v="2"/>
    <s v="Y"/>
    <x v="1"/>
    <n v="14"/>
    <n v="3"/>
    <n v="4"/>
    <n v="80"/>
    <n v="1"/>
    <n v="16"/>
    <n v="4"/>
    <n v="3"/>
    <n v="6"/>
    <n v="2"/>
    <n v="0"/>
    <n v="5"/>
  </r>
  <r>
    <n v="36"/>
    <x v="0"/>
    <x v="1"/>
    <n v="0"/>
    <x v="0"/>
    <n v="1396"/>
    <x v="1"/>
    <x v="12"/>
    <n v="2"/>
    <x v="0"/>
    <x v="0"/>
    <n v="4"/>
    <x v="1"/>
    <n v="62"/>
    <x v="0"/>
    <n v="2"/>
    <x v="2"/>
    <n v="2"/>
    <x v="0"/>
    <x v="216"/>
    <n v="9945"/>
    <n v="8"/>
    <s v="Y"/>
    <x v="1"/>
    <n v="16"/>
    <n v="3"/>
    <n v="4"/>
    <n v="80"/>
    <n v="0"/>
    <n v="16"/>
    <n v="3"/>
    <n v="4"/>
    <n v="13"/>
    <n v="11"/>
    <n v="3"/>
    <n v="7"/>
  </r>
  <r>
    <n v="33"/>
    <x v="2"/>
    <x v="1"/>
    <n v="0"/>
    <x v="0"/>
    <n v="147"/>
    <x v="1"/>
    <x v="18"/>
    <n v="4"/>
    <x v="2"/>
    <x v="2"/>
    <n v="3"/>
    <x v="0"/>
    <n v="47"/>
    <x v="1"/>
    <n v="1"/>
    <x v="1"/>
    <n v="2"/>
    <x v="1"/>
    <x v="217"/>
    <n v="13248"/>
    <n v="6"/>
    <s v="Y"/>
    <x v="1"/>
    <n v="21"/>
    <n v="4"/>
    <n v="4"/>
    <n v="80"/>
    <n v="0"/>
    <n v="7"/>
    <n v="3"/>
    <n v="3"/>
    <n v="3"/>
    <n v="2"/>
    <n v="1"/>
    <n v="1"/>
  </r>
  <r>
    <n v="37"/>
    <x v="0"/>
    <x v="1"/>
    <n v="0"/>
    <x v="1"/>
    <n v="663"/>
    <x v="1"/>
    <x v="13"/>
    <n v="3"/>
    <x v="3"/>
    <x v="1"/>
    <n v="2"/>
    <x v="1"/>
    <n v="47"/>
    <x v="0"/>
    <n v="3"/>
    <x v="7"/>
    <n v="4"/>
    <x v="2"/>
    <x v="218"/>
    <n v="10056"/>
    <n v="1"/>
    <s v="Y"/>
    <x v="0"/>
    <n v="14"/>
    <n v="3"/>
    <n v="3"/>
    <n v="80"/>
    <n v="3"/>
    <n v="10"/>
    <n v="1"/>
    <n v="3"/>
    <n v="10"/>
    <n v="8"/>
    <n v="0"/>
    <n v="7"/>
  </r>
  <r>
    <n v="38"/>
    <x v="0"/>
    <x v="1"/>
    <n v="0"/>
    <x v="0"/>
    <n v="119"/>
    <x v="0"/>
    <x v="3"/>
    <n v="3"/>
    <x v="3"/>
    <x v="0"/>
    <n v="1"/>
    <x v="1"/>
    <n v="76"/>
    <x v="0"/>
    <n v="3"/>
    <x v="0"/>
    <n v="3"/>
    <x v="2"/>
    <x v="219"/>
    <n v="9647"/>
    <n v="0"/>
    <s v="Y"/>
    <x v="1"/>
    <n v="12"/>
    <n v="3"/>
    <n v="3"/>
    <n v="80"/>
    <n v="2"/>
    <n v="17"/>
    <n v="6"/>
    <n v="2"/>
    <n v="16"/>
    <n v="10"/>
    <n v="5"/>
    <n v="13"/>
  </r>
  <r>
    <n v="31"/>
    <x v="2"/>
    <x v="1"/>
    <n v="0"/>
    <x v="2"/>
    <n v="979"/>
    <x v="1"/>
    <x v="0"/>
    <n v="4"/>
    <x v="2"/>
    <x v="2"/>
    <n v="3"/>
    <x v="1"/>
    <n v="90"/>
    <x v="3"/>
    <n v="2"/>
    <x v="3"/>
    <n v="3"/>
    <x v="1"/>
    <x v="220"/>
    <n v="4381"/>
    <n v="0"/>
    <s v="Y"/>
    <x v="1"/>
    <n v="12"/>
    <n v="3"/>
    <n v="4"/>
    <n v="80"/>
    <n v="1"/>
    <n v="6"/>
    <n v="2"/>
    <n v="3"/>
    <n v="5"/>
    <n v="4"/>
    <n v="1"/>
    <n v="4"/>
  </r>
  <r>
    <n v="59"/>
    <x v="3"/>
    <x v="1"/>
    <n v="0"/>
    <x v="0"/>
    <n v="142"/>
    <x v="1"/>
    <x v="3"/>
    <n v="3"/>
    <x v="3"/>
    <x v="0"/>
    <n v="3"/>
    <x v="1"/>
    <n v="70"/>
    <x v="1"/>
    <n v="1"/>
    <x v="1"/>
    <n v="4"/>
    <x v="1"/>
    <x v="221"/>
    <n v="8456"/>
    <n v="3"/>
    <s v="Y"/>
    <x v="1"/>
    <n v="17"/>
    <n v="3"/>
    <n v="1"/>
    <n v="80"/>
    <n v="1"/>
    <n v="7"/>
    <n v="6"/>
    <n v="3"/>
    <n v="1"/>
    <n v="0"/>
    <n v="0"/>
    <n v="0"/>
  </r>
  <r>
    <n v="37"/>
    <x v="0"/>
    <x v="1"/>
    <n v="0"/>
    <x v="1"/>
    <n v="319"/>
    <x v="0"/>
    <x v="18"/>
    <n v="4"/>
    <x v="2"/>
    <x v="3"/>
    <n v="1"/>
    <x v="1"/>
    <n v="41"/>
    <x v="0"/>
    <n v="1"/>
    <x v="6"/>
    <n v="4"/>
    <x v="2"/>
    <x v="222"/>
    <n v="2539"/>
    <n v="4"/>
    <s v="Y"/>
    <x v="1"/>
    <n v="17"/>
    <n v="3"/>
    <n v="3"/>
    <n v="80"/>
    <n v="1"/>
    <n v="13"/>
    <n v="2"/>
    <n v="3"/>
    <n v="9"/>
    <n v="8"/>
    <n v="5"/>
    <n v="8"/>
  </r>
  <r>
    <n v="29"/>
    <x v="2"/>
    <x v="1"/>
    <n v="0"/>
    <x v="1"/>
    <n v="1413"/>
    <x v="0"/>
    <x v="0"/>
    <n v="1"/>
    <x v="1"/>
    <x v="2"/>
    <n v="2"/>
    <x v="0"/>
    <n v="42"/>
    <x v="0"/>
    <n v="3"/>
    <x v="0"/>
    <n v="4"/>
    <x v="1"/>
    <x v="223"/>
    <n v="6599"/>
    <n v="1"/>
    <s v="Y"/>
    <x v="1"/>
    <n v="14"/>
    <n v="3"/>
    <n v="4"/>
    <n v="80"/>
    <n v="1"/>
    <n v="11"/>
    <n v="5"/>
    <n v="3"/>
    <n v="11"/>
    <n v="10"/>
    <n v="4"/>
    <n v="1"/>
  </r>
  <r>
    <n v="35"/>
    <x v="0"/>
    <x v="1"/>
    <n v="0"/>
    <x v="1"/>
    <n v="944"/>
    <x v="0"/>
    <x v="0"/>
    <n v="3"/>
    <x v="3"/>
    <x v="3"/>
    <n v="3"/>
    <x v="0"/>
    <n v="92"/>
    <x v="0"/>
    <n v="3"/>
    <x v="0"/>
    <n v="3"/>
    <x v="0"/>
    <x v="224"/>
    <n v="9096"/>
    <n v="1"/>
    <s v="Y"/>
    <x v="1"/>
    <n v="14"/>
    <n v="3"/>
    <n v="1"/>
    <n v="80"/>
    <n v="0"/>
    <n v="10"/>
    <n v="3"/>
    <n v="4"/>
    <n v="10"/>
    <n v="7"/>
    <n v="0"/>
    <n v="8"/>
  </r>
  <r>
    <n v="29"/>
    <x v="2"/>
    <x v="0"/>
    <n v="1"/>
    <x v="0"/>
    <n v="896"/>
    <x v="1"/>
    <x v="21"/>
    <n v="1"/>
    <x v="1"/>
    <x v="2"/>
    <n v="3"/>
    <x v="1"/>
    <n v="86"/>
    <x v="1"/>
    <n v="1"/>
    <x v="1"/>
    <n v="4"/>
    <x v="0"/>
    <x v="225"/>
    <n v="14961"/>
    <n v="1"/>
    <s v="Y"/>
    <x v="0"/>
    <n v="13"/>
    <n v="3"/>
    <n v="3"/>
    <n v="80"/>
    <n v="0"/>
    <n v="4"/>
    <n v="3"/>
    <n v="2"/>
    <n v="4"/>
    <n v="3"/>
    <n v="0"/>
    <n v="1"/>
  </r>
  <r>
    <n v="52"/>
    <x v="1"/>
    <x v="1"/>
    <n v="0"/>
    <x v="0"/>
    <n v="1323"/>
    <x v="1"/>
    <x v="2"/>
    <n v="3"/>
    <x v="3"/>
    <x v="0"/>
    <n v="3"/>
    <x v="0"/>
    <n v="89"/>
    <x v="1"/>
    <n v="1"/>
    <x v="2"/>
    <n v="4"/>
    <x v="0"/>
    <x v="226"/>
    <n v="3300"/>
    <n v="7"/>
    <s v="Y"/>
    <x v="1"/>
    <n v="15"/>
    <n v="3"/>
    <n v="2"/>
    <n v="80"/>
    <n v="0"/>
    <n v="6"/>
    <n v="3"/>
    <n v="2"/>
    <n v="2"/>
    <n v="2"/>
    <n v="2"/>
    <n v="2"/>
  </r>
  <r>
    <n v="42"/>
    <x v="0"/>
    <x v="1"/>
    <n v="0"/>
    <x v="0"/>
    <n v="532"/>
    <x v="1"/>
    <x v="18"/>
    <n v="2"/>
    <x v="0"/>
    <x v="4"/>
    <n v="3"/>
    <x v="1"/>
    <n v="58"/>
    <x v="0"/>
    <n v="5"/>
    <x v="5"/>
    <n v="4"/>
    <x v="1"/>
    <x v="227"/>
    <n v="4933"/>
    <n v="1"/>
    <s v="Y"/>
    <x v="1"/>
    <n v="11"/>
    <n v="3"/>
    <n v="4"/>
    <n v="80"/>
    <n v="0"/>
    <n v="22"/>
    <n v="3"/>
    <n v="3"/>
    <n v="22"/>
    <n v="17"/>
    <n v="11"/>
    <n v="15"/>
  </r>
  <r>
    <n v="59"/>
    <x v="3"/>
    <x v="1"/>
    <n v="0"/>
    <x v="0"/>
    <n v="818"/>
    <x v="2"/>
    <x v="16"/>
    <n v="2"/>
    <x v="0"/>
    <x v="2"/>
    <n v="2"/>
    <x v="1"/>
    <n v="52"/>
    <x v="0"/>
    <n v="1"/>
    <x v="8"/>
    <n v="3"/>
    <x v="1"/>
    <x v="228"/>
    <n v="25657"/>
    <n v="8"/>
    <s v="Y"/>
    <x v="1"/>
    <n v="17"/>
    <n v="3"/>
    <n v="4"/>
    <n v="80"/>
    <n v="0"/>
    <n v="7"/>
    <n v="2"/>
    <n v="2"/>
    <n v="2"/>
    <n v="2"/>
    <n v="2"/>
    <n v="2"/>
  </r>
  <r>
    <n v="50"/>
    <x v="1"/>
    <x v="1"/>
    <n v="0"/>
    <x v="0"/>
    <n v="854"/>
    <x v="0"/>
    <x v="0"/>
    <n v="4"/>
    <x v="2"/>
    <x v="2"/>
    <n v="4"/>
    <x v="0"/>
    <n v="68"/>
    <x v="0"/>
    <n v="5"/>
    <x v="5"/>
    <n v="4"/>
    <x v="2"/>
    <x v="229"/>
    <n v="24118"/>
    <n v="3"/>
    <s v="Y"/>
    <x v="1"/>
    <n v="11"/>
    <n v="3"/>
    <n v="3"/>
    <n v="80"/>
    <n v="1"/>
    <n v="32"/>
    <n v="3"/>
    <n v="2"/>
    <n v="7"/>
    <n v="0"/>
    <n v="0"/>
    <n v="6"/>
  </r>
  <r>
    <n v="33"/>
    <x v="2"/>
    <x v="0"/>
    <n v="1"/>
    <x v="0"/>
    <n v="813"/>
    <x v="1"/>
    <x v="24"/>
    <n v="3"/>
    <x v="3"/>
    <x v="2"/>
    <n v="3"/>
    <x v="1"/>
    <n v="58"/>
    <x v="0"/>
    <n v="1"/>
    <x v="2"/>
    <n v="4"/>
    <x v="1"/>
    <x v="230"/>
    <n v="22149"/>
    <n v="5"/>
    <s v="Y"/>
    <x v="0"/>
    <n v="13"/>
    <n v="3"/>
    <n v="3"/>
    <n v="80"/>
    <n v="1"/>
    <n v="8"/>
    <n v="2"/>
    <n v="1"/>
    <n v="5"/>
    <n v="4"/>
    <n v="0"/>
    <n v="4"/>
  </r>
  <r>
    <n v="43"/>
    <x v="0"/>
    <x v="1"/>
    <n v="0"/>
    <x v="0"/>
    <n v="1034"/>
    <x v="0"/>
    <x v="7"/>
    <n v="3"/>
    <x v="3"/>
    <x v="3"/>
    <n v="4"/>
    <x v="0"/>
    <n v="80"/>
    <x v="0"/>
    <n v="4"/>
    <x v="5"/>
    <n v="4"/>
    <x v="1"/>
    <x v="231"/>
    <n v="7744"/>
    <n v="5"/>
    <s v="Y"/>
    <x v="0"/>
    <n v="22"/>
    <n v="4"/>
    <n v="3"/>
    <n v="80"/>
    <n v="1"/>
    <n v="22"/>
    <n v="3"/>
    <n v="3"/>
    <n v="17"/>
    <n v="13"/>
    <n v="1"/>
    <n v="9"/>
  </r>
  <r>
    <n v="33"/>
    <x v="2"/>
    <x v="0"/>
    <n v="1"/>
    <x v="0"/>
    <n v="465"/>
    <x v="1"/>
    <x v="2"/>
    <n v="2"/>
    <x v="0"/>
    <x v="0"/>
    <n v="1"/>
    <x v="0"/>
    <n v="39"/>
    <x v="0"/>
    <n v="1"/>
    <x v="2"/>
    <n v="1"/>
    <x v="1"/>
    <x v="232"/>
    <n v="21509"/>
    <n v="7"/>
    <s v="Y"/>
    <x v="1"/>
    <n v="20"/>
    <n v="4"/>
    <n v="1"/>
    <n v="80"/>
    <n v="0"/>
    <n v="13"/>
    <n v="3"/>
    <n v="4"/>
    <n v="9"/>
    <n v="7"/>
    <n v="1"/>
    <n v="7"/>
  </r>
  <r>
    <n v="52"/>
    <x v="1"/>
    <x v="1"/>
    <n v="0"/>
    <x v="2"/>
    <n v="771"/>
    <x v="0"/>
    <x v="2"/>
    <n v="4"/>
    <x v="2"/>
    <x v="0"/>
    <n v="1"/>
    <x v="1"/>
    <n v="79"/>
    <x v="1"/>
    <n v="5"/>
    <x v="5"/>
    <n v="3"/>
    <x v="0"/>
    <x v="233"/>
    <n v="21030"/>
    <n v="1"/>
    <s v="Y"/>
    <x v="0"/>
    <n v="18"/>
    <n v="3"/>
    <n v="4"/>
    <n v="80"/>
    <n v="0"/>
    <n v="33"/>
    <n v="2"/>
    <n v="4"/>
    <n v="33"/>
    <n v="7"/>
    <n v="15"/>
    <n v="12"/>
  </r>
  <r>
    <n v="32"/>
    <x v="2"/>
    <x v="1"/>
    <n v="0"/>
    <x v="0"/>
    <n v="1401"/>
    <x v="0"/>
    <x v="18"/>
    <n v="2"/>
    <x v="0"/>
    <x v="0"/>
    <n v="3"/>
    <x v="0"/>
    <n v="56"/>
    <x v="0"/>
    <n v="1"/>
    <x v="6"/>
    <n v="2"/>
    <x v="1"/>
    <x v="234"/>
    <n v="20990"/>
    <n v="2"/>
    <s v="Y"/>
    <x v="1"/>
    <n v="11"/>
    <n v="3"/>
    <n v="1"/>
    <n v="80"/>
    <n v="1"/>
    <n v="6"/>
    <n v="5"/>
    <n v="3"/>
    <n v="4"/>
    <n v="3"/>
    <n v="1"/>
    <n v="2"/>
  </r>
  <r>
    <n v="32"/>
    <x v="2"/>
    <x v="0"/>
    <n v="1"/>
    <x v="0"/>
    <n v="515"/>
    <x v="1"/>
    <x v="0"/>
    <n v="3"/>
    <x v="3"/>
    <x v="0"/>
    <n v="4"/>
    <x v="1"/>
    <n v="62"/>
    <x v="1"/>
    <n v="1"/>
    <x v="2"/>
    <n v="3"/>
    <x v="0"/>
    <x v="235"/>
    <n v="9571"/>
    <n v="0"/>
    <s v="Y"/>
    <x v="0"/>
    <n v="14"/>
    <n v="3"/>
    <n v="4"/>
    <n v="80"/>
    <n v="0"/>
    <n v="4"/>
    <n v="2"/>
    <n v="1"/>
    <n v="3"/>
    <n v="2"/>
    <n v="1"/>
    <n v="2"/>
  </r>
  <r>
    <n v="39"/>
    <x v="0"/>
    <x v="1"/>
    <n v="0"/>
    <x v="0"/>
    <n v="1431"/>
    <x v="1"/>
    <x v="0"/>
    <n v="4"/>
    <x v="2"/>
    <x v="2"/>
    <n v="3"/>
    <x v="0"/>
    <n v="96"/>
    <x v="0"/>
    <n v="1"/>
    <x v="2"/>
    <n v="3"/>
    <x v="2"/>
    <x v="236"/>
    <n v="15417"/>
    <n v="7"/>
    <s v="Y"/>
    <x v="1"/>
    <n v="14"/>
    <n v="3"/>
    <n v="3"/>
    <n v="80"/>
    <n v="3"/>
    <n v="7"/>
    <n v="1"/>
    <n v="3"/>
    <n v="3"/>
    <n v="2"/>
    <n v="1"/>
    <n v="2"/>
  </r>
  <r>
    <n v="32"/>
    <x v="2"/>
    <x v="1"/>
    <n v="0"/>
    <x v="2"/>
    <n v="976"/>
    <x v="0"/>
    <x v="9"/>
    <n v="4"/>
    <x v="2"/>
    <x v="3"/>
    <n v="3"/>
    <x v="1"/>
    <n v="100"/>
    <x v="0"/>
    <n v="2"/>
    <x v="0"/>
    <n v="4"/>
    <x v="1"/>
    <x v="237"/>
    <n v="12069"/>
    <n v="0"/>
    <s v="Y"/>
    <x v="1"/>
    <n v="18"/>
    <n v="3"/>
    <n v="1"/>
    <n v="80"/>
    <n v="0"/>
    <n v="4"/>
    <n v="2"/>
    <n v="3"/>
    <n v="3"/>
    <n v="2"/>
    <n v="2"/>
    <n v="2"/>
  </r>
  <r>
    <n v="41"/>
    <x v="0"/>
    <x v="1"/>
    <n v="0"/>
    <x v="0"/>
    <n v="1411"/>
    <x v="1"/>
    <x v="10"/>
    <n v="2"/>
    <x v="0"/>
    <x v="0"/>
    <n v="3"/>
    <x v="1"/>
    <n v="36"/>
    <x v="0"/>
    <n v="2"/>
    <x v="1"/>
    <n v="1"/>
    <x v="2"/>
    <x v="169"/>
    <n v="19877"/>
    <n v="2"/>
    <s v="Y"/>
    <x v="1"/>
    <n v="16"/>
    <n v="3"/>
    <n v="1"/>
    <n v="80"/>
    <n v="2"/>
    <n v="17"/>
    <n v="2"/>
    <n v="2"/>
    <n v="1"/>
    <n v="0"/>
    <n v="0"/>
    <n v="0"/>
  </r>
  <r>
    <n v="40"/>
    <x v="0"/>
    <x v="1"/>
    <n v="0"/>
    <x v="0"/>
    <n v="1300"/>
    <x v="1"/>
    <x v="4"/>
    <n v="2"/>
    <x v="0"/>
    <x v="4"/>
    <n v="1"/>
    <x v="1"/>
    <n v="62"/>
    <x v="0"/>
    <n v="2"/>
    <x v="1"/>
    <n v="4"/>
    <x v="2"/>
    <x v="238"/>
    <n v="24447"/>
    <n v="1"/>
    <s v="Y"/>
    <x v="1"/>
    <n v="17"/>
    <n v="3"/>
    <n v="1"/>
    <n v="80"/>
    <n v="2"/>
    <n v="9"/>
    <n v="3"/>
    <n v="3"/>
    <n v="9"/>
    <n v="8"/>
    <n v="4"/>
    <n v="7"/>
  </r>
  <r>
    <n v="45"/>
    <x v="1"/>
    <x v="1"/>
    <n v="0"/>
    <x v="0"/>
    <n v="252"/>
    <x v="1"/>
    <x v="0"/>
    <n v="3"/>
    <x v="3"/>
    <x v="1"/>
    <n v="3"/>
    <x v="1"/>
    <n v="70"/>
    <x v="2"/>
    <n v="5"/>
    <x v="5"/>
    <n v="4"/>
    <x v="1"/>
    <x v="239"/>
    <n v="15970"/>
    <n v="0"/>
    <s v="Y"/>
    <x v="1"/>
    <n v="11"/>
    <n v="3"/>
    <n v="3"/>
    <n v="80"/>
    <n v="1"/>
    <n v="25"/>
    <n v="2"/>
    <n v="3"/>
    <n v="24"/>
    <n v="0"/>
    <n v="1"/>
    <n v="7"/>
  </r>
  <r>
    <n v="31"/>
    <x v="2"/>
    <x v="1"/>
    <n v="0"/>
    <x v="1"/>
    <n v="1327"/>
    <x v="1"/>
    <x v="3"/>
    <n v="4"/>
    <x v="2"/>
    <x v="2"/>
    <n v="2"/>
    <x v="1"/>
    <n v="73"/>
    <x v="0"/>
    <n v="3"/>
    <x v="7"/>
    <n v="3"/>
    <x v="2"/>
    <x v="240"/>
    <n v="13523"/>
    <n v="9"/>
    <s v="Y"/>
    <x v="1"/>
    <n v="12"/>
    <n v="3"/>
    <n v="1"/>
    <n v="80"/>
    <n v="1"/>
    <n v="9"/>
    <n v="3"/>
    <n v="3"/>
    <n v="2"/>
    <n v="2"/>
    <n v="2"/>
    <n v="2"/>
  </r>
  <r>
    <n v="33"/>
    <x v="2"/>
    <x v="1"/>
    <n v="0"/>
    <x v="0"/>
    <n v="832"/>
    <x v="1"/>
    <x v="12"/>
    <n v="4"/>
    <x v="2"/>
    <x v="0"/>
    <n v="3"/>
    <x v="0"/>
    <n v="63"/>
    <x v="1"/>
    <n v="1"/>
    <x v="1"/>
    <n v="4"/>
    <x v="1"/>
    <x v="12"/>
    <n v="14776"/>
    <n v="1"/>
    <s v="Y"/>
    <x v="1"/>
    <n v="13"/>
    <n v="3"/>
    <n v="3"/>
    <n v="80"/>
    <n v="1"/>
    <n v="2"/>
    <n v="2"/>
    <n v="2"/>
    <n v="2"/>
    <n v="2"/>
    <n v="0"/>
    <n v="2"/>
  </r>
  <r>
    <n v="34"/>
    <x v="2"/>
    <x v="1"/>
    <n v="0"/>
    <x v="0"/>
    <n v="470"/>
    <x v="1"/>
    <x v="2"/>
    <n v="4"/>
    <x v="2"/>
    <x v="0"/>
    <n v="4"/>
    <x v="1"/>
    <n v="84"/>
    <x v="1"/>
    <n v="2"/>
    <x v="3"/>
    <n v="1"/>
    <x v="1"/>
    <x v="241"/>
    <n v="23687"/>
    <n v="6"/>
    <s v="Y"/>
    <x v="1"/>
    <n v="13"/>
    <n v="3"/>
    <n v="2"/>
    <n v="80"/>
    <n v="1"/>
    <n v="13"/>
    <n v="3"/>
    <n v="3"/>
    <n v="11"/>
    <n v="9"/>
    <n v="5"/>
    <n v="9"/>
  </r>
  <r>
    <n v="37"/>
    <x v="0"/>
    <x v="1"/>
    <n v="0"/>
    <x v="0"/>
    <n v="1017"/>
    <x v="1"/>
    <x v="0"/>
    <n v="2"/>
    <x v="0"/>
    <x v="2"/>
    <n v="3"/>
    <x v="0"/>
    <n v="83"/>
    <x v="1"/>
    <n v="1"/>
    <x v="1"/>
    <n v="1"/>
    <x v="1"/>
    <x v="242"/>
    <n v="18697"/>
    <n v="2"/>
    <s v="Y"/>
    <x v="1"/>
    <n v="14"/>
    <n v="3"/>
    <n v="1"/>
    <n v="80"/>
    <n v="1"/>
    <n v="17"/>
    <n v="2"/>
    <n v="2"/>
    <n v="3"/>
    <n v="1"/>
    <n v="0"/>
    <n v="2"/>
  </r>
  <r>
    <n v="45"/>
    <x v="1"/>
    <x v="1"/>
    <n v="0"/>
    <x v="1"/>
    <n v="1199"/>
    <x v="1"/>
    <x v="15"/>
    <n v="4"/>
    <x v="2"/>
    <x v="0"/>
    <n v="1"/>
    <x v="1"/>
    <n v="77"/>
    <x v="2"/>
    <n v="2"/>
    <x v="3"/>
    <n v="3"/>
    <x v="1"/>
    <x v="243"/>
    <n v="5118"/>
    <n v="4"/>
    <s v="Y"/>
    <x v="1"/>
    <n v="17"/>
    <n v="3"/>
    <n v="4"/>
    <n v="80"/>
    <n v="1"/>
    <n v="9"/>
    <n v="1"/>
    <n v="3"/>
    <n v="3"/>
    <n v="2"/>
    <n v="0"/>
    <n v="2"/>
  </r>
  <r>
    <n v="37"/>
    <x v="0"/>
    <x v="0"/>
    <n v="1"/>
    <x v="1"/>
    <n v="504"/>
    <x v="1"/>
    <x v="17"/>
    <n v="3"/>
    <x v="3"/>
    <x v="2"/>
    <n v="1"/>
    <x v="1"/>
    <n v="61"/>
    <x v="0"/>
    <n v="3"/>
    <x v="3"/>
    <n v="3"/>
    <x v="2"/>
    <x v="244"/>
    <n v="22573"/>
    <n v="6"/>
    <s v="Y"/>
    <x v="1"/>
    <n v="11"/>
    <n v="3"/>
    <n v="2"/>
    <n v="80"/>
    <n v="2"/>
    <n v="17"/>
    <n v="5"/>
    <n v="3"/>
    <n v="1"/>
    <n v="0"/>
    <n v="0"/>
    <n v="0"/>
  </r>
  <r>
    <n v="39"/>
    <x v="0"/>
    <x v="1"/>
    <n v="0"/>
    <x v="1"/>
    <n v="505"/>
    <x v="1"/>
    <x v="2"/>
    <n v="4"/>
    <x v="2"/>
    <x v="4"/>
    <n v="3"/>
    <x v="0"/>
    <n v="64"/>
    <x v="0"/>
    <n v="3"/>
    <x v="4"/>
    <n v="3"/>
    <x v="0"/>
    <x v="245"/>
    <n v="6420"/>
    <n v="0"/>
    <s v="Y"/>
    <x v="1"/>
    <n v="25"/>
    <n v="4"/>
    <n v="4"/>
    <n v="80"/>
    <n v="0"/>
    <n v="20"/>
    <n v="1"/>
    <n v="3"/>
    <n v="19"/>
    <n v="6"/>
    <n v="11"/>
    <n v="8"/>
  </r>
  <r>
    <n v="29"/>
    <x v="2"/>
    <x v="1"/>
    <n v="0"/>
    <x v="0"/>
    <n v="665"/>
    <x v="1"/>
    <x v="8"/>
    <n v="3"/>
    <x v="3"/>
    <x v="0"/>
    <n v="3"/>
    <x v="1"/>
    <n v="60"/>
    <x v="0"/>
    <n v="1"/>
    <x v="1"/>
    <n v="4"/>
    <x v="0"/>
    <x v="246"/>
    <n v="22673"/>
    <n v="1"/>
    <s v="Y"/>
    <x v="1"/>
    <n v="19"/>
    <n v="3"/>
    <n v="1"/>
    <n v="80"/>
    <n v="0"/>
    <n v="6"/>
    <n v="1"/>
    <n v="3"/>
    <n v="6"/>
    <n v="5"/>
    <n v="1"/>
    <n v="5"/>
  </r>
  <r>
    <n v="42"/>
    <x v="0"/>
    <x v="1"/>
    <n v="0"/>
    <x v="0"/>
    <n v="916"/>
    <x v="1"/>
    <x v="27"/>
    <n v="2"/>
    <x v="0"/>
    <x v="0"/>
    <n v="4"/>
    <x v="0"/>
    <n v="82"/>
    <x v="2"/>
    <n v="2"/>
    <x v="1"/>
    <n v="1"/>
    <x v="0"/>
    <x v="247"/>
    <n v="23016"/>
    <n v="3"/>
    <s v="Y"/>
    <x v="0"/>
    <n v="13"/>
    <n v="3"/>
    <n v="3"/>
    <n v="80"/>
    <n v="0"/>
    <n v="10"/>
    <n v="1"/>
    <n v="3"/>
    <n v="3"/>
    <n v="2"/>
    <n v="0"/>
    <n v="2"/>
  </r>
  <r>
    <n v="29"/>
    <x v="2"/>
    <x v="1"/>
    <n v="0"/>
    <x v="0"/>
    <n v="1247"/>
    <x v="0"/>
    <x v="25"/>
    <n v="2"/>
    <x v="0"/>
    <x v="3"/>
    <n v="4"/>
    <x v="1"/>
    <n v="45"/>
    <x v="0"/>
    <n v="2"/>
    <x v="0"/>
    <n v="4"/>
    <x v="2"/>
    <x v="248"/>
    <n v="10732"/>
    <n v="2"/>
    <s v="Y"/>
    <x v="1"/>
    <n v="14"/>
    <n v="3"/>
    <n v="4"/>
    <n v="80"/>
    <n v="1"/>
    <n v="10"/>
    <n v="2"/>
    <n v="3"/>
    <n v="3"/>
    <n v="2"/>
    <n v="0"/>
    <n v="2"/>
  </r>
  <r>
    <n v="25"/>
    <x v="2"/>
    <x v="1"/>
    <n v="0"/>
    <x v="0"/>
    <n v="685"/>
    <x v="1"/>
    <x v="0"/>
    <n v="3"/>
    <x v="3"/>
    <x v="0"/>
    <n v="1"/>
    <x v="0"/>
    <n v="62"/>
    <x v="0"/>
    <n v="2"/>
    <x v="3"/>
    <n v="3"/>
    <x v="1"/>
    <x v="249"/>
    <n v="7505"/>
    <n v="0"/>
    <s v="Y"/>
    <x v="1"/>
    <n v="12"/>
    <n v="3"/>
    <n v="4"/>
    <n v="80"/>
    <n v="2"/>
    <n v="5"/>
    <n v="3"/>
    <n v="3"/>
    <n v="4"/>
    <n v="2"/>
    <n v="1"/>
    <n v="2"/>
  </r>
  <r>
    <n v="42"/>
    <x v="0"/>
    <x v="1"/>
    <n v="0"/>
    <x v="0"/>
    <n v="269"/>
    <x v="1"/>
    <x v="2"/>
    <n v="3"/>
    <x v="3"/>
    <x v="2"/>
    <n v="4"/>
    <x v="0"/>
    <n v="56"/>
    <x v="1"/>
    <n v="1"/>
    <x v="2"/>
    <n v="1"/>
    <x v="2"/>
    <x v="250"/>
    <n v="8007"/>
    <n v="0"/>
    <s v="Y"/>
    <x v="0"/>
    <n v="11"/>
    <n v="3"/>
    <n v="3"/>
    <n v="80"/>
    <n v="1"/>
    <n v="10"/>
    <n v="4"/>
    <n v="3"/>
    <n v="9"/>
    <n v="6"/>
    <n v="7"/>
    <n v="8"/>
  </r>
  <r>
    <n v="40"/>
    <x v="0"/>
    <x v="1"/>
    <n v="0"/>
    <x v="0"/>
    <n v="1416"/>
    <x v="1"/>
    <x v="2"/>
    <n v="2"/>
    <x v="0"/>
    <x v="2"/>
    <n v="1"/>
    <x v="1"/>
    <n v="49"/>
    <x v="0"/>
    <n v="5"/>
    <x v="7"/>
    <n v="3"/>
    <x v="2"/>
    <x v="251"/>
    <n v="5949"/>
    <n v="0"/>
    <s v="Y"/>
    <x v="1"/>
    <n v="19"/>
    <n v="3"/>
    <n v="4"/>
    <n v="80"/>
    <n v="1"/>
    <n v="22"/>
    <n v="5"/>
    <n v="3"/>
    <n v="21"/>
    <n v="7"/>
    <n v="3"/>
    <n v="9"/>
  </r>
  <r>
    <n v="51"/>
    <x v="1"/>
    <x v="1"/>
    <n v="0"/>
    <x v="0"/>
    <n v="833"/>
    <x v="1"/>
    <x v="0"/>
    <n v="3"/>
    <x v="3"/>
    <x v="0"/>
    <n v="3"/>
    <x v="1"/>
    <n v="96"/>
    <x v="0"/>
    <n v="1"/>
    <x v="1"/>
    <n v="4"/>
    <x v="1"/>
    <x v="252"/>
    <n v="23231"/>
    <n v="1"/>
    <s v="Y"/>
    <x v="1"/>
    <n v="11"/>
    <n v="3"/>
    <n v="2"/>
    <n v="80"/>
    <n v="0"/>
    <n v="1"/>
    <n v="0"/>
    <n v="2"/>
    <n v="1"/>
    <n v="0"/>
    <n v="0"/>
    <n v="0"/>
  </r>
  <r>
    <n v="31"/>
    <x v="2"/>
    <x v="0"/>
    <n v="1"/>
    <x v="1"/>
    <n v="307"/>
    <x v="1"/>
    <x v="22"/>
    <n v="2"/>
    <x v="0"/>
    <x v="2"/>
    <n v="3"/>
    <x v="1"/>
    <n v="71"/>
    <x v="1"/>
    <n v="1"/>
    <x v="2"/>
    <n v="2"/>
    <x v="0"/>
    <x v="253"/>
    <n v="11652"/>
    <n v="0"/>
    <s v="Y"/>
    <x v="1"/>
    <n v="11"/>
    <n v="3"/>
    <n v="2"/>
    <n v="80"/>
    <n v="0"/>
    <n v="6"/>
    <n v="2"/>
    <n v="4"/>
    <n v="5"/>
    <n v="4"/>
    <n v="1"/>
    <n v="4"/>
  </r>
  <r>
    <n v="32"/>
    <x v="2"/>
    <x v="1"/>
    <n v="0"/>
    <x v="1"/>
    <n v="1311"/>
    <x v="1"/>
    <x v="15"/>
    <n v="3"/>
    <x v="3"/>
    <x v="0"/>
    <n v="2"/>
    <x v="1"/>
    <n v="100"/>
    <x v="2"/>
    <n v="1"/>
    <x v="2"/>
    <n v="2"/>
    <x v="1"/>
    <x v="254"/>
    <n v="26062"/>
    <n v="1"/>
    <s v="Y"/>
    <x v="1"/>
    <n v="20"/>
    <n v="4"/>
    <n v="3"/>
    <n v="80"/>
    <n v="0"/>
    <n v="5"/>
    <n v="3"/>
    <n v="1"/>
    <n v="5"/>
    <n v="1"/>
    <n v="0"/>
    <n v="3"/>
  </r>
  <r>
    <n v="38"/>
    <x v="0"/>
    <x v="1"/>
    <n v="0"/>
    <x v="2"/>
    <n v="1327"/>
    <x v="0"/>
    <x v="2"/>
    <n v="2"/>
    <x v="0"/>
    <x v="0"/>
    <n v="4"/>
    <x v="1"/>
    <n v="39"/>
    <x v="1"/>
    <n v="2"/>
    <x v="0"/>
    <n v="4"/>
    <x v="1"/>
    <x v="255"/>
    <n v="19682"/>
    <n v="3"/>
    <s v="Y"/>
    <x v="1"/>
    <n v="18"/>
    <n v="3"/>
    <n v="4"/>
    <n v="80"/>
    <n v="1"/>
    <n v="13"/>
    <n v="0"/>
    <n v="3"/>
    <n v="8"/>
    <n v="7"/>
    <n v="7"/>
    <n v="5"/>
  </r>
  <r>
    <n v="32"/>
    <x v="2"/>
    <x v="1"/>
    <n v="0"/>
    <x v="0"/>
    <n v="128"/>
    <x v="1"/>
    <x v="2"/>
    <n v="1"/>
    <x v="1"/>
    <x v="4"/>
    <n v="4"/>
    <x v="1"/>
    <n v="84"/>
    <x v="1"/>
    <n v="2"/>
    <x v="2"/>
    <n v="1"/>
    <x v="0"/>
    <x v="256"/>
    <n v="19737"/>
    <n v="4"/>
    <s v="Y"/>
    <x v="1"/>
    <n v="13"/>
    <n v="3"/>
    <n v="4"/>
    <n v="80"/>
    <n v="0"/>
    <n v="9"/>
    <n v="5"/>
    <n v="3"/>
    <n v="6"/>
    <n v="2"/>
    <n v="0"/>
    <n v="4"/>
  </r>
  <r>
    <n v="46"/>
    <x v="1"/>
    <x v="1"/>
    <n v="0"/>
    <x v="0"/>
    <n v="488"/>
    <x v="0"/>
    <x v="2"/>
    <n v="3"/>
    <x v="3"/>
    <x v="4"/>
    <n v="3"/>
    <x v="0"/>
    <n v="75"/>
    <x v="3"/>
    <n v="4"/>
    <x v="5"/>
    <n v="2"/>
    <x v="1"/>
    <x v="257"/>
    <n v="14977"/>
    <n v="3"/>
    <s v="Y"/>
    <x v="0"/>
    <n v="12"/>
    <n v="3"/>
    <n v="2"/>
    <n v="80"/>
    <n v="1"/>
    <n v="28"/>
    <n v="2"/>
    <n v="2"/>
    <n v="7"/>
    <n v="7"/>
    <n v="7"/>
    <n v="7"/>
  </r>
  <r>
    <n v="28"/>
    <x v="2"/>
    <x v="0"/>
    <n v="1"/>
    <x v="0"/>
    <n v="529"/>
    <x v="1"/>
    <x v="2"/>
    <n v="4"/>
    <x v="2"/>
    <x v="0"/>
    <n v="1"/>
    <x v="1"/>
    <n v="79"/>
    <x v="0"/>
    <n v="1"/>
    <x v="2"/>
    <n v="3"/>
    <x v="0"/>
    <x v="258"/>
    <n v="14935"/>
    <n v="2"/>
    <s v="Y"/>
    <x v="1"/>
    <n v="11"/>
    <n v="3"/>
    <n v="3"/>
    <n v="80"/>
    <n v="0"/>
    <n v="5"/>
    <n v="5"/>
    <n v="1"/>
    <n v="0"/>
    <n v="0"/>
    <n v="0"/>
    <n v="0"/>
  </r>
  <r>
    <n v="29"/>
    <x v="2"/>
    <x v="1"/>
    <n v="0"/>
    <x v="0"/>
    <n v="1210"/>
    <x v="0"/>
    <x v="2"/>
    <n v="3"/>
    <x v="3"/>
    <x v="2"/>
    <n v="1"/>
    <x v="1"/>
    <n v="78"/>
    <x v="1"/>
    <n v="2"/>
    <x v="0"/>
    <n v="2"/>
    <x v="1"/>
    <x v="259"/>
    <n v="3687"/>
    <n v="2"/>
    <s v="Y"/>
    <x v="1"/>
    <n v="19"/>
    <n v="3"/>
    <n v="2"/>
    <n v="80"/>
    <n v="2"/>
    <n v="10"/>
    <n v="2"/>
    <n v="3"/>
    <n v="0"/>
    <n v="0"/>
    <n v="0"/>
    <n v="0"/>
  </r>
  <r>
    <n v="31"/>
    <x v="2"/>
    <x v="1"/>
    <n v="0"/>
    <x v="0"/>
    <n v="1463"/>
    <x v="1"/>
    <x v="5"/>
    <n v="3"/>
    <x v="3"/>
    <x v="2"/>
    <n v="2"/>
    <x v="1"/>
    <n v="64"/>
    <x v="1"/>
    <n v="2"/>
    <x v="4"/>
    <n v="4"/>
    <x v="1"/>
    <x v="260"/>
    <n v="14408"/>
    <n v="0"/>
    <s v="Y"/>
    <x v="1"/>
    <n v="21"/>
    <n v="4"/>
    <n v="2"/>
    <n v="80"/>
    <n v="1"/>
    <n v="10"/>
    <n v="2"/>
    <n v="3"/>
    <n v="9"/>
    <n v="0"/>
    <n v="7"/>
    <n v="8"/>
  </r>
  <r>
    <n v="25"/>
    <x v="2"/>
    <x v="1"/>
    <n v="0"/>
    <x v="2"/>
    <n v="675"/>
    <x v="1"/>
    <x v="12"/>
    <n v="2"/>
    <x v="0"/>
    <x v="0"/>
    <n v="2"/>
    <x v="1"/>
    <n v="85"/>
    <x v="2"/>
    <n v="2"/>
    <x v="4"/>
    <n v="1"/>
    <x v="2"/>
    <x v="261"/>
    <n v="18384"/>
    <n v="1"/>
    <s v="Y"/>
    <x v="1"/>
    <n v="12"/>
    <n v="3"/>
    <n v="4"/>
    <n v="80"/>
    <n v="2"/>
    <n v="6"/>
    <n v="2"/>
    <n v="3"/>
    <n v="6"/>
    <n v="3"/>
    <n v="1"/>
    <n v="5"/>
  </r>
  <r>
    <n v="45"/>
    <x v="1"/>
    <x v="1"/>
    <n v="0"/>
    <x v="0"/>
    <n v="1385"/>
    <x v="1"/>
    <x v="25"/>
    <n v="2"/>
    <x v="0"/>
    <x v="2"/>
    <n v="3"/>
    <x v="1"/>
    <n v="79"/>
    <x v="0"/>
    <n v="4"/>
    <x v="4"/>
    <n v="4"/>
    <x v="1"/>
    <x v="262"/>
    <n v="7501"/>
    <n v="0"/>
    <s v="Y"/>
    <x v="0"/>
    <n v="14"/>
    <n v="3"/>
    <n v="2"/>
    <n v="80"/>
    <n v="0"/>
    <n v="21"/>
    <n v="2"/>
    <n v="3"/>
    <n v="20"/>
    <n v="7"/>
    <n v="4"/>
    <n v="10"/>
  </r>
  <r>
    <n v="36"/>
    <x v="0"/>
    <x v="1"/>
    <n v="0"/>
    <x v="0"/>
    <n v="1403"/>
    <x v="1"/>
    <x v="16"/>
    <n v="3"/>
    <x v="3"/>
    <x v="0"/>
    <n v="4"/>
    <x v="1"/>
    <n v="47"/>
    <x v="0"/>
    <n v="1"/>
    <x v="2"/>
    <n v="4"/>
    <x v="1"/>
    <x v="263"/>
    <n v="20251"/>
    <n v="0"/>
    <s v="Y"/>
    <x v="1"/>
    <n v="11"/>
    <n v="3"/>
    <n v="3"/>
    <n v="80"/>
    <n v="1"/>
    <n v="16"/>
    <n v="4"/>
    <n v="3"/>
    <n v="15"/>
    <n v="13"/>
    <n v="10"/>
    <n v="11"/>
  </r>
  <r>
    <n v="55"/>
    <x v="3"/>
    <x v="1"/>
    <n v="0"/>
    <x v="0"/>
    <n v="452"/>
    <x v="1"/>
    <x v="0"/>
    <n v="3"/>
    <x v="3"/>
    <x v="2"/>
    <n v="4"/>
    <x v="1"/>
    <n v="81"/>
    <x v="0"/>
    <n v="5"/>
    <x v="5"/>
    <n v="1"/>
    <x v="0"/>
    <x v="264"/>
    <n v="18938"/>
    <n v="0"/>
    <s v="Y"/>
    <x v="0"/>
    <n v="14"/>
    <n v="3"/>
    <n v="3"/>
    <n v="80"/>
    <n v="0"/>
    <n v="37"/>
    <n v="2"/>
    <n v="3"/>
    <n v="36"/>
    <n v="10"/>
    <n v="4"/>
    <n v="13"/>
  </r>
  <r>
    <n v="47"/>
    <x v="1"/>
    <x v="0"/>
    <n v="1"/>
    <x v="2"/>
    <n v="666"/>
    <x v="1"/>
    <x v="22"/>
    <n v="4"/>
    <x v="2"/>
    <x v="0"/>
    <n v="1"/>
    <x v="1"/>
    <n v="88"/>
    <x v="0"/>
    <n v="3"/>
    <x v="5"/>
    <n v="2"/>
    <x v="1"/>
    <x v="265"/>
    <n v="10268"/>
    <n v="1"/>
    <s v="Y"/>
    <x v="0"/>
    <n v="12"/>
    <n v="3"/>
    <n v="4"/>
    <n v="80"/>
    <n v="1"/>
    <n v="10"/>
    <n v="2"/>
    <n v="2"/>
    <n v="10"/>
    <n v="7"/>
    <n v="9"/>
    <n v="9"/>
  </r>
  <r>
    <n v="28"/>
    <x v="2"/>
    <x v="1"/>
    <n v="0"/>
    <x v="0"/>
    <n v="1158"/>
    <x v="1"/>
    <x v="14"/>
    <n v="3"/>
    <x v="3"/>
    <x v="2"/>
    <n v="4"/>
    <x v="1"/>
    <n v="94"/>
    <x v="0"/>
    <n v="1"/>
    <x v="1"/>
    <n v="4"/>
    <x v="1"/>
    <x v="266"/>
    <n v="2613"/>
    <n v="1"/>
    <s v="Y"/>
    <x v="1"/>
    <n v="23"/>
    <n v="4"/>
    <n v="4"/>
    <n v="80"/>
    <n v="1"/>
    <n v="5"/>
    <n v="3"/>
    <n v="2"/>
    <n v="5"/>
    <n v="2"/>
    <n v="0"/>
    <n v="4"/>
  </r>
  <r>
    <n v="37"/>
    <x v="0"/>
    <x v="1"/>
    <n v="0"/>
    <x v="0"/>
    <n v="228"/>
    <x v="0"/>
    <x v="16"/>
    <n v="4"/>
    <x v="2"/>
    <x v="2"/>
    <n v="3"/>
    <x v="1"/>
    <n v="98"/>
    <x v="0"/>
    <n v="2"/>
    <x v="0"/>
    <n v="4"/>
    <x v="1"/>
    <x v="267"/>
    <n v="22825"/>
    <n v="4"/>
    <s v="Y"/>
    <x v="1"/>
    <n v="14"/>
    <n v="3"/>
    <n v="2"/>
    <n v="80"/>
    <n v="1"/>
    <n v="7"/>
    <n v="5"/>
    <n v="4"/>
    <n v="5"/>
    <n v="4"/>
    <n v="0"/>
    <n v="1"/>
  </r>
  <r>
    <n v="21"/>
    <x v="4"/>
    <x v="1"/>
    <n v="0"/>
    <x v="0"/>
    <n v="996"/>
    <x v="1"/>
    <x v="3"/>
    <n v="2"/>
    <x v="0"/>
    <x v="2"/>
    <n v="4"/>
    <x v="1"/>
    <n v="100"/>
    <x v="1"/>
    <n v="1"/>
    <x v="1"/>
    <n v="3"/>
    <x v="0"/>
    <x v="268"/>
    <n v="10531"/>
    <n v="1"/>
    <s v="Y"/>
    <x v="1"/>
    <n v="17"/>
    <n v="3"/>
    <n v="1"/>
    <n v="80"/>
    <n v="0"/>
    <n v="3"/>
    <n v="4"/>
    <n v="4"/>
    <n v="3"/>
    <n v="2"/>
    <n v="1"/>
    <n v="0"/>
  </r>
  <r>
    <n v="37"/>
    <x v="0"/>
    <x v="1"/>
    <n v="0"/>
    <x v="2"/>
    <n v="728"/>
    <x v="1"/>
    <x v="0"/>
    <n v="4"/>
    <x v="2"/>
    <x v="2"/>
    <n v="1"/>
    <x v="0"/>
    <n v="80"/>
    <x v="0"/>
    <n v="3"/>
    <x v="7"/>
    <n v="4"/>
    <x v="2"/>
    <x v="269"/>
    <n v="11677"/>
    <n v="2"/>
    <s v="Y"/>
    <x v="0"/>
    <n v="18"/>
    <n v="3"/>
    <n v="1"/>
    <n v="80"/>
    <n v="2"/>
    <n v="15"/>
    <n v="2"/>
    <n v="3"/>
    <n v="5"/>
    <n v="2"/>
    <n v="0"/>
    <n v="2"/>
  </r>
  <r>
    <n v="35"/>
    <x v="0"/>
    <x v="1"/>
    <n v="0"/>
    <x v="0"/>
    <n v="1315"/>
    <x v="1"/>
    <x v="23"/>
    <n v="3"/>
    <x v="3"/>
    <x v="0"/>
    <n v="2"/>
    <x v="0"/>
    <n v="71"/>
    <x v="2"/>
    <n v="3"/>
    <x v="5"/>
    <n v="2"/>
    <x v="2"/>
    <x v="270"/>
    <n v="19100"/>
    <n v="7"/>
    <s v="Y"/>
    <x v="1"/>
    <n v="18"/>
    <n v="3"/>
    <n v="2"/>
    <n v="80"/>
    <n v="1"/>
    <n v="10"/>
    <n v="6"/>
    <n v="2"/>
    <n v="7"/>
    <n v="7"/>
    <n v="6"/>
    <n v="2"/>
  </r>
  <r>
    <n v="38"/>
    <x v="0"/>
    <x v="1"/>
    <n v="0"/>
    <x v="0"/>
    <n v="322"/>
    <x v="0"/>
    <x v="15"/>
    <n v="2"/>
    <x v="0"/>
    <x v="2"/>
    <n v="1"/>
    <x v="0"/>
    <n v="44"/>
    <x v="2"/>
    <n v="2"/>
    <x v="0"/>
    <n v="1"/>
    <x v="2"/>
    <x v="147"/>
    <n v="19191"/>
    <n v="1"/>
    <s v="Y"/>
    <x v="0"/>
    <n v="24"/>
    <n v="4"/>
    <n v="3"/>
    <n v="80"/>
    <n v="1"/>
    <n v="8"/>
    <n v="3"/>
    <n v="3"/>
    <n v="8"/>
    <n v="0"/>
    <n v="7"/>
    <n v="7"/>
  </r>
  <r>
    <n v="26"/>
    <x v="2"/>
    <x v="1"/>
    <n v="0"/>
    <x v="1"/>
    <n v="1479"/>
    <x v="1"/>
    <x v="0"/>
    <n v="3"/>
    <x v="3"/>
    <x v="0"/>
    <n v="3"/>
    <x v="0"/>
    <n v="84"/>
    <x v="0"/>
    <n v="2"/>
    <x v="3"/>
    <n v="2"/>
    <x v="2"/>
    <x v="271"/>
    <n v="26767"/>
    <n v="1"/>
    <s v="Y"/>
    <x v="1"/>
    <n v="20"/>
    <n v="4"/>
    <n v="1"/>
    <n v="80"/>
    <n v="1"/>
    <n v="6"/>
    <n v="6"/>
    <n v="1"/>
    <n v="6"/>
    <n v="5"/>
    <n v="1"/>
    <n v="4"/>
  </r>
  <r>
    <n v="50"/>
    <x v="1"/>
    <x v="1"/>
    <n v="0"/>
    <x v="0"/>
    <n v="797"/>
    <x v="1"/>
    <x v="18"/>
    <n v="1"/>
    <x v="1"/>
    <x v="0"/>
    <n v="1"/>
    <x v="1"/>
    <n v="96"/>
    <x v="0"/>
    <n v="5"/>
    <x v="7"/>
    <n v="2"/>
    <x v="2"/>
    <x v="272"/>
    <n v="15815"/>
    <n v="3"/>
    <s v="Y"/>
    <x v="1"/>
    <n v="14"/>
    <n v="3"/>
    <n v="1"/>
    <n v="80"/>
    <n v="2"/>
    <n v="28"/>
    <n v="4"/>
    <n v="2"/>
    <n v="10"/>
    <n v="4"/>
    <n v="1"/>
    <n v="6"/>
  </r>
  <r>
    <n v="53"/>
    <x v="1"/>
    <x v="1"/>
    <n v="0"/>
    <x v="0"/>
    <n v="1070"/>
    <x v="1"/>
    <x v="3"/>
    <n v="4"/>
    <x v="2"/>
    <x v="2"/>
    <n v="3"/>
    <x v="1"/>
    <n v="45"/>
    <x v="0"/>
    <n v="4"/>
    <x v="7"/>
    <n v="3"/>
    <x v="1"/>
    <x v="273"/>
    <n v="21016"/>
    <n v="3"/>
    <s v="Y"/>
    <x v="0"/>
    <n v="16"/>
    <n v="3"/>
    <n v="4"/>
    <n v="80"/>
    <n v="3"/>
    <n v="21"/>
    <n v="5"/>
    <n v="2"/>
    <n v="5"/>
    <n v="3"/>
    <n v="1"/>
    <n v="3"/>
  </r>
  <r>
    <n v="42"/>
    <x v="0"/>
    <x v="1"/>
    <n v="0"/>
    <x v="0"/>
    <n v="635"/>
    <x v="0"/>
    <x v="0"/>
    <n v="1"/>
    <x v="1"/>
    <x v="0"/>
    <n v="2"/>
    <x v="1"/>
    <n v="99"/>
    <x v="0"/>
    <n v="2"/>
    <x v="0"/>
    <n v="3"/>
    <x v="1"/>
    <x v="274"/>
    <n v="24532"/>
    <n v="1"/>
    <s v="Y"/>
    <x v="1"/>
    <n v="25"/>
    <n v="4"/>
    <n v="3"/>
    <n v="80"/>
    <n v="0"/>
    <n v="20"/>
    <n v="3"/>
    <n v="3"/>
    <n v="20"/>
    <n v="16"/>
    <n v="11"/>
    <n v="6"/>
  </r>
  <r>
    <n v="29"/>
    <x v="2"/>
    <x v="1"/>
    <n v="0"/>
    <x v="1"/>
    <n v="442"/>
    <x v="0"/>
    <x v="2"/>
    <n v="2"/>
    <x v="0"/>
    <x v="0"/>
    <n v="2"/>
    <x v="1"/>
    <n v="44"/>
    <x v="0"/>
    <n v="2"/>
    <x v="0"/>
    <n v="4"/>
    <x v="0"/>
    <x v="275"/>
    <n v="20260"/>
    <n v="1"/>
    <s v="Y"/>
    <x v="1"/>
    <n v="18"/>
    <n v="3"/>
    <n v="1"/>
    <n v="80"/>
    <n v="0"/>
    <n v="10"/>
    <n v="3"/>
    <n v="2"/>
    <n v="10"/>
    <n v="7"/>
    <n v="0"/>
    <n v="9"/>
  </r>
  <r>
    <n v="55"/>
    <x v="3"/>
    <x v="1"/>
    <n v="0"/>
    <x v="0"/>
    <n v="147"/>
    <x v="1"/>
    <x v="25"/>
    <n v="2"/>
    <x v="0"/>
    <x v="4"/>
    <n v="2"/>
    <x v="1"/>
    <n v="37"/>
    <x v="0"/>
    <n v="2"/>
    <x v="2"/>
    <n v="4"/>
    <x v="1"/>
    <x v="276"/>
    <n v="15972"/>
    <n v="3"/>
    <s v="Y"/>
    <x v="0"/>
    <n v="19"/>
    <n v="3"/>
    <n v="4"/>
    <n v="80"/>
    <n v="1"/>
    <n v="12"/>
    <n v="4"/>
    <n v="3"/>
    <n v="10"/>
    <n v="7"/>
    <n v="0"/>
    <n v="8"/>
  </r>
  <r>
    <n v="26"/>
    <x v="2"/>
    <x v="1"/>
    <n v="0"/>
    <x v="1"/>
    <n v="496"/>
    <x v="1"/>
    <x v="13"/>
    <n v="2"/>
    <x v="0"/>
    <x v="2"/>
    <n v="1"/>
    <x v="1"/>
    <n v="60"/>
    <x v="0"/>
    <n v="2"/>
    <x v="4"/>
    <n v="1"/>
    <x v="1"/>
    <x v="277"/>
    <n v="22722"/>
    <n v="1"/>
    <s v="Y"/>
    <x v="0"/>
    <n v="13"/>
    <n v="3"/>
    <n v="3"/>
    <n v="80"/>
    <n v="1"/>
    <n v="5"/>
    <n v="3"/>
    <n v="3"/>
    <n v="5"/>
    <n v="3"/>
    <n v="3"/>
    <n v="3"/>
  </r>
  <r>
    <n v="37"/>
    <x v="0"/>
    <x v="1"/>
    <n v="0"/>
    <x v="0"/>
    <n v="1372"/>
    <x v="1"/>
    <x v="0"/>
    <n v="3"/>
    <x v="3"/>
    <x v="0"/>
    <n v="4"/>
    <x v="0"/>
    <n v="42"/>
    <x v="0"/>
    <n v="1"/>
    <x v="1"/>
    <n v="4"/>
    <x v="0"/>
    <x v="278"/>
    <n v="15881"/>
    <n v="1"/>
    <s v="Y"/>
    <x v="1"/>
    <n v="12"/>
    <n v="3"/>
    <n v="2"/>
    <n v="80"/>
    <n v="0"/>
    <n v="17"/>
    <n v="3"/>
    <n v="3"/>
    <n v="17"/>
    <n v="12"/>
    <n v="5"/>
    <n v="7"/>
  </r>
  <r>
    <n v="44"/>
    <x v="0"/>
    <x v="0"/>
    <n v="1"/>
    <x v="1"/>
    <n v="920"/>
    <x v="1"/>
    <x v="4"/>
    <n v="3"/>
    <x v="3"/>
    <x v="0"/>
    <n v="4"/>
    <x v="1"/>
    <n v="43"/>
    <x v="0"/>
    <n v="1"/>
    <x v="2"/>
    <n v="3"/>
    <x v="2"/>
    <x v="279"/>
    <n v="19920"/>
    <n v="3"/>
    <s v="Y"/>
    <x v="0"/>
    <n v="22"/>
    <n v="4"/>
    <n v="4"/>
    <n v="80"/>
    <n v="1"/>
    <n v="19"/>
    <n v="0"/>
    <n v="1"/>
    <n v="1"/>
    <n v="0"/>
    <n v="0"/>
    <n v="0"/>
  </r>
  <r>
    <n v="38"/>
    <x v="0"/>
    <x v="1"/>
    <n v="0"/>
    <x v="0"/>
    <n v="688"/>
    <x v="1"/>
    <x v="5"/>
    <n v="4"/>
    <x v="2"/>
    <x v="0"/>
    <n v="4"/>
    <x v="1"/>
    <n v="82"/>
    <x v="0"/>
    <n v="2"/>
    <x v="4"/>
    <n v="4"/>
    <x v="2"/>
    <x v="280"/>
    <n v="18899"/>
    <n v="9"/>
    <s v="Y"/>
    <x v="1"/>
    <n v="14"/>
    <n v="3"/>
    <n v="2"/>
    <n v="80"/>
    <n v="1"/>
    <n v="10"/>
    <n v="2"/>
    <n v="3"/>
    <n v="2"/>
    <n v="2"/>
    <n v="1"/>
    <n v="2"/>
  </r>
  <r>
    <n v="26"/>
    <x v="2"/>
    <x v="0"/>
    <n v="1"/>
    <x v="0"/>
    <n v="1449"/>
    <x v="1"/>
    <x v="7"/>
    <n v="4"/>
    <x v="2"/>
    <x v="2"/>
    <n v="1"/>
    <x v="1"/>
    <n v="45"/>
    <x v="0"/>
    <n v="1"/>
    <x v="2"/>
    <n v="2"/>
    <x v="2"/>
    <x v="281"/>
    <n v="14180"/>
    <n v="2"/>
    <s v="Y"/>
    <x v="0"/>
    <n v="13"/>
    <n v="3"/>
    <n v="4"/>
    <n v="80"/>
    <n v="1"/>
    <n v="5"/>
    <n v="2"/>
    <n v="3"/>
    <n v="3"/>
    <n v="2"/>
    <n v="0"/>
    <n v="2"/>
  </r>
  <r>
    <n v="28"/>
    <x v="2"/>
    <x v="1"/>
    <n v="0"/>
    <x v="0"/>
    <n v="1117"/>
    <x v="1"/>
    <x v="1"/>
    <n v="2"/>
    <x v="0"/>
    <x v="0"/>
    <n v="4"/>
    <x v="0"/>
    <n v="66"/>
    <x v="0"/>
    <n v="1"/>
    <x v="1"/>
    <n v="4"/>
    <x v="0"/>
    <x v="282"/>
    <n v="4488"/>
    <n v="1"/>
    <s v="Y"/>
    <x v="1"/>
    <n v="21"/>
    <n v="4"/>
    <n v="4"/>
    <n v="80"/>
    <n v="0"/>
    <n v="5"/>
    <n v="3"/>
    <n v="3"/>
    <n v="5"/>
    <n v="3"/>
    <n v="0"/>
    <n v="2"/>
  </r>
  <r>
    <n v="49"/>
    <x v="1"/>
    <x v="1"/>
    <n v="0"/>
    <x v="1"/>
    <n v="636"/>
    <x v="1"/>
    <x v="17"/>
    <n v="4"/>
    <x v="2"/>
    <x v="0"/>
    <n v="3"/>
    <x v="0"/>
    <n v="35"/>
    <x v="0"/>
    <n v="5"/>
    <x v="7"/>
    <n v="1"/>
    <x v="0"/>
    <x v="283"/>
    <n v="25594"/>
    <n v="9"/>
    <s v="Y"/>
    <x v="0"/>
    <n v="11"/>
    <n v="3"/>
    <n v="4"/>
    <n v="80"/>
    <n v="0"/>
    <n v="22"/>
    <n v="4"/>
    <n v="3"/>
    <n v="3"/>
    <n v="2"/>
    <n v="1"/>
    <n v="2"/>
  </r>
  <r>
    <n v="36"/>
    <x v="0"/>
    <x v="1"/>
    <n v="0"/>
    <x v="0"/>
    <n v="506"/>
    <x v="1"/>
    <x v="3"/>
    <n v="3"/>
    <x v="3"/>
    <x v="4"/>
    <n v="3"/>
    <x v="1"/>
    <n v="30"/>
    <x v="0"/>
    <n v="2"/>
    <x v="1"/>
    <n v="2"/>
    <x v="0"/>
    <x v="284"/>
    <n v="26285"/>
    <n v="4"/>
    <s v="Y"/>
    <x v="1"/>
    <n v="12"/>
    <n v="3"/>
    <n v="4"/>
    <n v="80"/>
    <n v="0"/>
    <n v="10"/>
    <n v="2"/>
    <n v="3"/>
    <n v="8"/>
    <n v="0"/>
    <n v="7"/>
    <n v="7"/>
  </r>
  <r>
    <n v="31"/>
    <x v="2"/>
    <x v="1"/>
    <n v="0"/>
    <x v="1"/>
    <n v="444"/>
    <x v="0"/>
    <x v="12"/>
    <n v="3"/>
    <x v="3"/>
    <x v="3"/>
    <n v="4"/>
    <x v="0"/>
    <n v="84"/>
    <x v="0"/>
    <n v="1"/>
    <x v="6"/>
    <n v="2"/>
    <x v="2"/>
    <x v="285"/>
    <n v="3909"/>
    <n v="1"/>
    <s v="Y"/>
    <x v="1"/>
    <n v="11"/>
    <n v="3"/>
    <n v="3"/>
    <n v="80"/>
    <n v="1"/>
    <n v="2"/>
    <n v="5"/>
    <n v="2"/>
    <n v="2"/>
    <n v="2"/>
    <n v="2"/>
    <n v="2"/>
  </r>
  <r>
    <n v="26"/>
    <x v="2"/>
    <x v="0"/>
    <n v="1"/>
    <x v="0"/>
    <n v="950"/>
    <x v="0"/>
    <x v="18"/>
    <n v="4"/>
    <x v="2"/>
    <x v="3"/>
    <n v="4"/>
    <x v="1"/>
    <n v="48"/>
    <x v="1"/>
    <n v="2"/>
    <x v="0"/>
    <n v="4"/>
    <x v="0"/>
    <x v="286"/>
    <n v="8450"/>
    <n v="1"/>
    <s v="Y"/>
    <x v="0"/>
    <n v="12"/>
    <n v="3"/>
    <n v="2"/>
    <n v="80"/>
    <n v="0"/>
    <n v="8"/>
    <n v="0"/>
    <n v="3"/>
    <n v="8"/>
    <n v="7"/>
    <n v="7"/>
    <n v="4"/>
  </r>
  <r>
    <n v="37"/>
    <x v="0"/>
    <x v="1"/>
    <n v="0"/>
    <x v="1"/>
    <n v="889"/>
    <x v="1"/>
    <x v="14"/>
    <n v="3"/>
    <x v="3"/>
    <x v="2"/>
    <n v="2"/>
    <x v="1"/>
    <n v="53"/>
    <x v="0"/>
    <n v="1"/>
    <x v="1"/>
    <n v="4"/>
    <x v="1"/>
    <x v="287"/>
    <n v="11411"/>
    <n v="1"/>
    <s v="Y"/>
    <x v="0"/>
    <n v="12"/>
    <n v="3"/>
    <n v="3"/>
    <n v="80"/>
    <n v="3"/>
    <n v="4"/>
    <n v="3"/>
    <n v="2"/>
    <n v="4"/>
    <n v="2"/>
    <n v="1"/>
    <n v="2"/>
  </r>
  <r>
    <n v="42"/>
    <x v="0"/>
    <x v="1"/>
    <n v="0"/>
    <x v="1"/>
    <n v="555"/>
    <x v="0"/>
    <x v="9"/>
    <n v="3"/>
    <x v="3"/>
    <x v="3"/>
    <n v="3"/>
    <x v="0"/>
    <n v="77"/>
    <x v="0"/>
    <n v="4"/>
    <x v="0"/>
    <n v="2"/>
    <x v="1"/>
    <x v="288"/>
    <n v="14864"/>
    <n v="5"/>
    <s v="Y"/>
    <x v="1"/>
    <n v="14"/>
    <n v="3"/>
    <n v="4"/>
    <n v="80"/>
    <n v="1"/>
    <n v="23"/>
    <n v="2"/>
    <n v="4"/>
    <n v="20"/>
    <n v="4"/>
    <n v="4"/>
    <n v="8"/>
  </r>
  <r>
    <n v="18"/>
    <x v="4"/>
    <x v="0"/>
    <n v="1"/>
    <x v="0"/>
    <n v="230"/>
    <x v="1"/>
    <x v="3"/>
    <n v="3"/>
    <x v="3"/>
    <x v="0"/>
    <n v="3"/>
    <x v="1"/>
    <n v="54"/>
    <x v="0"/>
    <n v="1"/>
    <x v="2"/>
    <n v="3"/>
    <x v="0"/>
    <x v="289"/>
    <n v="25233"/>
    <n v="1"/>
    <s v="Y"/>
    <x v="1"/>
    <n v="13"/>
    <n v="3"/>
    <n v="3"/>
    <n v="80"/>
    <n v="0"/>
    <n v="0"/>
    <n v="2"/>
    <n v="3"/>
    <n v="0"/>
    <n v="0"/>
    <n v="0"/>
    <n v="0"/>
  </r>
  <r>
    <n v="35"/>
    <x v="0"/>
    <x v="1"/>
    <n v="0"/>
    <x v="0"/>
    <n v="1232"/>
    <x v="0"/>
    <x v="7"/>
    <n v="3"/>
    <x v="3"/>
    <x v="3"/>
    <n v="3"/>
    <x v="1"/>
    <n v="96"/>
    <x v="0"/>
    <n v="3"/>
    <x v="0"/>
    <n v="2"/>
    <x v="1"/>
    <x v="290"/>
    <n v="5100"/>
    <n v="0"/>
    <s v="Y"/>
    <x v="1"/>
    <n v="15"/>
    <n v="3"/>
    <n v="3"/>
    <n v="80"/>
    <n v="2"/>
    <n v="12"/>
    <n v="3"/>
    <n v="2"/>
    <n v="11"/>
    <n v="9"/>
    <n v="6"/>
    <n v="9"/>
  </r>
  <r>
    <n v="36"/>
    <x v="0"/>
    <x v="1"/>
    <n v="0"/>
    <x v="1"/>
    <n v="566"/>
    <x v="1"/>
    <x v="21"/>
    <n v="4"/>
    <x v="2"/>
    <x v="0"/>
    <n v="3"/>
    <x v="1"/>
    <n v="81"/>
    <x v="2"/>
    <n v="1"/>
    <x v="2"/>
    <n v="4"/>
    <x v="1"/>
    <x v="291"/>
    <n v="7122"/>
    <n v="4"/>
    <s v="Y"/>
    <x v="1"/>
    <n v="18"/>
    <n v="3"/>
    <n v="4"/>
    <n v="80"/>
    <n v="2"/>
    <n v="4"/>
    <n v="2"/>
    <n v="3"/>
    <n v="1"/>
    <n v="0"/>
    <n v="0"/>
    <n v="0"/>
  </r>
  <r>
    <n v="51"/>
    <x v="1"/>
    <x v="1"/>
    <n v="0"/>
    <x v="0"/>
    <n v="1302"/>
    <x v="1"/>
    <x v="2"/>
    <n v="3"/>
    <x v="3"/>
    <x v="2"/>
    <n v="4"/>
    <x v="1"/>
    <n v="84"/>
    <x v="3"/>
    <n v="2"/>
    <x v="3"/>
    <n v="2"/>
    <x v="2"/>
    <x v="292"/>
    <n v="16321"/>
    <n v="5"/>
    <s v="Y"/>
    <x v="1"/>
    <n v="18"/>
    <n v="3"/>
    <n v="4"/>
    <n v="80"/>
    <n v="1"/>
    <n v="13"/>
    <n v="3"/>
    <n v="3"/>
    <n v="4"/>
    <n v="1"/>
    <n v="1"/>
    <n v="2"/>
  </r>
  <r>
    <n v="41"/>
    <x v="0"/>
    <x v="1"/>
    <n v="0"/>
    <x v="0"/>
    <n v="334"/>
    <x v="0"/>
    <x v="2"/>
    <n v="4"/>
    <x v="2"/>
    <x v="0"/>
    <n v="4"/>
    <x v="1"/>
    <n v="88"/>
    <x v="0"/>
    <n v="4"/>
    <x v="5"/>
    <n v="2"/>
    <x v="0"/>
    <x v="293"/>
    <n v="15896"/>
    <n v="1"/>
    <s v="Y"/>
    <x v="1"/>
    <n v="19"/>
    <n v="3"/>
    <n v="2"/>
    <n v="80"/>
    <n v="0"/>
    <n v="22"/>
    <n v="2"/>
    <n v="3"/>
    <n v="22"/>
    <n v="10"/>
    <n v="0"/>
    <n v="4"/>
  </r>
  <r>
    <n v="18"/>
    <x v="4"/>
    <x v="1"/>
    <n v="0"/>
    <x v="0"/>
    <n v="812"/>
    <x v="0"/>
    <x v="17"/>
    <n v="3"/>
    <x v="3"/>
    <x v="2"/>
    <n v="4"/>
    <x v="0"/>
    <n v="69"/>
    <x v="1"/>
    <n v="1"/>
    <x v="6"/>
    <n v="3"/>
    <x v="0"/>
    <x v="294"/>
    <n v="9724"/>
    <n v="1"/>
    <s v="Y"/>
    <x v="1"/>
    <n v="12"/>
    <n v="3"/>
    <n v="1"/>
    <n v="80"/>
    <n v="0"/>
    <n v="0"/>
    <n v="2"/>
    <n v="3"/>
    <n v="0"/>
    <n v="0"/>
    <n v="0"/>
    <n v="0"/>
  </r>
  <r>
    <n v="28"/>
    <x v="2"/>
    <x v="1"/>
    <n v="0"/>
    <x v="0"/>
    <n v="1476"/>
    <x v="1"/>
    <x v="7"/>
    <n v="2"/>
    <x v="0"/>
    <x v="2"/>
    <n v="2"/>
    <x v="1"/>
    <n v="68"/>
    <x v="2"/>
    <n v="2"/>
    <x v="4"/>
    <n v="1"/>
    <x v="0"/>
    <x v="295"/>
    <n v="4824"/>
    <n v="0"/>
    <s v="Y"/>
    <x v="1"/>
    <n v="19"/>
    <n v="3"/>
    <n v="3"/>
    <n v="80"/>
    <n v="0"/>
    <n v="9"/>
    <n v="2"/>
    <n v="3"/>
    <n v="8"/>
    <n v="3"/>
    <n v="0"/>
    <n v="7"/>
  </r>
  <r>
    <n v="31"/>
    <x v="2"/>
    <x v="1"/>
    <n v="0"/>
    <x v="0"/>
    <n v="218"/>
    <x v="0"/>
    <x v="15"/>
    <n v="3"/>
    <x v="3"/>
    <x v="4"/>
    <n v="2"/>
    <x v="1"/>
    <n v="100"/>
    <x v="2"/>
    <n v="2"/>
    <x v="0"/>
    <n v="4"/>
    <x v="1"/>
    <x v="296"/>
    <n v="12241"/>
    <n v="4"/>
    <s v="Y"/>
    <x v="1"/>
    <n v="11"/>
    <n v="3"/>
    <n v="2"/>
    <n v="80"/>
    <n v="1"/>
    <n v="10"/>
    <n v="3"/>
    <n v="2"/>
    <n v="8"/>
    <n v="7"/>
    <n v="7"/>
    <n v="7"/>
  </r>
  <r>
    <n v="39"/>
    <x v="0"/>
    <x v="1"/>
    <n v="0"/>
    <x v="0"/>
    <n v="1132"/>
    <x v="1"/>
    <x v="0"/>
    <n v="3"/>
    <x v="3"/>
    <x v="2"/>
    <n v="3"/>
    <x v="1"/>
    <n v="48"/>
    <x v="2"/>
    <n v="3"/>
    <x v="4"/>
    <n v="4"/>
    <x v="2"/>
    <x v="297"/>
    <n v="10942"/>
    <n v="0"/>
    <s v="Y"/>
    <x v="1"/>
    <n v="17"/>
    <n v="3"/>
    <n v="1"/>
    <n v="80"/>
    <n v="3"/>
    <n v="19"/>
    <n v="5"/>
    <n v="2"/>
    <n v="18"/>
    <n v="10"/>
    <n v="3"/>
    <n v="7"/>
  </r>
  <r>
    <n v="36"/>
    <x v="0"/>
    <x v="1"/>
    <n v="0"/>
    <x v="2"/>
    <n v="1105"/>
    <x v="1"/>
    <x v="4"/>
    <n v="4"/>
    <x v="2"/>
    <x v="0"/>
    <n v="2"/>
    <x v="0"/>
    <n v="47"/>
    <x v="0"/>
    <n v="2"/>
    <x v="2"/>
    <n v="2"/>
    <x v="1"/>
    <x v="298"/>
    <n v="6927"/>
    <n v="7"/>
    <s v="Y"/>
    <x v="1"/>
    <n v="15"/>
    <n v="3"/>
    <n v="3"/>
    <n v="80"/>
    <n v="1"/>
    <n v="11"/>
    <n v="3"/>
    <n v="3"/>
    <n v="9"/>
    <n v="8"/>
    <n v="0"/>
    <n v="8"/>
  </r>
  <r>
    <n v="32"/>
    <x v="2"/>
    <x v="1"/>
    <n v="0"/>
    <x v="0"/>
    <n v="906"/>
    <x v="0"/>
    <x v="15"/>
    <n v="3"/>
    <x v="3"/>
    <x v="0"/>
    <n v="4"/>
    <x v="1"/>
    <n v="91"/>
    <x v="1"/>
    <n v="2"/>
    <x v="0"/>
    <n v="3"/>
    <x v="1"/>
    <x v="299"/>
    <n v="16985"/>
    <n v="1"/>
    <s v="Y"/>
    <x v="1"/>
    <n v="14"/>
    <n v="3"/>
    <n v="3"/>
    <n v="80"/>
    <n v="1"/>
    <n v="13"/>
    <n v="3"/>
    <n v="2"/>
    <n v="13"/>
    <n v="8"/>
    <n v="4"/>
    <n v="8"/>
  </r>
  <r>
    <n v="38"/>
    <x v="0"/>
    <x v="1"/>
    <n v="0"/>
    <x v="0"/>
    <n v="849"/>
    <x v="1"/>
    <x v="19"/>
    <n v="2"/>
    <x v="0"/>
    <x v="0"/>
    <n v="1"/>
    <x v="0"/>
    <n v="81"/>
    <x v="1"/>
    <n v="3"/>
    <x v="7"/>
    <n v="2"/>
    <x v="1"/>
    <x v="300"/>
    <n v="26707"/>
    <n v="3"/>
    <s v="Y"/>
    <x v="1"/>
    <n v="17"/>
    <n v="3"/>
    <n v="3"/>
    <n v="80"/>
    <n v="1"/>
    <n v="19"/>
    <n v="2"/>
    <n v="3"/>
    <n v="10"/>
    <n v="8"/>
    <n v="0"/>
    <n v="1"/>
  </r>
  <r>
    <n v="58"/>
    <x v="3"/>
    <x v="1"/>
    <n v="0"/>
    <x v="2"/>
    <n v="390"/>
    <x v="1"/>
    <x v="0"/>
    <n v="4"/>
    <x v="2"/>
    <x v="0"/>
    <n v="4"/>
    <x v="1"/>
    <n v="32"/>
    <x v="3"/>
    <n v="2"/>
    <x v="4"/>
    <n v="3"/>
    <x v="2"/>
    <x v="301"/>
    <n v="17056"/>
    <n v="2"/>
    <s v="Y"/>
    <x v="0"/>
    <n v="13"/>
    <n v="3"/>
    <n v="4"/>
    <n v="80"/>
    <n v="1"/>
    <n v="12"/>
    <n v="2"/>
    <n v="3"/>
    <n v="5"/>
    <n v="3"/>
    <n v="1"/>
    <n v="2"/>
  </r>
  <r>
    <n v="31"/>
    <x v="2"/>
    <x v="1"/>
    <n v="0"/>
    <x v="0"/>
    <n v="691"/>
    <x v="1"/>
    <x v="12"/>
    <n v="4"/>
    <x v="2"/>
    <x v="4"/>
    <n v="3"/>
    <x v="1"/>
    <n v="86"/>
    <x v="0"/>
    <n v="1"/>
    <x v="1"/>
    <n v="4"/>
    <x v="1"/>
    <x v="302"/>
    <n v="10077"/>
    <n v="0"/>
    <s v="Y"/>
    <x v="0"/>
    <n v="12"/>
    <n v="3"/>
    <n v="3"/>
    <n v="80"/>
    <n v="1"/>
    <n v="6"/>
    <n v="4"/>
    <n v="3"/>
    <n v="5"/>
    <n v="2"/>
    <n v="0"/>
    <n v="3"/>
  </r>
  <r>
    <n v="31"/>
    <x v="2"/>
    <x v="1"/>
    <n v="0"/>
    <x v="0"/>
    <n v="106"/>
    <x v="2"/>
    <x v="2"/>
    <n v="3"/>
    <x v="3"/>
    <x v="5"/>
    <n v="1"/>
    <x v="1"/>
    <n v="62"/>
    <x v="1"/>
    <n v="2"/>
    <x v="8"/>
    <n v="1"/>
    <x v="1"/>
    <x v="303"/>
    <n v="17822"/>
    <n v="3"/>
    <s v="Y"/>
    <x v="1"/>
    <n v="12"/>
    <n v="3"/>
    <n v="4"/>
    <n v="80"/>
    <n v="0"/>
    <n v="9"/>
    <n v="1"/>
    <n v="3"/>
    <n v="2"/>
    <n v="2"/>
    <n v="1"/>
    <n v="0"/>
  </r>
  <r>
    <n v="45"/>
    <x v="1"/>
    <x v="1"/>
    <n v="0"/>
    <x v="1"/>
    <n v="1249"/>
    <x v="1"/>
    <x v="15"/>
    <n v="3"/>
    <x v="3"/>
    <x v="0"/>
    <n v="1"/>
    <x v="1"/>
    <n v="97"/>
    <x v="0"/>
    <n v="3"/>
    <x v="2"/>
    <n v="1"/>
    <x v="2"/>
    <x v="304"/>
    <n v="20308"/>
    <n v="1"/>
    <s v="Y"/>
    <x v="1"/>
    <n v="18"/>
    <n v="3"/>
    <n v="1"/>
    <n v="80"/>
    <n v="1"/>
    <n v="24"/>
    <n v="2"/>
    <n v="3"/>
    <n v="24"/>
    <n v="9"/>
    <n v="9"/>
    <n v="11"/>
  </r>
  <r>
    <n v="31"/>
    <x v="2"/>
    <x v="1"/>
    <n v="0"/>
    <x v="0"/>
    <n v="192"/>
    <x v="1"/>
    <x v="2"/>
    <n v="4"/>
    <x v="2"/>
    <x v="0"/>
    <n v="3"/>
    <x v="1"/>
    <n v="32"/>
    <x v="0"/>
    <n v="1"/>
    <x v="1"/>
    <n v="4"/>
    <x v="2"/>
    <x v="305"/>
    <n v="7747"/>
    <n v="0"/>
    <s v="Y"/>
    <x v="0"/>
    <n v="18"/>
    <n v="3"/>
    <n v="2"/>
    <n v="80"/>
    <n v="1"/>
    <n v="3"/>
    <n v="2"/>
    <n v="1"/>
    <n v="2"/>
    <n v="2"/>
    <n v="2"/>
    <n v="2"/>
  </r>
  <r>
    <n v="33"/>
    <x v="2"/>
    <x v="1"/>
    <n v="0"/>
    <x v="1"/>
    <n v="553"/>
    <x v="1"/>
    <x v="12"/>
    <n v="4"/>
    <x v="2"/>
    <x v="0"/>
    <n v="4"/>
    <x v="0"/>
    <n v="74"/>
    <x v="0"/>
    <n v="3"/>
    <x v="5"/>
    <n v="2"/>
    <x v="1"/>
    <x v="306"/>
    <n v="23364"/>
    <n v="6"/>
    <s v="Y"/>
    <x v="1"/>
    <n v="11"/>
    <n v="3"/>
    <n v="2"/>
    <n v="80"/>
    <n v="2"/>
    <n v="12"/>
    <n v="2"/>
    <n v="3"/>
    <n v="10"/>
    <n v="6"/>
    <n v="8"/>
    <n v="8"/>
  </r>
  <r>
    <n v="39"/>
    <x v="0"/>
    <x v="1"/>
    <n v="0"/>
    <x v="0"/>
    <n v="117"/>
    <x v="1"/>
    <x v="17"/>
    <n v="1"/>
    <x v="1"/>
    <x v="2"/>
    <n v="3"/>
    <x v="1"/>
    <n v="99"/>
    <x v="0"/>
    <n v="4"/>
    <x v="5"/>
    <n v="1"/>
    <x v="1"/>
    <x v="307"/>
    <n v="5355"/>
    <n v="1"/>
    <s v="Y"/>
    <x v="0"/>
    <n v="14"/>
    <n v="3"/>
    <n v="4"/>
    <n v="80"/>
    <n v="0"/>
    <n v="21"/>
    <n v="3"/>
    <n v="3"/>
    <n v="21"/>
    <n v="9"/>
    <n v="11"/>
    <n v="10"/>
  </r>
  <r>
    <n v="43"/>
    <x v="0"/>
    <x v="1"/>
    <n v="0"/>
    <x v="1"/>
    <n v="185"/>
    <x v="1"/>
    <x v="17"/>
    <n v="4"/>
    <x v="2"/>
    <x v="0"/>
    <n v="3"/>
    <x v="0"/>
    <n v="33"/>
    <x v="0"/>
    <n v="1"/>
    <x v="2"/>
    <n v="4"/>
    <x v="0"/>
    <x v="308"/>
    <n v="10675"/>
    <n v="0"/>
    <s v="Y"/>
    <x v="1"/>
    <n v="19"/>
    <n v="3"/>
    <n v="1"/>
    <n v="80"/>
    <n v="0"/>
    <n v="9"/>
    <n v="5"/>
    <n v="3"/>
    <n v="8"/>
    <n v="7"/>
    <n v="1"/>
    <n v="7"/>
  </r>
  <r>
    <n v="49"/>
    <x v="1"/>
    <x v="1"/>
    <n v="0"/>
    <x v="0"/>
    <n v="1091"/>
    <x v="1"/>
    <x v="0"/>
    <n v="2"/>
    <x v="0"/>
    <x v="4"/>
    <n v="3"/>
    <x v="0"/>
    <n v="90"/>
    <x v="1"/>
    <n v="4"/>
    <x v="4"/>
    <n v="3"/>
    <x v="0"/>
    <x v="309"/>
    <n v="17810"/>
    <n v="7"/>
    <s v="Y"/>
    <x v="0"/>
    <n v="12"/>
    <n v="3"/>
    <n v="4"/>
    <n v="80"/>
    <n v="0"/>
    <n v="25"/>
    <n v="2"/>
    <n v="3"/>
    <n v="7"/>
    <n v="1"/>
    <n v="0"/>
    <n v="7"/>
  </r>
  <r>
    <n v="52"/>
    <x v="1"/>
    <x v="0"/>
    <n v="1"/>
    <x v="0"/>
    <n v="723"/>
    <x v="1"/>
    <x v="1"/>
    <n v="4"/>
    <x v="2"/>
    <x v="2"/>
    <n v="3"/>
    <x v="1"/>
    <n v="85"/>
    <x v="1"/>
    <n v="2"/>
    <x v="1"/>
    <n v="2"/>
    <x v="1"/>
    <x v="132"/>
    <n v="17747"/>
    <n v="2"/>
    <s v="Y"/>
    <x v="1"/>
    <n v="15"/>
    <n v="3"/>
    <n v="1"/>
    <n v="80"/>
    <n v="0"/>
    <n v="11"/>
    <n v="3"/>
    <n v="2"/>
    <n v="8"/>
    <n v="2"/>
    <n v="7"/>
    <n v="7"/>
  </r>
  <r>
    <n v="27"/>
    <x v="2"/>
    <x v="1"/>
    <n v="0"/>
    <x v="0"/>
    <n v="1220"/>
    <x v="1"/>
    <x v="12"/>
    <n v="3"/>
    <x v="3"/>
    <x v="0"/>
    <n v="3"/>
    <x v="0"/>
    <n v="85"/>
    <x v="0"/>
    <n v="1"/>
    <x v="1"/>
    <n v="2"/>
    <x v="0"/>
    <x v="310"/>
    <n v="20938"/>
    <n v="1"/>
    <s v="Y"/>
    <x v="0"/>
    <n v="12"/>
    <n v="3"/>
    <n v="2"/>
    <n v="80"/>
    <n v="0"/>
    <n v="4"/>
    <n v="2"/>
    <n v="2"/>
    <n v="4"/>
    <n v="3"/>
    <n v="1"/>
    <n v="2"/>
  </r>
  <r>
    <n v="32"/>
    <x v="2"/>
    <x v="1"/>
    <n v="0"/>
    <x v="0"/>
    <n v="588"/>
    <x v="0"/>
    <x v="1"/>
    <n v="2"/>
    <x v="0"/>
    <x v="4"/>
    <n v="3"/>
    <x v="0"/>
    <n v="65"/>
    <x v="1"/>
    <n v="2"/>
    <x v="0"/>
    <n v="2"/>
    <x v="1"/>
    <x v="311"/>
    <n v="24624"/>
    <n v="1"/>
    <s v="Y"/>
    <x v="0"/>
    <n v="11"/>
    <n v="3"/>
    <n v="4"/>
    <n v="80"/>
    <n v="0"/>
    <n v="13"/>
    <n v="2"/>
    <n v="3"/>
    <n v="13"/>
    <n v="12"/>
    <n v="11"/>
    <n v="9"/>
  </r>
  <r>
    <n v="27"/>
    <x v="2"/>
    <x v="1"/>
    <n v="0"/>
    <x v="0"/>
    <n v="1377"/>
    <x v="0"/>
    <x v="2"/>
    <n v="3"/>
    <x v="3"/>
    <x v="0"/>
    <n v="4"/>
    <x v="1"/>
    <n v="74"/>
    <x v="0"/>
    <n v="2"/>
    <x v="0"/>
    <n v="3"/>
    <x v="0"/>
    <x v="312"/>
    <n v="5242"/>
    <n v="1"/>
    <s v="Y"/>
    <x v="0"/>
    <n v="11"/>
    <n v="3"/>
    <n v="1"/>
    <n v="80"/>
    <n v="0"/>
    <n v="5"/>
    <n v="3"/>
    <n v="3"/>
    <n v="5"/>
    <n v="4"/>
    <n v="0"/>
    <n v="4"/>
  </r>
  <r>
    <n v="31"/>
    <x v="2"/>
    <x v="1"/>
    <n v="0"/>
    <x v="0"/>
    <n v="691"/>
    <x v="0"/>
    <x v="15"/>
    <n v="3"/>
    <x v="3"/>
    <x v="3"/>
    <n v="4"/>
    <x v="1"/>
    <n v="73"/>
    <x v="0"/>
    <n v="2"/>
    <x v="0"/>
    <n v="4"/>
    <x v="2"/>
    <x v="313"/>
    <n v="7143"/>
    <n v="4"/>
    <s v="Y"/>
    <x v="1"/>
    <n v="12"/>
    <n v="3"/>
    <n v="4"/>
    <n v="80"/>
    <n v="3"/>
    <n v="13"/>
    <n v="3"/>
    <n v="3"/>
    <n v="7"/>
    <n v="7"/>
    <n v="1"/>
    <n v="7"/>
  </r>
  <r>
    <n v="32"/>
    <x v="2"/>
    <x v="1"/>
    <n v="0"/>
    <x v="0"/>
    <n v="1018"/>
    <x v="1"/>
    <x v="2"/>
    <n v="4"/>
    <x v="2"/>
    <x v="2"/>
    <n v="1"/>
    <x v="0"/>
    <n v="74"/>
    <x v="2"/>
    <n v="2"/>
    <x v="1"/>
    <n v="4"/>
    <x v="0"/>
    <x v="314"/>
    <n v="10557"/>
    <n v="7"/>
    <s v="Y"/>
    <x v="1"/>
    <n v="16"/>
    <n v="3"/>
    <n v="3"/>
    <n v="80"/>
    <n v="0"/>
    <n v="10"/>
    <n v="0"/>
    <n v="2"/>
    <n v="7"/>
    <n v="7"/>
    <n v="0"/>
    <n v="7"/>
  </r>
  <r>
    <n v="28"/>
    <x v="2"/>
    <x v="0"/>
    <n v="1"/>
    <x v="0"/>
    <n v="1157"/>
    <x v="1"/>
    <x v="2"/>
    <n v="4"/>
    <x v="2"/>
    <x v="2"/>
    <n v="1"/>
    <x v="1"/>
    <n v="84"/>
    <x v="3"/>
    <n v="1"/>
    <x v="1"/>
    <n v="4"/>
    <x v="1"/>
    <x v="315"/>
    <n v="24737"/>
    <n v="5"/>
    <s v="Y"/>
    <x v="0"/>
    <n v="13"/>
    <n v="3"/>
    <n v="4"/>
    <n v="80"/>
    <n v="0"/>
    <n v="5"/>
    <n v="4"/>
    <n v="2"/>
    <n v="3"/>
    <n v="2"/>
    <n v="2"/>
    <n v="2"/>
  </r>
  <r>
    <n v="30"/>
    <x v="2"/>
    <x v="1"/>
    <n v="0"/>
    <x v="0"/>
    <n v="1275"/>
    <x v="1"/>
    <x v="26"/>
    <n v="2"/>
    <x v="0"/>
    <x v="2"/>
    <n v="4"/>
    <x v="0"/>
    <n v="64"/>
    <x v="0"/>
    <n v="2"/>
    <x v="1"/>
    <n v="4"/>
    <x v="1"/>
    <x v="316"/>
    <n v="11934"/>
    <n v="1"/>
    <s v="Y"/>
    <x v="1"/>
    <n v="13"/>
    <n v="3"/>
    <n v="4"/>
    <n v="80"/>
    <n v="2"/>
    <n v="11"/>
    <n v="2"/>
    <n v="3"/>
    <n v="10"/>
    <n v="8"/>
    <n v="1"/>
    <n v="9"/>
  </r>
  <r>
    <n v="31"/>
    <x v="2"/>
    <x v="1"/>
    <n v="0"/>
    <x v="1"/>
    <n v="798"/>
    <x v="1"/>
    <x v="15"/>
    <n v="2"/>
    <x v="0"/>
    <x v="0"/>
    <n v="3"/>
    <x v="0"/>
    <n v="48"/>
    <x v="1"/>
    <n v="3"/>
    <x v="3"/>
    <n v="3"/>
    <x v="1"/>
    <x v="317"/>
    <n v="14034"/>
    <n v="1"/>
    <s v="Y"/>
    <x v="1"/>
    <n v="24"/>
    <n v="4"/>
    <n v="1"/>
    <n v="80"/>
    <n v="1"/>
    <n v="10"/>
    <n v="2"/>
    <n v="3"/>
    <n v="10"/>
    <n v="9"/>
    <n v="8"/>
    <n v="9"/>
  </r>
  <r>
    <n v="39"/>
    <x v="0"/>
    <x v="1"/>
    <n v="0"/>
    <x v="1"/>
    <n v="672"/>
    <x v="1"/>
    <x v="15"/>
    <n v="2"/>
    <x v="0"/>
    <x v="2"/>
    <n v="3"/>
    <x v="1"/>
    <n v="54"/>
    <x v="1"/>
    <n v="5"/>
    <x v="5"/>
    <n v="4"/>
    <x v="1"/>
    <x v="318"/>
    <n v="21141"/>
    <n v="1"/>
    <s v="Y"/>
    <x v="1"/>
    <n v="15"/>
    <n v="3"/>
    <n v="1"/>
    <n v="80"/>
    <n v="1"/>
    <n v="21"/>
    <n v="2"/>
    <n v="3"/>
    <n v="21"/>
    <n v="9"/>
    <n v="13"/>
    <n v="3"/>
  </r>
  <r>
    <n v="39"/>
    <x v="0"/>
    <x v="0"/>
    <n v="1"/>
    <x v="0"/>
    <n v="1162"/>
    <x v="0"/>
    <x v="3"/>
    <n v="2"/>
    <x v="0"/>
    <x v="2"/>
    <n v="4"/>
    <x v="0"/>
    <n v="41"/>
    <x v="0"/>
    <n v="2"/>
    <x v="0"/>
    <n v="3"/>
    <x v="1"/>
    <x v="319"/>
    <n v="17778"/>
    <n v="4"/>
    <s v="Y"/>
    <x v="0"/>
    <n v="18"/>
    <n v="3"/>
    <n v="1"/>
    <n v="80"/>
    <n v="0"/>
    <n v="12"/>
    <n v="3"/>
    <n v="2"/>
    <n v="1"/>
    <n v="0"/>
    <n v="0"/>
    <n v="0"/>
  </r>
  <r>
    <n v="33"/>
    <x v="2"/>
    <x v="1"/>
    <n v="0"/>
    <x v="1"/>
    <n v="508"/>
    <x v="0"/>
    <x v="17"/>
    <n v="3"/>
    <x v="3"/>
    <x v="3"/>
    <n v="2"/>
    <x v="1"/>
    <n v="46"/>
    <x v="1"/>
    <n v="2"/>
    <x v="0"/>
    <n v="4"/>
    <x v="0"/>
    <x v="320"/>
    <n v="4317"/>
    <n v="3"/>
    <s v="Y"/>
    <x v="1"/>
    <n v="14"/>
    <n v="3"/>
    <n v="3"/>
    <n v="80"/>
    <n v="0"/>
    <n v="9"/>
    <n v="6"/>
    <n v="2"/>
    <n v="7"/>
    <n v="7"/>
    <n v="0"/>
    <n v="1"/>
  </r>
  <r>
    <n v="47"/>
    <x v="1"/>
    <x v="1"/>
    <n v="0"/>
    <x v="0"/>
    <n v="1482"/>
    <x v="1"/>
    <x v="12"/>
    <n v="5"/>
    <x v="4"/>
    <x v="0"/>
    <n v="4"/>
    <x v="1"/>
    <n v="42"/>
    <x v="0"/>
    <n v="5"/>
    <x v="7"/>
    <n v="3"/>
    <x v="1"/>
    <x v="321"/>
    <n v="16375"/>
    <n v="4"/>
    <s v="Y"/>
    <x v="1"/>
    <n v="11"/>
    <n v="3"/>
    <n v="2"/>
    <n v="80"/>
    <n v="1"/>
    <n v="21"/>
    <n v="2"/>
    <n v="3"/>
    <n v="3"/>
    <n v="2"/>
    <n v="1"/>
    <n v="1"/>
  </r>
  <r>
    <n v="43"/>
    <x v="0"/>
    <x v="1"/>
    <n v="0"/>
    <x v="1"/>
    <n v="559"/>
    <x v="1"/>
    <x v="17"/>
    <n v="4"/>
    <x v="2"/>
    <x v="0"/>
    <n v="3"/>
    <x v="0"/>
    <n v="82"/>
    <x v="1"/>
    <n v="2"/>
    <x v="2"/>
    <n v="3"/>
    <x v="2"/>
    <x v="322"/>
    <n v="6227"/>
    <n v="1"/>
    <s v="Y"/>
    <x v="1"/>
    <n v="11"/>
    <n v="3"/>
    <n v="2"/>
    <n v="80"/>
    <n v="1"/>
    <n v="9"/>
    <n v="3"/>
    <n v="4"/>
    <n v="9"/>
    <n v="7"/>
    <n v="0"/>
    <n v="0"/>
  </r>
  <r>
    <n v="27"/>
    <x v="2"/>
    <x v="1"/>
    <n v="0"/>
    <x v="2"/>
    <n v="210"/>
    <x v="0"/>
    <x v="0"/>
    <n v="1"/>
    <x v="1"/>
    <x v="3"/>
    <n v="3"/>
    <x v="1"/>
    <n v="73"/>
    <x v="0"/>
    <n v="2"/>
    <x v="0"/>
    <n v="2"/>
    <x v="1"/>
    <x v="323"/>
    <n v="22107"/>
    <n v="0"/>
    <s v="Y"/>
    <x v="0"/>
    <n v="13"/>
    <n v="3"/>
    <n v="4"/>
    <n v="80"/>
    <n v="1"/>
    <n v="6"/>
    <n v="0"/>
    <n v="3"/>
    <n v="5"/>
    <n v="4"/>
    <n v="1"/>
    <n v="4"/>
  </r>
  <r>
    <n v="54"/>
    <x v="1"/>
    <x v="1"/>
    <n v="0"/>
    <x v="1"/>
    <n v="928"/>
    <x v="1"/>
    <x v="25"/>
    <n v="4"/>
    <x v="2"/>
    <x v="0"/>
    <n v="4"/>
    <x v="0"/>
    <n v="31"/>
    <x v="0"/>
    <n v="2"/>
    <x v="1"/>
    <n v="3"/>
    <x v="0"/>
    <x v="324"/>
    <n v="16885"/>
    <n v="3"/>
    <s v="Y"/>
    <x v="1"/>
    <n v="12"/>
    <n v="3"/>
    <n v="4"/>
    <n v="80"/>
    <n v="0"/>
    <n v="20"/>
    <n v="4"/>
    <n v="2"/>
    <n v="4"/>
    <n v="3"/>
    <n v="0"/>
    <n v="3"/>
  </r>
  <r>
    <n v="43"/>
    <x v="0"/>
    <x v="1"/>
    <n v="0"/>
    <x v="0"/>
    <n v="1001"/>
    <x v="1"/>
    <x v="15"/>
    <n v="3"/>
    <x v="3"/>
    <x v="0"/>
    <n v="3"/>
    <x v="0"/>
    <n v="43"/>
    <x v="0"/>
    <n v="3"/>
    <x v="4"/>
    <n v="1"/>
    <x v="1"/>
    <x v="325"/>
    <n v="9262"/>
    <n v="8"/>
    <s v="Y"/>
    <x v="1"/>
    <n v="16"/>
    <n v="3"/>
    <n v="1"/>
    <n v="80"/>
    <n v="1"/>
    <n v="10"/>
    <n v="1"/>
    <n v="2"/>
    <n v="1"/>
    <n v="0"/>
    <n v="0"/>
    <n v="0"/>
  </r>
  <r>
    <n v="45"/>
    <x v="1"/>
    <x v="1"/>
    <n v="0"/>
    <x v="0"/>
    <n v="549"/>
    <x v="1"/>
    <x v="1"/>
    <n v="4"/>
    <x v="2"/>
    <x v="1"/>
    <n v="4"/>
    <x v="1"/>
    <n v="75"/>
    <x v="0"/>
    <n v="2"/>
    <x v="1"/>
    <n v="4"/>
    <x v="1"/>
    <x v="326"/>
    <n v="9278"/>
    <n v="9"/>
    <s v="Y"/>
    <x v="1"/>
    <n v="14"/>
    <n v="3"/>
    <n v="1"/>
    <n v="80"/>
    <n v="2"/>
    <n v="12"/>
    <n v="3"/>
    <n v="3"/>
    <n v="10"/>
    <n v="9"/>
    <n v="9"/>
    <n v="8"/>
  </r>
  <r>
    <n v="40"/>
    <x v="0"/>
    <x v="1"/>
    <n v="0"/>
    <x v="0"/>
    <n v="1124"/>
    <x v="0"/>
    <x v="0"/>
    <n v="2"/>
    <x v="0"/>
    <x v="2"/>
    <n v="2"/>
    <x v="1"/>
    <n v="57"/>
    <x v="3"/>
    <n v="2"/>
    <x v="0"/>
    <n v="4"/>
    <x v="1"/>
    <x v="327"/>
    <n v="13273"/>
    <n v="2"/>
    <s v="Y"/>
    <x v="0"/>
    <n v="22"/>
    <n v="4"/>
    <n v="3"/>
    <n v="80"/>
    <n v="3"/>
    <n v="6"/>
    <n v="2"/>
    <n v="2"/>
    <n v="4"/>
    <n v="3"/>
    <n v="0"/>
    <n v="2"/>
  </r>
  <r>
    <n v="29"/>
    <x v="2"/>
    <x v="0"/>
    <n v="1"/>
    <x v="0"/>
    <n v="318"/>
    <x v="1"/>
    <x v="1"/>
    <n v="4"/>
    <x v="2"/>
    <x v="1"/>
    <n v="2"/>
    <x v="1"/>
    <n v="77"/>
    <x v="3"/>
    <n v="1"/>
    <x v="2"/>
    <n v="1"/>
    <x v="1"/>
    <x v="328"/>
    <n v="4759"/>
    <n v="1"/>
    <s v="Y"/>
    <x v="0"/>
    <n v="11"/>
    <n v="3"/>
    <n v="4"/>
    <n v="80"/>
    <n v="0"/>
    <n v="7"/>
    <n v="4"/>
    <n v="2"/>
    <n v="7"/>
    <n v="7"/>
    <n v="0"/>
    <n v="7"/>
  </r>
  <r>
    <n v="29"/>
    <x v="2"/>
    <x v="1"/>
    <n v="0"/>
    <x v="0"/>
    <n v="738"/>
    <x v="1"/>
    <x v="14"/>
    <n v="5"/>
    <x v="4"/>
    <x v="1"/>
    <n v="2"/>
    <x v="1"/>
    <n v="30"/>
    <x v="1"/>
    <n v="1"/>
    <x v="2"/>
    <n v="4"/>
    <x v="0"/>
    <x v="329"/>
    <n v="7621"/>
    <n v="0"/>
    <s v="Y"/>
    <x v="1"/>
    <n v="17"/>
    <n v="3"/>
    <n v="3"/>
    <n v="80"/>
    <n v="0"/>
    <n v="4"/>
    <n v="2"/>
    <n v="3"/>
    <n v="3"/>
    <n v="2"/>
    <n v="2"/>
    <n v="2"/>
  </r>
  <r>
    <n v="30"/>
    <x v="2"/>
    <x v="1"/>
    <n v="0"/>
    <x v="0"/>
    <n v="570"/>
    <x v="0"/>
    <x v="12"/>
    <n v="3"/>
    <x v="3"/>
    <x v="3"/>
    <n v="4"/>
    <x v="0"/>
    <n v="30"/>
    <x v="1"/>
    <n v="2"/>
    <x v="0"/>
    <n v="3"/>
    <x v="2"/>
    <x v="330"/>
    <n v="5431"/>
    <n v="1"/>
    <s v="Y"/>
    <x v="1"/>
    <n v="13"/>
    <n v="3"/>
    <n v="3"/>
    <n v="80"/>
    <n v="3"/>
    <n v="10"/>
    <n v="2"/>
    <n v="3"/>
    <n v="10"/>
    <n v="9"/>
    <n v="1"/>
    <n v="2"/>
  </r>
  <r>
    <n v="27"/>
    <x v="2"/>
    <x v="1"/>
    <n v="0"/>
    <x v="0"/>
    <n v="1130"/>
    <x v="0"/>
    <x v="1"/>
    <n v="4"/>
    <x v="2"/>
    <x v="3"/>
    <n v="2"/>
    <x v="0"/>
    <n v="56"/>
    <x v="0"/>
    <n v="2"/>
    <x v="0"/>
    <n v="2"/>
    <x v="1"/>
    <x v="331"/>
    <n v="3415"/>
    <n v="1"/>
    <s v="Y"/>
    <x v="1"/>
    <n v="18"/>
    <n v="3"/>
    <n v="1"/>
    <n v="80"/>
    <n v="1"/>
    <n v="8"/>
    <n v="3"/>
    <n v="3"/>
    <n v="8"/>
    <n v="7"/>
    <n v="0"/>
    <n v="7"/>
  </r>
  <r>
    <n v="37"/>
    <x v="0"/>
    <x v="1"/>
    <n v="0"/>
    <x v="0"/>
    <n v="1192"/>
    <x v="1"/>
    <x v="12"/>
    <n v="2"/>
    <x v="0"/>
    <x v="2"/>
    <n v="4"/>
    <x v="1"/>
    <n v="61"/>
    <x v="0"/>
    <n v="2"/>
    <x v="3"/>
    <n v="4"/>
    <x v="2"/>
    <x v="136"/>
    <n v="23177"/>
    <n v="7"/>
    <s v="Y"/>
    <x v="1"/>
    <n v="16"/>
    <n v="3"/>
    <n v="3"/>
    <n v="80"/>
    <n v="2"/>
    <n v="8"/>
    <n v="2"/>
    <n v="2"/>
    <n v="6"/>
    <n v="2"/>
    <n v="0"/>
    <n v="4"/>
  </r>
  <r>
    <n v="38"/>
    <x v="0"/>
    <x v="1"/>
    <n v="0"/>
    <x v="0"/>
    <n v="343"/>
    <x v="1"/>
    <x v="8"/>
    <n v="2"/>
    <x v="0"/>
    <x v="0"/>
    <n v="3"/>
    <x v="1"/>
    <n v="92"/>
    <x v="1"/>
    <n v="3"/>
    <x v="7"/>
    <n v="4"/>
    <x v="2"/>
    <x v="332"/>
    <n v="15682"/>
    <n v="0"/>
    <s v="Y"/>
    <x v="0"/>
    <n v="14"/>
    <n v="3"/>
    <n v="2"/>
    <n v="80"/>
    <n v="1"/>
    <n v="12"/>
    <n v="3"/>
    <n v="3"/>
    <n v="11"/>
    <n v="10"/>
    <n v="2"/>
    <n v="9"/>
  </r>
  <r>
    <n v="31"/>
    <x v="2"/>
    <x v="1"/>
    <n v="0"/>
    <x v="0"/>
    <n v="1232"/>
    <x v="1"/>
    <x v="15"/>
    <n v="4"/>
    <x v="2"/>
    <x v="2"/>
    <n v="3"/>
    <x v="0"/>
    <n v="39"/>
    <x v="0"/>
    <n v="3"/>
    <x v="3"/>
    <n v="4"/>
    <x v="0"/>
    <x v="333"/>
    <n v="25713"/>
    <n v="1"/>
    <s v="Y"/>
    <x v="0"/>
    <n v="14"/>
    <n v="3"/>
    <n v="3"/>
    <n v="80"/>
    <n v="0"/>
    <n v="11"/>
    <n v="2"/>
    <n v="2"/>
    <n v="11"/>
    <n v="9"/>
    <n v="4"/>
    <n v="10"/>
  </r>
  <r>
    <n v="29"/>
    <x v="2"/>
    <x v="1"/>
    <n v="0"/>
    <x v="0"/>
    <n v="144"/>
    <x v="0"/>
    <x v="17"/>
    <n v="1"/>
    <x v="1"/>
    <x v="3"/>
    <n v="4"/>
    <x v="0"/>
    <n v="39"/>
    <x v="1"/>
    <n v="2"/>
    <x v="0"/>
    <n v="2"/>
    <x v="2"/>
    <x v="334"/>
    <n v="11866"/>
    <n v="1"/>
    <s v="Y"/>
    <x v="0"/>
    <n v="14"/>
    <n v="3"/>
    <n v="1"/>
    <n v="80"/>
    <n v="2"/>
    <n v="7"/>
    <n v="2"/>
    <n v="3"/>
    <n v="7"/>
    <n v="7"/>
    <n v="1"/>
    <n v="7"/>
  </r>
  <r>
    <n v="35"/>
    <x v="0"/>
    <x v="1"/>
    <n v="0"/>
    <x v="0"/>
    <n v="1296"/>
    <x v="1"/>
    <x v="12"/>
    <n v="4"/>
    <x v="2"/>
    <x v="4"/>
    <n v="3"/>
    <x v="1"/>
    <n v="62"/>
    <x v="0"/>
    <n v="3"/>
    <x v="3"/>
    <n v="2"/>
    <x v="0"/>
    <x v="335"/>
    <n v="18264"/>
    <n v="0"/>
    <s v="Y"/>
    <x v="1"/>
    <n v="13"/>
    <n v="3"/>
    <n v="4"/>
    <n v="80"/>
    <n v="0"/>
    <n v="17"/>
    <n v="5"/>
    <n v="3"/>
    <n v="16"/>
    <n v="6"/>
    <n v="0"/>
    <n v="13"/>
  </r>
  <r>
    <n v="23"/>
    <x v="4"/>
    <x v="1"/>
    <n v="0"/>
    <x v="0"/>
    <n v="1309"/>
    <x v="1"/>
    <x v="9"/>
    <n v="1"/>
    <x v="1"/>
    <x v="0"/>
    <n v="3"/>
    <x v="1"/>
    <n v="83"/>
    <x v="0"/>
    <n v="1"/>
    <x v="1"/>
    <n v="4"/>
    <x v="2"/>
    <x v="336"/>
    <n v="16092"/>
    <n v="1"/>
    <s v="Y"/>
    <x v="1"/>
    <n v="12"/>
    <n v="3"/>
    <n v="3"/>
    <n v="80"/>
    <n v="2"/>
    <n v="4"/>
    <n v="2"/>
    <n v="2"/>
    <n v="4"/>
    <n v="2"/>
    <n v="0"/>
    <n v="2"/>
  </r>
  <r>
    <n v="41"/>
    <x v="0"/>
    <x v="1"/>
    <n v="0"/>
    <x v="0"/>
    <n v="483"/>
    <x v="1"/>
    <x v="16"/>
    <n v="3"/>
    <x v="3"/>
    <x v="2"/>
    <n v="4"/>
    <x v="1"/>
    <n v="95"/>
    <x v="1"/>
    <n v="2"/>
    <x v="3"/>
    <n v="2"/>
    <x v="0"/>
    <x v="337"/>
    <n v="10110"/>
    <n v="6"/>
    <s v="Y"/>
    <x v="0"/>
    <n v="15"/>
    <n v="3"/>
    <n v="4"/>
    <n v="80"/>
    <n v="0"/>
    <n v="8"/>
    <n v="3"/>
    <n v="3"/>
    <n v="5"/>
    <n v="4"/>
    <n v="1"/>
    <n v="2"/>
  </r>
  <r>
    <n v="47"/>
    <x v="1"/>
    <x v="1"/>
    <n v="0"/>
    <x v="1"/>
    <n v="1309"/>
    <x v="0"/>
    <x v="18"/>
    <n v="1"/>
    <x v="1"/>
    <x v="2"/>
    <n v="2"/>
    <x v="1"/>
    <n v="99"/>
    <x v="0"/>
    <n v="2"/>
    <x v="6"/>
    <n v="3"/>
    <x v="0"/>
    <x v="338"/>
    <n v="25751"/>
    <n v="3"/>
    <s v="Y"/>
    <x v="1"/>
    <n v="19"/>
    <n v="3"/>
    <n v="1"/>
    <n v="80"/>
    <n v="0"/>
    <n v="5"/>
    <n v="3"/>
    <n v="3"/>
    <n v="0"/>
    <n v="0"/>
    <n v="0"/>
    <n v="0"/>
  </r>
  <r>
    <n v="42"/>
    <x v="0"/>
    <x v="1"/>
    <n v="0"/>
    <x v="0"/>
    <n v="810"/>
    <x v="1"/>
    <x v="5"/>
    <n v="5"/>
    <x v="4"/>
    <x v="0"/>
    <n v="1"/>
    <x v="0"/>
    <n v="44"/>
    <x v="0"/>
    <n v="4"/>
    <x v="7"/>
    <n v="4"/>
    <x v="0"/>
    <x v="339"/>
    <n v="15901"/>
    <n v="2"/>
    <s v="Y"/>
    <x v="1"/>
    <n v="14"/>
    <n v="3"/>
    <n v="2"/>
    <n v="80"/>
    <n v="0"/>
    <n v="16"/>
    <n v="2"/>
    <n v="3"/>
    <n v="1"/>
    <n v="0"/>
    <n v="0"/>
    <n v="0"/>
  </r>
  <r>
    <n v="29"/>
    <x v="2"/>
    <x v="1"/>
    <n v="0"/>
    <x v="2"/>
    <n v="746"/>
    <x v="0"/>
    <x v="2"/>
    <n v="3"/>
    <x v="3"/>
    <x v="0"/>
    <n v="4"/>
    <x v="1"/>
    <n v="61"/>
    <x v="0"/>
    <n v="2"/>
    <x v="0"/>
    <n v="3"/>
    <x v="1"/>
    <x v="340"/>
    <n v="16928"/>
    <n v="1"/>
    <s v="Y"/>
    <x v="1"/>
    <n v="14"/>
    <n v="3"/>
    <n v="1"/>
    <n v="80"/>
    <n v="1"/>
    <n v="4"/>
    <n v="3"/>
    <n v="2"/>
    <n v="4"/>
    <n v="3"/>
    <n v="0"/>
    <n v="2"/>
  </r>
  <r>
    <n v="42"/>
    <x v="0"/>
    <x v="1"/>
    <n v="0"/>
    <x v="0"/>
    <n v="544"/>
    <x v="2"/>
    <x v="2"/>
    <n v="1"/>
    <x v="1"/>
    <x v="4"/>
    <n v="3"/>
    <x v="1"/>
    <n v="52"/>
    <x v="0"/>
    <n v="1"/>
    <x v="8"/>
    <n v="3"/>
    <x v="2"/>
    <x v="341"/>
    <n v="24017"/>
    <n v="0"/>
    <s v="Y"/>
    <x v="0"/>
    <n v="11"/>
    <n v="3"/>
    <n v="3"/>
    <n v="80"/>
    <n v="1"/>
    <n v="4"/>
    <n v="5"/>
    <n v="3"/>
    <n v="3"/>
    <n v="2"/>
    <n v="1"/>
    <n v="0"/>
  </r>
  <r>
    <n v="32"/>
    <x v="2"/>
    <x v="1"/>
    <n v="0"/>
    <x v="0"/>
    <n v="1062"/>
    <x v="1"/>
    <x v="2"/>
    <n v="3"/>
    <x v="3"/>
    <x v="2"/>
    <n v="3"/>
    <x v="0"/>
    <n v="75"/>
    <x v="0"/>
    <n v="1"/>
    <x v="2"/>
    <n v="2"/>
    <x v="1"/>
    <x v="342"/>
    <n v="3956"/>
    <n v="1"/>
    <s v="Y"/>
    <x v="1"/>
    <n v="13"/>
    <n v="3"/>
    <n v="3"/>
    <n v="80"/>
    <n v="1"/>
    <n v="8"/>
    <n v="4"/>
    <n v="3"/>
    <n v="8"/>
    <n v="0"/>
    <n v="0"/>
    <n v="7"/>
  </r>
  <r>
    <n v="48"/>
    <x v="1"/>
    <x v="1"/>
    <n v="0"/>
    <x v="0"/>
    <n v="530"/>
    <x v="0"/>
    <x v="22"/>
    <n v="1"/>
    <x v="1"/>
    <x v="2"/>
    <n v="1"/>
    <x v="0"/>
    <n v="91"/>
    <x v="0"/>
    <n v="3"/>
    <x v="5"/>
    <n v="3"/>
    <x v="1"/>
    <x v="343"/>
    <n v="23978"/>
    <n v="3"/>
    <s v="Y"/>
    <x v="1"/>
    <n v="21"/>
    <n v="4"/>
    <n v="2"/>
    <n v="80"/>
    <n v="1"/>
    <n v="15"/>
    <n v="3"/>
    <n v="1"/>
    <n v="0"/>
    <n v="0"/>
    <n v="0"/>
    <n v="0"/>
  </r>
  <r>
    <n v="37"/>
    <x v="0"/>
    <x v="1"/>
    <n v="0"/>
    <x v="0"/>
    <n v="1319"/>
    <x v="1"/>
    <x v="16"/>
    <n v="3"/>
    <x v="3"/>
    <x v="2"/>
    <n v="3"/>
    <x v="1"/>
    <n v="51"/>
    <x v="2"/>
    <n v="2"/>
    <x v="1"/>
    <n v="1"/>
    <x v="2"/>
    <x v="344"/>
    <n v="17001"/>
    <n v="4"/>
    <s v="Y"/>
    <x v="0"/>
    <n v="13"/>
    <n v="3"/>
    <n v="1"/>
    <n v="80"/>
    <n v="2"/>
    <n v="13"/>
    <n v="2"/>
    <n v="3"/>
    <n v="7"/>
    <n v="7"/>
    <n v="6"/>
    <n v="7"/>
  </r>
  <r>
    <n v="30"/>
    <x v="2"/>
    <x v="1"/>
    <n v="0"/>
    <x v="2"/>
    <n v="641"/>
    <x v="0"/>
    <x v="19"/>
    <n v="2"/>
    <x v="0"/>
    <x v="4"/>
    <n v="4"/>
    <x v="0"/>
    <n v="85"/>
    <x v="0"/>
    <n v="2"/>
    <x v="0"/>
    <n v="3"/>
    <x v="1"/>
    <x v="345"/>
    <n v="6069"/>
    <n v="7"/>
    <s v="Y"/>
    <x v="0"/>
    <n v="12"/>
    <n v="3"/>
    <n v="2"/>
    <n v="80"/>
    <n v="1"/>
    <n v="4"/>
    <n v="2"/>
    <n v="4"/>
    <n v="2"/>
    <n v="2"/>
    <n v="2"/>
    <n v="2"/>
  </r>
  <r>
    <n v="26"/>
    <x v="2"/>
    <x v="1"/>
    <n v="0"/>
    <x v="0"/>
    <n v="933"/>
    <x v="0"/>
    <x v="0"/>
    <n v="3"/>
    <x v="3"/>
    <x v="0"/>
    <n v="3"/>
    <x v="1"/>
    <n v="57"/>
    <x v="0"/>
    <n v="2"/>
    <x v="0"/>
    <n v="3"/>
    <x v="1"/>
    <x v="346"/>
    <n v="20156"/>
    <n v="1"/>
    <s v="Y"/>
    <x v="1"/>
    <n v="17"/>
    <n v="3"/>
    <n v="2"/>
    <n v="80"/>
    <n v="1"/>
    <n v="8"/>
    <n v="3"/>
    <n v="3"/>
    <n v="8"/>
    <n v="7"/>
    <n v="7"/>
    <n v="7"/>
  </r>
  <r>
    <n v="42"/>
    <x v="0"/>
    <x v="1"/>
    <n v="0"/>
    <x v="0"/>
    <n v="1332"/>
    <x v="1"/>
    <x v="2"/>
    <n v="4"/>
    <x v="2"/>
    <x v="1"/>
    <n v="1"/>
    <x v="1"/>
    <n v="98"/>
    <x v="1"/>
    <n v="2"/>
    <x v="4"/>
    <n v="4"/>
    <x v="0"/>
    <x v="347"/>
    <n v="17078"/>
    <n v="3"/>
    <s v="Y"/>
    <x v="1"/>
    <n v="23"/>
    <n v="4"/>
    <n v="2"/>
    <n v="80"/>
    <n v="0"/>
    <n v="14"/>
    <n v="6"/>
    <n v="3"/>
    <n v="1"/>
    <n v="0"/>
    <n v="0"/>
    <n v="0"/>
  </r>
  <r>
    <n v="21"/>
    <x v="4"/>
    <x v="0"/>
    <n v="1"/>
    <x v="1"/>
    <n v="756"/>
    <x v="0"/>
    <x v="0"/>
    <n v="1"/>
    <x v="1"/>
    <x v="4"/>
    <n v="1"/>
    <x v="0"/>
    <n v="99"/>
    <x v="1"/>
    <n v="1"/>
    <x v="6"/>
    <n v="2"/>
    <x v="0"/>
    <x v="348"/>
    <n v="9150"/>
    <n v="1"/>
    <s v="Y"/>
    <x v="0"/>
    <n v="11"/>
    <n v="3"/>
    <n v="3"/>
    <n v="80"/>
    <n v="0"/>
    <n v="3"/>
    <n v="3"/>
    <n v="3"/>
    <n v="3"/>
    <n v="2"/>
    <n v="1"/>
    <n v="2"/>
  </r>
  <r>
    <n v="36"/>
    <x v="0"/>
    <x v="1"/>
    <n v="0"/>
    <x v="2"/>
    <n v="845"/>
    <x v="0"/>
    <x v="0"/>
    <n v="5"/>
    <x v="4"/>
    <x v="2"/>
    <n v="4"/>
    <x v="0"/>
    <n v="45"/>
    <x v="0"/>
    <n v="2"/>
    <x v="0"/>
    <n v="4"/>
    <x v="0"/>
    <x v="349"/>
    <n v="15276"/>
    <n v="4"/>
    <s v="Y"/>
    <x v="1"/>
    <n v="15"/>
    <n v="3"/>
    <n v="2"/>
    <n v="80"/>
    <n v="0"/>
    <n v="7"/>
    <n v="6"/>
    <n v="3"/>
    <n v="1"/>
    <n v="0"/>
    <n v="0"/>
    <n v="0"/>
  </r>
  <r>
    <n v="36"/>
    <x v="0"/>
    <x v="1"/>
    <n v="0"/>
    <x v="1"/>
    <n v="541"/>
    <x v="0"/>
    <x v="3"/>
    <n v="4"/>
    <x v="2"/>
    <x v="2"/>
    <n v="1"/>
    <x v="1"/>
    <n v="48"/>
    <x v="1"/>
    <n v="3"/>
    <x v="0"/>
    <n v="4"/>
    <x v="1"/>
    <x v="350"/>
    <n v="7246"/>
    <n v="4"/>
    <s v="Y"/>
    <x v="1"/>
    <n v="11"/>
    <n v="3"/>
    <n v="1"/>
    <n v="80"/>
    <n v="1"/>
    <n v="16"/>
    <n v="2"/>
    <n v="3"/>
    <n v="13"/>
    <n v="9"/>
    <n v="1"/>
    <n v="12"/>
  </r>
  <r>
    <n v="57"/>
    <x v="3"/>
    <x v="1"/>
    <n v="0"/>
    <x v="0"/>
    <n v="593"/>
    <x v="1"/>
    <x v="0"/>
    <n v="4"/>
    <x v="2"/>
    <x v="2"/>
    <n v="4"/>
    <x v="1"/>
    <n v="88"/>
    <x v="0"/>
    <n v="2"/>
    <x v="4"/>
    <n v="3"/>
    <x v="1"/>
    <x v="351"/>
    <n v="2967"/>
    <n v="2"/>
    <s v="Y"/>
    <x v="1"/>
    <n v="11"/>
    <n v="3"/>
    <n v="3"/>
    <n v="80"/>
    <n v="0"/>
    <n v="15"/>
    <n v="2"/>
    <n v="3"/>
    <n v="3"/>
    <n v="2"/>
    <n v="1"/>
    <n v="2"/>
  </r>
  <r>
    <n v="40"/>
    <x v="0"/>
    <x v="1"/>
    <n v="0"/>
    <x v="0"/>
    <n v="1171"/>
    <x v="1"/>
    <x v="17"/>
    <n v="4"/>
    <x v="2"/>
    <x v="0"/>
    <n v="4"/>
    <x v="0"/>
    <n v="46"/>
    <x v="2"/>
    <n v="1"/>
    <x v="2"/>
    <n v="3"/>
    <x v="1"/>
    <x v="352"/>
    <n v="22495"/>
    <n v="3"/>
    <s v="Y"/>
    <x v="0"/>
    <n v="13"/>
    <n v="3"/>
    <n v="3"/>
    <n v="80"/>
    <n v="1"/>
    <n v="10"/>
    <n v="3"/>
    <n v="3"/>
    <n v="7"/>
    <n v="7"/>
    <n v="1"/>
    <n v="7"/>
  </r>
  <r>
    <n v="21"/>
    <x v="4"/>
    <x v="1"/>
    <n v="0"/>
    <x v="2"/>
    <n v="895"/>
    <x v="0"/>
    <x v="14"/>
    <n v="2"/>
    <x v="0"/>
    <x v="2"/>
    <n v="1"/>
    <x v="1"/>
    <n v="39"/>
    <x v="0"/>
    <n v="1"/>
    <x v="6"/>
    <n v="4"/>
    <x v="0"/>
    <x v="353"/>
    <n v="2851"/>
    <n v="1"/>
    <s v="Y"/>
    <x v="1"/>
    <n v="24"/>
    <n v="4"/>
    <n v="3"/>
    <n v="80"/>
    <n v="0"/>
    <n v="3"/>
    <n v="3"/>
    <n v="2"/>
    <n v="3"/>
    <n v="2"/>
    <n v="2"/>
    <n v="2"/>
  </r>
  <r>
    <n v="33"/>
    <x v="2"/>
    <x v="0"/>
    <n v="1"/>
    <x v="0"/>
    <n v="350"/>
    <x v="0"/>
    <x v="12"/>
    <n v="3"/>
    <x v="3"/>
    <x v="3"/>
    <n v="4"/>
    <x v="0"/>
    <n v="34"/>
    <x v="0"/>
    <n v="1"/>
    <x v="6"/>
    <n v="3"/>
    <x v="0"/>
    <x v="354"/>
    <n v="9150"/>
    <n v="1"/>
    <s v="Y"/>
    <x v="0"/>
    <n v="13"/>
    <n v="3"/>
    <n v="2"/>
    <n v="80"/>
    <n v="0"/>
    <n v="1"/>
    <n v="2"/>
    <n v="3"/>
    <n v="1"/>
    <n v="0"/>
    <n v="0"/>
    <n v="0"/>
  </r>
  <r>
    <n v="37"/>
    <x v="0"/>
    <x v="1"/>
    <n v="0"/>
    <x v="0"/>
    <n v="921"/>
    <x v="1"/>
    <x v="17"/>
    <n v="3"/>
    <x v="3"/>
    <x v="2"/>
    <n v="3"/>
    <x v="0"/>
    <n v="98"/>
    <x v="0"/>
    <n v="1"/>
    <x v="2"/>
    <n v="1"/>
    <x v="1"/>
    <x v="138"/>
    <n v="17663"/>
    <n v="6"/>
    <s v="Y"/>
    <x v="1"/>
    <n v="20"/>
    <n v="4"/>
    <n v="2"/>
    <n v="80"/>
    <n v="1"/>
    <n v="17"/>
    <n v="3"/>
    <n v="3"/>
    <n v="5"/>
    <n v="4"/>
    <n v="0"/>
    <n v="3"/>
  </r>
  <r>
    <n v="46"/>
    <x v="1"/>
    <x v="1"/>
    <n v="0"/>
    <x v="2"/>
    <n v="1144"/>
    <x v="1"/>
    <x v="15"/>
    <n v="4"/>
    <x v="2"/>
    <x v="2"/>
    <n v="3"/>
    <x v="0"/>
    <n v="30"/>
    <x v="0"/>
    <n v="2"/>
    <x v="3"/>
    <n v="3"/>
    <x v="1"/>
    <x v="355"/>
    <n v="16044"/>
    <n v="2"/>
    <s v="Y"/>
    <x v="1"/>
    <n v="14"/>
    <n v="3"/>
    <n v="3"/>
    <n v="80"/>
    <n v="0"/>
    <n v="7"/>
    <n v="2"/>
    <n v="4"/>
    <n v="1"/>
    <n v="0"/>
    <n v="0"/>
    <n v="0"/>
  </r>
  <r>
    <n v="41"/>
    <x v="0"/>
    <x v="0"/>
    <n v="1"/>
    <x v="1"/>
    <n v="143"/>
    <x v="0"/>
    <x v="18"/>
    <n v="3"/>
    <x v="3"/>
    <x v="3"/>
    <n v="1"/>
    <x v="1"/>
    <n v="56"/>
    <x v="0"/>
    <n v="2"/>
    <x v="0"/>
    <n v="2"/>
    <x v="0"/>
    <x v="356"/>
    <n v="9558"/>
    <n v="1"/>
    <s v="Y"/>
    <x v="1"/>
    <n v="18"/>
    <n v="3"/>
    <n v="3"/>
    <n v="80"/>
    <n v="0"/>
    <n v="8"/>
    <n v="5"/>
    <n v="3"/>
    <n v="8"/>
    <n v="7"/>
    <n v="7"/>
    <n v="7"/>
  </r>
  <r>
    <n v="50"/>
    <x v="1"/>
    <x v="1"/>
    <n v="0"/>
    <x v="0"/>
    <n v="1046"/>
    <x v="1"/>
    <x v="17"/>
    <n v="3"/>
    <x v="3"/>
    <x v="4"/>
    <n v="4"/>
    <x v="1"/>
    <n v="100"/>
    <x v="1"/>
    <n v="3"/>
    <x v="4"/>
    <n v="4"/>
    <x v="0"/>
    <x v="357"/>
    <n v="2755"/>
    <n v="6"/>
    <s v="Y"/>
    <x v="1"/>
    <n v="15"/>
    <n v="3"/>
    <n v="4"/>
    <n v="80"/>
    <n v="0"/>
    <n v="20"/>
    <n v="2"/>
    <n v="3"/>
    <n v="4"/>
    <n v="3"/>
    <n v="1"/>
    <n v="3"/>
  </r>
  <r>
    <n v="40"/>
    <x v="0"/>
    <x v="0"/>
    <n v="1"/>
    <x v="0"/>
    <n v="575"/>
    <x v="0"/>
    <x v="23"/>
    <n v="2"/>
    <x v="0"/>
    <x v="3"/>
    <n v="3"/>
    <x v="1"/>
    <n v="68"/>
    <x v="1"/>
    <n v="2"/>
    <x v="0"/>
    <n v="3"/>
    <x v="1"/>
    <x v="358"/>
    <n v="6110"/>
    <n v="2"/>
    <s v="Y"/>
    <x v="0"/>
    <n v="12"/>
    <n v="3"/>
    <n v="1"/>
    <n v="80"/>
    <n v="2"/>
    <n v="8"/>
    <n v="6"/>
    <n v="3"/>
    <n v="6"/>
    <n v="4"/>
    <n v="1"/>
    <n v="0"/>
  </r>
  <r>
    <n v="31"/>
    <x v="2"/>
    <x v="1"/>
    <n v="0"/>
    <x v="0"/>
    <n v="408"/>
    <x v="1"/>
    <x v="14"/>
    <n v="4"/>
    <x v="2"/>
    <x v="0"/>
    <n v="3"/>
    <x v="1"/>
    <n v="42"/>
    <x v="1"/>
    <n v="1"/>
    <x v="1"/>
    <n v="2"/>
    <x v="0"/>
    <x v="210"/>
    <n v="7551"/>
    <n v="0"/>
    <s v="Y"/>
    <x v="0"/>
    <n v="16"/>
    <n v="3"/>
    <n v="4"/>
    <n v="80"/>
    <n v="0"/>
    <n v="3"/>
    <n v="5"/>
    <n v="3"/>
    <n v="2"/>
    <n v="2"/>
    <n v="2"/>
    <n v="2"/>
  </r>
  <r>
    <n v="21"/>
    <x v="4"/>
    <x v="0"/>
    <n v="1"/>
    <x v="0"/>
    <n v="156"/>
    <x v="0"/>
    <x v="20"/>
    <n v="3"/>
    <x v="3"/>
    <x v="0"/>
    <n v="3"/>
    <x v="0"/>
    <n v="90"/>
    <x v="2"/>
    <n v="1"/>
    <x v="6"/>
    <n v="2"/>
    <x v="0"/>
    <x v="359"/>
    <n v="25422"/>
    <n v="1"/>
    <s v="Y"/>
    <x v="1"/>
    <n v="15"/>
    <n v="3"/>
    <n v="4"/>
    <n v="80"/>
    <n v="0"/>
    <n v="1"/>
    <n v="0"/>
    <n v="3"/>
    <n v="1"/>
    <n v="0"/>
    <n v="0"/>
    <n v="0"/>
  </r>
  <r>
    <n v="29"/>
    <x v="2"/>
    <x v="1"/>
    <n v="0"/>
    <x v="0"/>
    <n v="1283"/>
    <x v="1"/>
    <x v="5"/>
    <n v="3"/>
    <x v="3"/>
    <x v="0"/>
    <n v="4"/>
    <x v="1"/>
    <n v="54"/>
    <x v="0"/>
    <n v="1"/>
    <x v="1"/>
    <n v="4"/>
    <x v="0"/>
    <x v="360"/>
    <n v="18168"/>
    <n v="9"/>
    <s v="Y"/>
    <x v="1"/>
    <n v="16"/>
    <n v="3"/>
    <n v="4"/>
    <n v="80"/>
    <n v="0"/>
    <n v="6"/>
    <n v="4"/>
    <n v="3"/>
    <n v="3"/>
    <n v="2"/>
    <n v="1"/>
    <n v="2"/>
  </r>
  <r>
    <n v="35"/>
    <x v="0"/>
    <x v="1"/>
    <n v="0"/>
    <x v="0"/>
    <n v="755"/>
    <x v="1"/>
    <x v="14"/>
    <n v="4"/>
    <x v="2"/>
    <x v="0"/>
    <n v="3"/>
    <x v="1"/>
    <n v="97"/>
    <x v="1"/>
    <n v="2"/>
    <x v="4"/>
    <n v="2"/>
    <x v="0"/>
    <x v="361"/>
    <n v="19394"/>
    <n v="9"/>
    <s v="Y"/>
    <x v="1"/>
    <n v="19"/>
    <n v="3"/>
    <n v="3"/>
    <n v="80"/>
    <n v="0"/>
    <n v="10"/>
    <n v="5"/>
    <n v="3"/>
    <n v="1"/>
    <n v="1"/>
    <n v="0"/>
    <n v="0"/>
  </r>
  <r>
    <n v="27"/>
    <x v="2"/>
    <x v="1"/>
    <n v="0"/>
    <x v="0"/>
    <n v="1469"/>
    <x v="1"/>
    <x v="0"/>
    <n v="2"/>
    <x v="0"/>
    <x v="2"/>
    <n v="4"/>
    <x v="1"/>
    <n v="82"/>
    <x v="0"/>
    <n v="1"/>
    <x v="2"/>
    <n v="2"/>
    <x v="2"/>
    <x v="362"/>
    <n v="17881"/>
    <n v="1"/>
    <s v="Y"/>
    <x v="1"/>
    <n v="11"/>
    <n v="3"/>
    <n v="2"/>
    <n v="80"/>
    <n v="1"/>
    <n v="5"/>
    <n v="2"/>
    <n v="3"/>
    <n v="5"/>
    <n v="2"/>
    <n v="0"/>
    <n v="4"/>
  </r>
  <r>
    <n v="28"/>
    <x v="2"/>
    <x v="1"/>
    <n v="0"/>
    <x v="0"/>
    <n v="304"/>
    <x v="0"/>
    <x v="14"/>
    <n v="4"/>
    <x v="2"/>
    <x v="0"/>
    <n v="2"/>
    <x v="1"/>
    <n v="92"/>
    <x v="0"/>
    <n v="2"/>
    <x v="0"/>
    <n v="4"/>
    <x v="0"/>
    <x v="363"/>
    <n v="20750"/>
    <n v="1"/>
    <s v="Y"/>
    <x v="1"/>
    <n v="16"/>
    <n v="3"/>
    <n v="4"/>
    <n v="80"/>
    <n v="0"/>
    <n v="7"/>
    <n v="1"/>
    <n v="3"/>
    <n v="7"/>
    <n v="5"/>
    <n v="0"/>
    <n v="7"/>
  </r>
  <r>
    <n v="49"/>
    <x v="1"/>
    <x v="1"/>
    <n v="0"/>
    <x v="0"/>
    <n v="1261"/>
    <x v="1"/>
    <x v="15"/>
    <n v="3"/>
    <x v="3"/>
    <x v="1"/>
    <n v="2"/>
    <x v="1"/>
    <n v="31"/>
    <x v="1"/>
    <n v="3"/>
    <x v="4"/>
    <n v="3"/>
    <x v="0"/>
    <x v="364"/>
    <n v="12066"/>
    <n v="8"/>
    <s v="Y"/>
    <x v="1"/>
    <n v="24"/>
    <n v="4"/>
    <n v="3"/>
    <n v="80"/>
    <n v="0"/>
    <n v="26"/>
    <n v="2"/>
    <n v="3"/>
    <n v="5"/>
    <n v="2"/>
    <n v="0"/>
    <n v="0"/>
  </r>
  <r>
    <n v="51"/>
    <x v="1"/>
    <x v="1"/>
    <n v="0"/>
    <x v="0"/>
    <n v="1178"/>
    <x v="0"/>
    <x v="24"/>
    <n v="2"/>
    <x v="0"/>
    <x v="0"/>
    <n v="3"/>
    <x v="0"/>
    <n v="87"/>
    <x v="0"/>
    <n v="2"/>
    <x v="0"/>
    <n v="4"/>
    <x v="1"/>
    <x v="365"/>
    <n v="14862"/>
    <n v="4"/>
    <s v="Y"/>
    <x v="1"/>
    <n v="11"/>
    <n v="3"/>
    <n v="3"/>
    <n v="80"/>
    <n v="1"/>
    <n v="18"/>
    <n v="2"/>
    <n v="2"/>
    <n v="7"/>
    <n v="7"/>
    <n v="0"/>
    <n v="7"/>
  </r>
  <r>
    <n v="36"/>
    <x v="0"/>
    <x v="1"/>
    <n v="0"/>
    <x v="0"/>
    <n v="329"/>
    <x v="1"/>
    <x v="2"/>
    <n v="3"/>
    <x v="3"/>
    <x v="0"/>
    <n v="4"/>
    <x v="0"/>
    <n v="96"/>
    <x v="0"/>
    <n v="1"/>
    <x v="1"/>
    <n v="3"/>
    <x v="1"/>
    <x v="366"/>
    <n v="11868"/>
    <n v="4"/>
    <s v="Y"/>
    <x v="1"/>
    <n v="13"/>
    <n v="3"/>
    <n v="2"/>
    <n v="80"/>
    <n v="1"/>
    <n v="6"/>
    <n v="3"/>
    <n v="3"/>
    <n v="2"/>
    <n v="2"/>
    <n v="2"/>
    <n v="2"/>
  </r>
  <r>
    <n v="34"/>
    <x v="2"/>
    <x v="0"/>
    <n v="1"/>
    <x v="2"/>
    <n v="1362"/>
    <x v="0"/>
    <x v="10"/>
    <n v="3"/>
    <x v="3"/>
    <x v="3"/>
    <n v="1"/>
    <x v="1"/>
    <n v="67"/>
    <x v="2"/>
    <n v="2"/>
    <x v="0"/>
    <n v="4"/>
    <x v="0"/>
    <x v="367"/>
    <n v="4652"/>
    <n v="8"/>
    <s v="Y"/>
    <x v="0"/>
    <n v="13"/>
    <n v="3"/>
    <n v="2"/>
    <n v="80"/>
    <n v="0"/>
    <n v="9"/>
    <n v="3"/>
    <n v="2"/>
    <n v="5"/>
    <n v="2"/>
    <n v="0"/>
    <n v="4"/>
  </r>
  <r>
    <n v="55"/>
    <x v="3"/>
    <x v="1"/>
    <n v="0"/>
    <x v="0"/>
    <n v="1311"/>
    <x v="1"/>
    <x v="2"/>
    <n v="3"/>
    <x v="3"/>
    <x v="0"/>
    <n v="3"/>
    <x v="0"/>
    <n v="97"/>
    <x v="0"/>
    <n v="4"/>
    <x v="5"/>
    <n v="4"/>
    <x v="0"/>
    <x v="368"/>
    <n v="23258"/>
    <n v="2"/>
    <s v="Y"/>
    <x v="0"/>
    <n v="13"/>
    <n v="3"/>
    <n v="3"/>
    <n v="80"/>
    <n v="0"/>
    <n v="30"/>
    <n v="2"/>
    <n v="3"/>
    <n v="5"/>
    <n v="4"/>
    <n v="1"/>
    <n v="2"/>
  </r>
  <r>
    <n v="24"/>
    <x v="4"/>
    <x v="1"/>
    <n v="0"/>
    <x v="0"/>
    <n v="1371"/>
    <x v="0"/>
    <x v="17"/>
    <n v="4"/>
    <x v="2"/>
    <x v="3"/>
    <n v="4"/>
    <x v="0"/>
    <n v="77"/>
    <x v="0"/>
    <n v="2"/>
    <x v="0"/>
    <n v="3"/>
    <x v="2"/>
    <x v="369"/>
    <n v="5915"/>
    <n v="1"/>
    <s v="Y"/>
    <x v="0"/>
    <n v="12"/>
    <n v="3"/>
    <n v="4"/>
    <n v="80"/>
    <n v="1"/>
    <n v="5"/>
    <n v="2"/>
    <n v="4"/>
    <n v="5"/>
    <n v="2"/>
    <n v="0"/>
    <n v="3"/>
  </r>
  <r>
    <n v="30"/>
    <x v="2"/>
    <x v="1"/>
    <n v="0"/>
    <x v="0"/>
    <n v="202"/>
    <x v="0"/>
    <x v="2"/>
    <n v="1"/>
    <x v="1"/>
    <x v="4"/>
    <n v="3"/>
    <x v="1"/>
    <n v="72"/>
    <x v="0"/>
    <n v="1"/>
    <x v="6"/>
    <n v="2"/>
    <x v="1"/>
    <x v="370"/>
    <n v="17434"/>
    <n v="1"/>
    <s v="Y"/>
    <x v="1"/>
    <n v="18"/>
    <n v="3"/>
    <n v="1"/>
    <n v="80"/>
    <n v="1"/>
    <n v="1"/>
    <n v="3"/>
    <n v="3"/>
    <n v="1"/>
    <n v="0"/>
    <n v="0"/>
    <n v="0"/>
  </r>
  <r>
    <n v="26"/>
    <x v="2"/>
    <x v="0"/>
    <n v="1"/>
    <x v="1"/>
    <n v="575"/>
    <x v="1"/>
    <x v="3"/>
    <n v="1"/>
    <x v="1"/>
    <x v="4"/>
    <n v="3"/>
    <x v="1"/>
    <n v="73"/>
    <x v="0"/>
    <n v="1"/>
    <x v="1"/>
    <n v="1"/>
    <x v="0"/>
    <x v="371"/>
    <n v="6582"/>
    <n v="0"/>
    <s v="Y"/>
    <x v="1"/>
    <n v="22"/>
    <n v="4"/>
    <n v="3"/>
    <n v="80"/>
    <n v="0"/>
    <n v="7"/>
    <n v="2"/>
    <n v="3"/>
    <n v="6"/>
    <n v="4"/>
    <n v="0"/>
    <n v="4"/>
  </r>
  <r>
    <n v="22"/>
    <x v="4"/>
    <x v="1"/>
    <n v="0"/>
    <x v="0"/>
    <n v="253"/>
    <x v="1"/>
    <x v="13"/>
    <n v="3"/>
    <x v="3"/>
    <x v="2"/>
    <n v="1"/>
    <x v="0"/>
    <n v="43"/>
    <x v="0"/>
    <n v="1"/>
    <x v="1"/>
    <n v="2"/>
    <x v="1"/>
    <x v="372"/>
    <n v="24440"/>
    <n v="1"/>
    <s v="Y"/>
    <x v="1"/>
    <n v="13"/>
    <n v="3"/>
    <n v="4"/>
    <n v="80"/>
    <n v="1"/>
    <n v="2"/>
    <n v="1"/>
    <n v="3"/>
    <n v="2"/>
    <n v="1"/>
    <n v="1"/>
    <n v="2"/>
  </r>
  <r>
    <n v="36"/>
    <x v="0"/>
    <x v="1"/>
    <n v="0"/>
    <x v="0"/>
    <n v="164"/>
    <x v="0"/>
    <x v="2"/>
    <n v="2"/>
    <x v="0"/>
    <x v="2"/>
    <n v="2"/>
    <x v="1"/>
    <n v="61"/>
    <x v="1"/>
    <n v="3"/>
    <x v="0"/>
    <n v="3"/>
    <x v="1"/>
    <x v="373"/>
    <n v="3809"/>
    <n v="1"/>
    <s v="Y"/>
    <x v="1"/>
    <n v="13"/>
    <n v="3"/>
    <n v="2"/>
    <n v="80"/>
    <n v="2"/>
    <n v="10"/>
    <n v="2"/>
    <n v="3"/>
    <n v="10"/>
    <n v="9"/>
    <n v="9"/>
    <n v="0"/>
  </r>
  <r>
    <n v="30"/>
    <x v="2"/>
    <x v="0"/>
    <n v="1"/>
    <x v="1"/>
    <n v="464"/>
    <x v="1"/>
    <x v="18"/>
    <n v="3"/>
    <x v="3"/>
    <x v="4"/>
    <n v="3"/>
    <x v="1"/>
    <n v="40"/>
    <x v="0"/>
    <n v="1"/>
    <x v="1"/>
    <n v="4"/>
    <x v="0"/>
    <x v="374"/>
    <n v="3427"/>
    <n v="9"/>
    <s v="Y"/>
    <x v="0"/>
    <n v="23"/>
    <n v="4"/>
    <n v="3"/>
    <n v="80"/>
    <n v="0"/>
    <n v="3"/>
    <n v="4"/>
    <n v="3"/>
    <n v="1"/>
    <n v="0"/>
    <n v="0"/>
    <n v="0"/>
  </r>
  <r>
    <n v="37"/>
    <x v="0"/>
    <x v="1"/>
    <n v="0"/>
    <x v="0"/>
    <n v="1107"/>
    <x v="1"/>
    <x v="24"/>
    <n v="3"/>
    <x v="3"/>
    <x v="0"/>
    <n v="4"/>
    <x v="0"/>
    <n v="95"/>
    <x v="0"/>
    <n v="1"/>
    <x v="2"/>
    <n v="1"/>
    <x v="2"/>
    <x v="375"/>
    <n v="26914"/>
    <n v="1"/>
    <s v="Y"/>
    <x v="1"/>
    <n v="12"/>
    <n v="3"/>
    <n v="3"/>
    <n v="80"/>
    <n v="1"/>
    <n v="18"/>
    <n v="2"/>
    <n v="2"/>
    <n v="18"/>
    <n v="7"/>
    <n v="12"/>
    <n v="17"/>
  </r>
  <r>
    <n v="40"/>
    <x v="0"/>
    <x v="1"/>
    <n v="0"/>
    <x v="0"/>
    <n v="759"/>
    <x v="0"/>
    <x v="2"/>
    <n v="2"/>
    <x v="0"/>
    <x v="3"/>
    <n v="4"/>
    <x v="0"/>
    <n v="46"/>
    <x v="0"/>
    <n v="2"/>
    <x v="0"/>
    <n v="2"/>
    <x v="2"/>
    <x v="376"/>
    <n v="22553"/>
    <n v="7"/>
    <s v="Y"/>
    <x v="1"/>
    <n v="12"/>
    <n v="3"/>
    <n v="3"/>
    <n v="80"/>
    <n v="2"/>
    <n v="8"/>
    <n v="5"/>
    <n v="3"/>
    <n v="5"/>
    <n v="4"/>
    <n v="1"/>
    <n v="3"/>
  </r>
  <r>
    <n v="42"/>
    <x v="0"/>
    <x v="1"/>
    <n v="0"/>
    <x v="0"/>
    <n v="201"/>
    <x v="1"/>
    <x v="0"/>
    <n v="4"/>
    <x v="2"/>
    <x v="0"/>
    <n v="2"/>
    <x v="0"/>
    <n v="95"/>
    <x v="0"/>
    <n v="1"/>
    <x v="2"/>
    <n v="1"/>
    <x v="2"/>
    <x v="377"/>
    <n v="20490"/>
    <n v="3"/>
    <s v="Y"/>
    <x v="1"/>
    <n v="16"/>
    <n v="3"/>
    <n v="2"/>
    <n v="80"/>
    <n v="1"/>
    <n v="8"/>
    <n v="5"/>
    <n v="3"/>
    <n v="5"/>
    <n v="2"/>
    <n v="1"/>
    <n v="2"/>
  </r>
  <r>
    <n v="37"/>
    <x v="0"/>
    <x v="1"/>
    <n v="0"/>
    <x v="0"/>
    <n v="1305"/>
    <x v="1"/>
    <x v="17"/>
    <n v="4"/>
    <x v="2"/>
    <x v="0"/>
    <n v="3"/>
    <x v="1"/>
    <n v="49"/>
    <x v="0"/>
    <n v="2"/>
    <x v="3"/>
    <n v="2"/>
    <x v="0"/>
    <x v="378"/>
    <n v="21123"/>
    <n v="2"/>
    <s v="Y"/>
    <x v="0"/>
    <n v="12"/>
    <n v="3"/>
    <n v="4"/>
    <n v="80"/>
    <n v="0"/>
    <n v="18"/>
    <n v="2"/>
    <n v="2"/>
    <n v="1"/>
    <n v="0"/>
    <n v="0"/>
    <n v="1"/>
  </r>
  <r>
    <n v="43"/>
    <x v="0"/>
    <x v="1"/>
    <n v="0"/>
    <x v="0"/>
    <n v="982"/>
    <x v="1"/>
    <x v="20"/>
    <n v="3"/>
    <x v="3"/>
    <x v="0"/>
    <n v="1"/>
    <x v="1"/>
    <n v="59"/>
    <x v="1"/>
    <n v="4"/>
    <x v="7"/>
    <n v="2"/>
    <x v="2"/>
    <x v="379"/>
    <n v="4345"/>
    <n v="1"/>
    <s v="Y"/>
    <x v="1"/>
    <n v="11"/>
    <n v="3"/>
    <n v="3"/>
    <n v="80"/>
    <n v="1"/>
    <n v="25"/>
    <n v="3"/>
    <n v="3"/>
    <n v="25"/>
    <n v="10"/>
    <n v="3"/>
    <n v="9"/>
  </r>
  <r>
    <n v="40"/>
    <x v="0"/>
    <x v="1"/>
    <n v="0"/>
    <x v="0"/>
    <n v="555"/>
    <x v="1"/>
    <x v="2"/>
    <n v="3"/>
    <x v="3"/>
    <x v="2"/>
    <n v="2"/>
    <x v="0"/>
    <n v="78"/>
    <x v="1"/>
    <n v="2"/>
    <x v="2"/>
    <n v="3"/>
    <x v="1"/>
    <x v="380"/>
    <n v="13436"/>
    <n v="6"/>
    <s v="Y"/>
    <x v="1"/>
    <n v="22"/>
    <n v="4"/>
    <n v="2"/>
    <n v="80"/>
    <n v="1"/>
    <n v="20"/>
    <n v="3"/>
    <n v="3"/>
    <n v="1"/>
    <n v="0"/>
    <n v="0"/>
    <n v="0"/>
  </r>
  <r>
    <n v="54"/>
    <x v="1"/>
    <x v="1"/>
    <n v="0"/>
    <x v="0"/>
    <n v="821"/>
    <x v="1"/>
    <x v="12"/>
    <n v="2"/>
    <x v="0"/>
    <x v="2"/>
    <n v="1"/>
    <x v="1"/>
    <n v="86"/>
    <x v="0"/>
    <n v="5"/>
    <x v="7"/>
    <n v="1"/>
    <x v="1"/>
    <x v="381"/>
    <n v="8509"/>
    <n v="4"/>
    <s v="Y"/>
    <x v="1"/>
    <n v="11"/>
    <n v="3"/>
    <n v="3"/>
    <n v="80"/>
    <n v="1"/>
    <n v="24"/>
    <n v="4"/>
    <n v="2"/>
    <n v="4"/>
    <n v="2"/>
    <n v="1"/>
    <n v="2"/>
  </r>
  <r>
    <n v="34"/>
    <x v="2"/>
    <x v="1"/>
    <n v="0"/>
    <x v="2"/>
    <n v="1381"/>
    <x v="0"/>
    <x v="18"/>
    <n v="4"/>
    <x v="2"/>
    <x v="3"/>
    <n v="3"/>
    <x v="0"/>
    <n v="72"/>
    <x v="0"/>
    <n v="2"/>
    <x v="0"/>
    <n v="3"/>
    <x v="1"/>
    <x v="382"/>
    <n v="12740"/>
    <n v="9"/>
    <s v="Y"/>
    <x v="1"/>
    <n v="15"/>
    <n v="3"/>
    <n v="1"/>
    <n v="80"/>
    <n v="1"/>
    <n v="6"/>
    <n v="3"/>
    <n v="3"/>
    <n v="3"/>
    <n v="2"/>
    <n v="1"/>
    <n v="2"/>
  </r>
  <r>
    <n v="31"/>
    <x v="2"/>
    <x v="1"/>
    <n v="0"/>
    <x v="0"/>
    <n v="480"/>
    <x v="1"/>
    <x v="15"/>
    <n v="2"/>
    <x v="0"/>
    <x v="2"/>
    <n v="2"/>
    <x v="0"/>
    <n v="31"/>
    <x v="0"/>
    <n v="2"/>
    <x v="3"/>
    <n v="1"/>
    <x v="1"/>
    <x v="383"/>
    <n v="4156"/>
    <n v="1"/>
    <s v="Y"/>
    <x v="1"/>
    <n v="12"/>
    <n v="3"/>
    <n v="2"/>
    <n v="80"/>
    <n v="1"/>
    <n v="13"/>
    <n v="5"/>
    <n v="1"/>
    <n v="13"/>
    <n v="10"/>
    <n v="3"/>
    <n v="12"/>
  </r>
  <r>
    <n v="43"/>
    <x v="0"/>
    <x v="1"/>
    <n v="0"/>
    <x v="1"/>
    <n v="313"/>
    <x v="1"/>
    <x v="11"/>
    <n v="3"/>
    <x v="3"/>
    <x v="2"/>
    <n v="4"/>
    <x v="1"/>
    <n v="61"/>
    <x v="0"/>
    <n v="1"/>
    <x v="2"/>
    <n v="4"/>
    <x v="1"/>
    <x v="384"/>
    <n v="15238"/>
    <n v="7"/>
    <s v="Y"/>
    <x v="1"/>
    <n v="20"/>
    <n v="4"/>
    <n v="1"/>
    <n v="80"/>
    <n v="1"/>
    <n v="8"/>
    <n v="1"/>
    <n v="3"/>
    <n v="3"/>
    <n v="2"/>
    <n v="1"/>
    <n v="2"/>
  </r>
  <r>
    <n v="43"/>
    <x v="0"/>
    <x v="1"/>
    <n v="0"/>
    <x v="0"/>
    <n v="1473"/>
    <x v="1"/>
    <x v="1"/>
    <n v="4"/>
    <x v="2"/>
    <x v="1"/>
    <n v="3"/>
    <x v="0"/>
    <n v="74"/>
    <x v="0"/>
    <n v="2"/>
    <x v="4"/>
    <n v="3"/>
    <x v="2"/>
    <x v="385"/>
    <n v="2227"/>
    <n v="4"/>
    <s v="Y"/>
    <x v="0"/>
    <n v="14"/>
    <n v="3"/>
    <n v="4"/>
    <n v="80"/>
    <n v="0"/>
    <n v="8"/>
    <n v="3"/>
    <n v="3"/>
    <n v="5"/>
    <n v="2"/>
    <n v="0"/>
    <n v="2"/>
  </r>
  <r>
    <n v="25"/>
    <x v="2"/>
    <x v="1"/>
    <n v="0"/>
    <x v="0"/>
    <n v="891"/>
    <x v="0"/>
    <x v="18"/>
    <n v="2"/>
    <x v="0"/>
    <x v="0"/>
    <n v="2"/>
    <x v="0"/>
    <n v="99"/>
    <x v="1"/>
    <n v="2"/>
    <x v="0"/>
    <n v="4"/>
    <x v="0"/>
    <x v="386"/>
    <n v="12090"/>
    <n v="1"/>
    <s v="Y"/>
    <x v="0"/>
    <n v="11"/>
    <n v="3"/>
    <n v="2"/>
    <n v="80"/>
    <n v="0"/>
    <n v="5"/>
    <n v="3"/>
    <n v="3"/>
    <n v="5"/>
    <n v="4"/>
    <n v="1"/>
    <n v="3"/>
  </r>
  <r>
    <n v="37"/>
    <x v="0"/>
    <x v="1"/>
    <n v="0"/>
    <x v="2"/>
    <n v="1063"/>
    <x v="1"/>
    <x v="19"/>
    <n v="5"/>
    <x v="4"/>
    <x v="2"/>
    <n v="2"/>
    <x v="0"/>
    <n v="72"/>
    <x v="0"/>
    <n v="2"/>
    <x v="1"/>
    <n v="3"/>
    <x v="1"/>
    <x v="387"/>
    <n v="23866"/>
    <n v="3"/>
    <s v="Y"/>
    <x v="0"/>
    <n v="15"/>
    <n v="3"/>
    <n v="1"/>
    <n v="80"/>
    <n v="2"/>
    <n v="15"/>
    <n v="2"/>
    <n v="3"/>
    <n v="13"/>
    <n v="11"/>
    <n v="10"/>
    <n v="7"/>
  </r>
  <r>
    <n v="31"/>
    <x v="2"/>
    <x v="1"/>
    <n v="0"/>
    <x v="0"/>
    <n v="329"/>
    <x v="1"/>
    <x v="0"/>
    <n v="2"/>
    <x v="0"/>
    <x v="0"/>
    <n v="4"/>
    <x v="1"/>
    <n v="98"/>
    <x v="1"/>
    <n v="1"/>
    <x v="2"/>
    <n v="1"/>
    <x v="1"/>
    <x v="388"/>
    <n v="16193"/>
    <n v="1"/>
    <s v="Y"/>
    <x v="1"/>
    <n v="12"/>
    <n v="3"/>
    <n v="3"/>
    <n v="80"/>
    <n v="1"/>
    <n v="4"/>
    <n v="3"/>
    <n v="3"/>
    <n v="4"/>
    <n v="2"/>
    <n v="3"/>
    <n v="2"/>
  </r>
  <r>
    <n v="39"/>
    <x v="0"/>
    <x v="1"/>
    <n v="0"/>
    <x v="1"/>
    <n v="1218"/>
    <x v="1"/>
    <x v="0"/>
    <n v="1"/>
    <x v="1"/>
    <x v="0"/>
    <n v="2"/>
    <x v="1"/>
    <n v="52"/>
    <x v="0"/>
    <n v="5"/>
    <x v="5"/>
    <n v="3"/>
    <x v="2"/>
    <x v="389"/>
    <n v="8213"/>
    <n v="1"/>
    <s v="Y"/>
    <x v="0"/>
    <n v="14"/>
    <n v="3"/>
    <n v="3"/>
    <n v="80"/>
    <n v="1"/>
    <n v="21"/>
    <n v="3"/>
    <n v="3"/>
    <n v="21"/>
    <n v="8"/>
    <n v="1"/>
    <n v="6"/>
  </r>
  <r>
    <n v="56"/>
    <x v="3"/>
    <x v="1"/>
    <n v="0"/>
    <x v="1"/>
    <n v="906"/>
    <x v="0"/>
    <x v="16"/>
    <n v="3"/>
    <x v="3"/>
    <x v="0"/>
    <n v="3"/>
    <x v="0"/>
    <n v="86"/>
    <x v="2"/>
    <n v="4"/>
    <x v="0"/>
    <n v="1"/>
    <x v="1"/>
    <x v="390"/>
    <n v="18256"/>
    <n v="9"/>
    <s v="Y"/>
    <x v="1"/>
    <n v="11"/>
    <n v="3"/>
    <n v="4"/>
    <n v="80"/>
    <n v="3"/>
    <n v="36"/>
    <n v="0"/>
    <n v="2"/>
    <n v="7"/>
    <n v="7"/>
    <n v="7"/>
    <n v="7"/>
  </r>
  <r>
    <n v="30"/>
    <x v="2"/>
    <x v="1"/>
    <n v="0"/>
    <x v="0"/>
    <n v="1082"/>
    <x v="0"/>
    <x v="20"/>
    <n v="3"/>
    <x v="3"/>
    <x v="4"/>
    <n v="2"/>
    <x v="0"/>
    <n v="83"/>
    <x v="0"/>
    <n v="2"/>
    <x v="0"/>
    <n v="3"/>
    <x v="0"/>
    <x v="391"/>
    <n v="19558"/>
    <n v="0"/>
    <s v="Y"/>
    <x v="1"/>
    <n v="11"/>
    <n v="3"/>
    <n v="2"/>
    <n v="80"/>
    <n v="0"/>
    <n v="6"/>
    <n v="6"/>
    <n v="3"/>
    <n v="5"/>
    <n v="4"/>
    <n v="4"/>
    <n v="4"/>
  </r>
  <r>
    <n v="41"/>
    <x v="0"/>
    <x v="1"/>
    <n v="0"/>
    <x v="0"/>
    <n v="645"/>
    <x v="0"/>
    <x v="0"/>
    <n v="3"/>
    <x v="3"/>
    <x v="3"/>
    <n v="2"/>
    <x v="1"/>
    <n v="49"/>
    <x v="2"/>
    <n v="3"/>
    <x v="0"/>
    <n v="1"/>
    <x v="1"/>
    <x v="392"/>
    <n v="19566"/>
    <n v="1"/>
    <s v="Y"/>
    <x v="1"/>
    <n v="16"/>
    <n v="3"/>
    <n v="3"/>
    <n v="80"/>
    <n v="1"/>
    <n v="10"/>
    <n v="2"/>
    <n v="3"/>
    <n v="10"/>
    <n v="7"/>
    <n v="0"/>
    <n v="7"/>
  </r>
  <r>
    <n v="28"/>
    <x v="2"/>
    <x v="1"/>
    <n v="0"/>
    <x v="0"/>
    <n v="1300"/>
    <x v="1"/>
    <x v="27"/>
    <n v="2"/>
    <x v="0"/>
    <x v="2"/>
    <n v="3"/>
    <x v="1"/>
    <n v="79"/>
    <x v="0"/>
    <n v="2"/>
    <x v="2"/>
    <n v="1"/>
    <x v="2"/>
    <x v="393"/>
    <n v="13535"/>
    <n v="1"/>
    <s v="Y"/>
    <x v="1"/>
    <n v="12"/>
    <n v="3"/>
    <n v="4"/>
    <n v="80"/>
    <n v="1"/>
    <n v="10"/>
    <n v="2"/>
    <n v="3"/>
    <n v="10"/>
    <n v="0"/>
    <n v="1"/>
    <n v="8"/>
  </r>
  <r>
    <n v="25"/>
    <x v="2"/>
    <x v="0"/>
    <n v="1"/>
    <x v="0"/>
    <n v="688"/>
    <x v="1"/>
    <x v="3"/>
    <n v="3"/>
    <x v="3"/>
    <x v="2"/>
    <n v="1"/>
    <x v="1"/>
    <n v="91"/>
    <x v="0"/>
    <n v="1"/>
    <x v="2"/>
    <n v="1"/>
    <x v="1"/>
    <x v="394"/>
    <n v="9396"/>
    <n v="5"/>
    <s v="Y"/>
    <x v="1"/>
    <n v="13"/>
    <n v="3"/>
    <n v="3"/>
    <n v="80"/>
    <n v="1"/>
    <n v="6"/>
    <n v="5"/>
    <n v="3"/>
    <n v="2"/>
    <n v="2"/>
    <n v="0"/>
    <n v="2"/>
  </r>
  <r>
    <n v="52"/>
    <x v="1"/>
    <x v="1"/>
    <n v="0"/>
    <x v="0"/>
    <n v="319"/>
    <x v="1"/>
    <x v="3"/>
    <n v="3"/>
    <x v="3"/>
    <x v="2"/>
    <n v="4"/>
    <x v="1"/>
    <n v="39"/>
    <x v="1"/>
    <n v="3"/>
    <x v="3"/>
    <n v="3"/>
    <x v="1"/>
    <x v="395"/>
    <n v="19609"/>
    <n v="2"/>
    <s v="Y"/>
    <x v="0"/>
    <n v="14"/>
    <n v="3"/>
    <n v="3"/>
    <n v="80"/>
    <n v="0"/>
    <n v="28"/>
    <n v="4"/>
    <n v="3"/>
    <n v="5"/>
    <n v="4"/>
    <n v="0"/>
    <n v="4"/>
  </r>
  <r>
    <n v="45"/>
    <x v="1"/>
    <x v="1"/>
    <n v="0"/>
    <x v="0"/>
    <n v="192"/>
    <x v="1"/>
    <x v="17"/>
    <n v="2"/>
    <x v="0"/>
    <x v="0"/>
    <n v="1"/>
    <x v="1"/>
    <n v="69"/>
    <x v="0"/>
    <n v="1"/>
    <x v="1"/>
    <n v="4"/>
    <x v="1"/>
    <x v="396"/>
    <n v="9655"/>
    <n v="3"/>
    <s v="Y"/>
    <x v="1"/>
    <n v="21"/>
    <n v="4"/>
    <n v="4"/>
    <n v="80"/>
    <n v="2"/>
    <n v="8"/>
    <n v="3"/>
    <n v="2"/>
    <n v="2"/>
    <n v="2"/>
    <n v="0"/>
    <n v="2"/>
  </r>
  <r>
    <n v="52"/>
    <x v="1"/>
    <x v="1"/>
    <n v="0"/>
    <x v="0"/>
    <n v="1490"/>
    <x v="1"/>
    <x v="18"/>
    <n v="2"/>
    <x v="0"/>
    <x v="0"/>
    <n v="4"/>
    <x v="0"/>
    <n v="30"/>
    <x v="0"/>
    <n v="4"/>
    <x v="5"/>
    <n v="4"/>
    <x v="1"/>
    <x v="397"/>
    <n v="10310"/>
    <n v="2"/>
    <s v="Y"/>
    <x v="1"/>
    <n v="13"/>
    <n v="3"/>
    <n v="4"/>
    <n v="80"/>
    <n v="0"/>
    <n v="31"/>
    <n v="2"/>
    <n v="1"/>
    <n v="5"/>
    <n v="2"/>
    <n v="1"/>
    <n v="4"/>
  </r>
  <r>
    <n v="42"/>
    <x v="0"/>
    <x v="1"/>
    <n v="0"/>
    <x v="1"/>
    <n v="532"/>
    <x v="1"/>
    <x v="22"/>
    <n v="2"/>
    <x v="0"/>
    <x v="0"/>
    <n v="1"/>
    <x v="0"/>
    <n v="92"/>
    <x v="0"/>
    <n v="2"/>
    <x v="1"/>
    <n v="3"/>
    <x v="2"/>
    <x v="398"/>
    <n v="12932"/>
    <n v="2"/>
    <s v="Y"/>
    <x v="1"/>
    <n v="11"/>
    <n v="3"/>
    <n v="2"/>
    <n v="80"/>
    <n v="1"/>
    <n v="19"/>
    <n v="3"/>
    <n v="3"/>
    <n v="5"/>
    <n v="4"/>
    <n v="0"/>
    <n v="2"/>
  </r>
  <r>
    <n v="30"/>
    <x v="2"/>
    <x v="1"/>
    <n v="0"/>
    <x v="0"/>
    <n v="317"/>
    <x v="1"/>
    <x v="2"/>
    <n v="3"/>
    <x v="3"/>
    <x v="0"/>
    <n v="3"/>
    <x v="0"/>
    <n v="43"/>
    <x v="3"/>
    <n v="2"/>
    <x v="3"/>
    <n v="4"/>
    <x v="0"/>
    <x v="399"/>
    <n v="24793"/>
    <n v="2"/>
    <s v="Y"/>
    <x v="1"/>
    <n v="20"/>
    <n v="4"/>
    <n v="3"/>
    <n v="80"/>
    <n v="0"/>
    <n v="11"/>
    <n v="2"/>
    <n v="3"/>
    <n v="5"/>
    <n v="4"/>
    <n v="0"/>
    <n v="2"/>
  </r>
  <r>
    <n v="60"/>
    <x v="3"/>
    <x v="1"/>
    <n v="0"/>
    <x v="0"/>
    <n v="422"/>
    <x v="1"/>
    <x v="15"/>
    <n v="3"/>
    <x v="3"/>
    <x v="0"/>
    <n v="1"/>
    <x v="0"/>
    <n v="41"/>
    <x v="0"/>
    <n v="5"/>
    <x v="5"/>
    <n v="1"/>
    <x v="1"/>
    <x v="400"/>
    <n v="3854"/>
    <n v="5"/>
    <s v="Y"/>
    <x v="1"/>
    <n v="11"/>
    <n v="3"/>
    <n v="4"/>
    <n v="80"/>
    <n v="0"/>
    <n v="33"/>
    <n v="5"/>
    <n v="1"/>
    <n v="29"/>
    <n v="8"/>
    <n v="11"/>
    <n v="10"/>
  </r>
  <r>
    <n v="46"/>
    <x v="1"/>
    <x v="1"/>
    <n v="0"/>
    <x v="0"/>
    <n v="1485"/>
    <x v="1"/>
    <x v="21"/>
    <n v="3"/>
    <x v="3"/>
    <x v="2"/>
    <n v="3"/>
    <x v="0"/>
    <n v="87"/>
    <x v="0"/>
    <n v="2"/>
    <x v="3"/>
    <n v="3"/>
    <x v="2"/>
    <x v="401"/>
    <n v="26314"/>
    <n v="2"/>
    <s v="Y"/>
    <x v="1"/>
    <n v="14"/>
    <n v="3"/>
    <n v="3"/>
    <n v="80"/>
    <n v="1"/>
    <n v="19"/>
    <n v="5"/>
    <n v="2"/>
    <n v="10"/>
    <n v="7"/>
    <n v="0"/>
    <n v="8"/>
  </r>
  <r>
    <n v="42"/>
    <x v="0"/>
    <x v="1"/>
    <n v="0"/>
    <x v="1"/>
    <n v="1368"/>
    <x v="1"/>
    <x v="26"/>
    <n v="4"/>
    <x v="2"/>
    <x v="4"/>
    <n v="4"/>
    <x v="0"/>
    <n v="88"/>
    <x v="1"/>
    <n v="2"/>
    <x v="4"/>
    <n v="4"/>
    <x v="1"/>
    <x v="402"/>
    <n v="4386"/>
    <n v="0"/>
    <s v="Y"/>
    <x v="1"/>
    <n v="11"/>
    <n v="3"/>
    <n v="4"/>
    <n v="80"/>
    <n v="3"/>
    <n v="7"/>
    <n v="4"/>
    <n v="4"/>
    <n v="6"/>
    <n v="5"/>
    <n v="0"/>
    <n v="4"/>
  </r>
  <r>
    <n v="24"/>
    <x v="4"/>
    <x v="0"/>
    <n v="1"/>
    <x v="0"/>
    <n v="1448"/>
    <x v="0"/>
    <x v="0"/>
    <n v="1"/>
    <x v="1"/>
    <x v="4"/>
    <n v="1"/>
    <x v="0"/>
    <n v="62"/>
    <x v="0"/>
    <n v="1"/>
    <x v="6"/>
    <n v="2"/>
    <x v="0"/>
    <x v="403"/>
    <n v="21972"/>
    <n v="1"/>
    <s v="Y"/>
    <x v="0"/>
    <n v="16"/>
    <n v="3"/>
    <n v="2"/>
    <n v="80"/>
    <n v="0"/>
    <n v="6"/>
    <n v="4"/>
    <n v="3"/>
    <n v="5"/>
    <n v="3"/>
    <n v="1"/>
    <n v="4"/>
  </r>
  <r>
    <n v="34"/>
    <x v="2"/>
    <x v="0"/>
    <n v="1"/>
    <x v="1"/>
    <n v="296"/>
    <x v="0"/>
    <x v="16"/>
    <n v="2"/>
    <x v="0"/>
    <x v="3"/>
    <n v="4"/>
    <x v="0"/>
    <n v="33"/>
    <x v="3"/>
    <n v="1"/>
    <x v="6"/>
    <n v="3"/>
    <x v="2"/>
    <x v="404"/>
    <n v="12253"/>
    <n v="0"/>
    <s v="Y"/>
    <x v="1"/>
    <n v="16"/>
    <n v="3"/>
    <n v="4"/>
    <n v="80"/>
    <n v="1"/>
    <n v="3"/>
    <n v="3"/>
    <n v="2"/>
    <n v="2"/>
    <n v="2"/>
    <n v="1"/>
    <n v="0"/>
  </r>
  <r>
    <n v="38"/>
    <x v="0"/>
    <x v="1"/>
    <n v="0"/>
    <x v="1"/>
    <n v="1490"/>
    <x v="1"/>
    <x v="2"/>
    <n v="2"/>
    <x v="0"/>
    <x v="0"/>
    <n v="4"/>
    <x v="1"/>
    <n v="42"/>
    <x v="0"/>
    <n v="1"/>
    <x v="2"/>
    <n v="4"/>
    <x v="1"/>
    <x v="405"/>
    <n v="12106"/>
    <n v="1"/>
    <s v="Y"/>
    <x v="0"/>
    <n v="23"/>
    <n v="4"/>
    <n v="3"/>
    <n v="80"/>
    <n v="1"/>
    <n v="1"/>
    <n v="3"/>
    <n v="3"/>
    <n v="1"/>
    <n v="0"/>
    <n v="0"/>
    <n v="0"/>
  </r>
  <r>
    <n v="40"/>
    <x v="0"/>
    <x v="1"/>
    <n v="0"/>
    <x v="0"/>
    <n v="1398"/>
    <x v="0"/>
    <x v="2"/>
    <n v="4"/>
    <x v="2"/>
    <x v="0"/>
    <n v="3"/>
    <x v="0"/>
    <n v="79"/>
    <x v="0"/>
    <n v="5"/>
    <x v="5"/>
    <n v="3"/>
    <x v="1"/>
    <x v="406"/>
    <n v="13022"/>
    <n v="0"/>
    <s v="Y"/>
    <x v="1"/>
    <n v="14"/>
    <n v="3"/>
    <n v="4"/>
    <n v="80"/>
    <n v="0"/>
    <n v="21"/>
    <n v="2"/>
    <n v="3"/>
    <n v="20"/>
    <n v="15"/>
    <n v="1"/>
    <n v="12"/>
  </r>
  <r>
    <n v="26"/>
    <x v="2"/>
    <x v="1"/>
    <n v="0"/>
    <x v="0"/>
    <n v="1349"/>
    <x v="1"/>
    <x v="5"/>
    <n v="3"/>
    <x v="3"/>
    <x v="0"/>
    <n v="1"/>
    <x v="0"/>
    <n v="90"/>
    <x v="0"/>
    <n v="1"/>
    <x v="1"/>
    <n v="4"/>
    <x v="2"/>
    <x v="407"/>
    <n v="3032"/>
    <n v="1"/>
    <s v="Y"/>
    <x v="1"/>
    <n v="22"/>
    <n v="4"/>
    <n v="2"/>
    <n v="80"/>
    <n v="2"/>
    <n v="3"/>
    <n v="3"/>
    <n v="1"/>
    <n v="3"/>
    <n v="2"/>
    <n v="0"/>
    <n v="2"/>
  </r>
  <r>
    <n v="30"/>
    <x v="2"/>
    <x v="1"/>
    <n v="0"/>
    <x v="2"/>
    <n v="1400"/>
    <x v="1"/>
    <x v="3"/>
    <n v="3"/>
    <x v="3"/>
    <x v="0"/>
    <n v="3"/>
    <x v="1"/>
    <n v="53"/>
    <x v="0"/>
    <n v="1"/>
    <x v="2"/>
    <n v="4"/>
    <x v="1"/>
    <x v="408"/>
    <n v="16734"/>
    <n v="4"/>
    <s v="Y"/>
    <x v="1"/>
    <n v="15"/>
    <n v="3"/>
    <n v="3"/>
    <n v="80"/>
    <n v="1"/>
    <n v="9"/>
    <n v="3"/>
    <n v="1"/>
    <n v="5"/>
    <n v="3"/>
    <n v="1"/>
    <n v="4"/>
  </r>
  <r>
    <n v="29"/>
    <x v="2"/>
    <x v="1"/>
    <n v="0"/>
    <x v="0"/>
    <n v="986"/>
    <x v="1"/>
    <x v="3"/>
    <n v="4"/>
    <x v="2"/>
    <x v="2"/>
    <n v="2"/>
    <x v="1"/>
    <n v="93"/>
    <x v="1"/>
    <n v="3"/>
    <x v="7"/>
    <n v="3"/>
    <x v="1"/>
    <x v="409"/>
    <n v="21526"/>
    <n v="1"/>
    <s v="Y"/>
    <x v="1"/>
    <n v="18"/>
    <n v="3"/>
    <n v="3"/>
    <n v="80"/>
    <n v="0"/>
    <n v="10"/>
    <n v="2"/>
    <n v="3"/>
    <n v="10"/>
    <n v="2"/>
    <n v="0"/>
    <n v="7"/>
  </r>
  <r>
    <n v="29"/>
    <x v="2"/>
    <x v="0"/>
    <n v="1"/>
    <x v="0"/>
    <n v="408"/>
    <x v="1"/>
    <x v="19"/>
    <n v="5"/>
    <x v="4"/>
    <x v="4"/>
    <n v="3"/>
    <x v="0"/>
    <n v="71"/>
    <x v="1"/>
    <n v="1"/>
    <x v="1"/>
    <n v="2"/>
    <x v="1"/>
    <x v="410"/>
    <n v="18300"/>
    <n v="5"/>
    <s v="Y"/>
    <x v="1"/>
    <n v="16"/>
    <n v="3"/>
    <n v="2"/>
    <n v="80"/>
    <n v="0"/>
    <n v="6"/>
    <n v="2"/>
    <n v="4"/>
    <n v="2"/>
    <n v="2"/>
    <n v="1"/>
    <n v="1"/>
  </r>
  <r>
    <n v="19"/>
    <x v="4"/>
    <x v="0"/>
    <n v="1"/>
    <x v="0"/>
    <n v="489"/>
    <x v="2"/>
    <x v="2"/>
    <n v="2"/>
    <x v="0"/>
    <x v="4"/>
    <n v="1"/>
    <x v="1"/>
    <n v="52"/>
    <x v="1"/>
    <n v="1"/>
    <x v="8"/>
    <n v="4"/>
    <x v="0"/>
    <x v="411"/>
    <n v="18437"/>
    <n v="1"/>
    <s v="Y"/>
    <x v="1"/>
    <n v="12"/>
    <n v="3"/>
    <n v="3"/>
    <n v="80"/>
    <n v="0"/>
    <n v="1"/>
    <n v="3"/>
    <n v="4"/>
    <n v="1"/>
    <n v="0"/>
    <n v="0"/>
    <n v="0"/>
  </r>
  <r>
    <n v="30"/>
    <x v="2"/>
    <x v="1"/>
    <n v="0"/>
    <x v="2"/>
    <n v="1398"/>
    <x v="0"/>
    <x v="23"/>
    <n v="4"/>
    <x v="2"/>
    <x v="1"/>
    <n v="3"/>
    <x v="0"/>
    <n v="69"/>
    <x v="0"/>
    <n v="3"/>
    <x v="0"/>
    <n v="1"/>
    <x v="1"/>
    <x v="412"/>
    <n v="2890"/>
    <n v="0"/>
    <s v="Y"/>
    <x v="1"/>
    <n v="11"/>
    <n v="3"/>
    <n v="3"/>
    <n v="80"/>
    <n v="0"/>
    <n v="10"/>
    <n v="3"/>
    <n v="3"/>
    <n v="9"/>
    <n v="8"/>
    <n v="7"/>
    <n v="8"/>
  </r>
  <r>
    <n v="57"/>
    <x v="3"/>
    <x v="1"/>
    <n v="0"/>
    <x v="0"/>
    <n v="210"/>
    <x v="0"/>
    <x v="22"/>
    <n v="3"/>
    <x v="3"/>
    <x v="3"/>
    <n v="1"/>
    <x v="1"/>
    <n v="56"/>
    <x v="1"/>
    <n v="4"/>
    <x v="5"/>
    <n v="4"/>
    <x v="2"/>
    <x v="413"/>
    <n v="22102"/>
    <n v="3"/>
    <s v="Y"/>
    <x v="1"/>
    <n v="12"/>
    <n v="3"/>
    <n v="3"/>
    <n v="80"/>
    <n v="1"/>
    <n v="32"/>
    <n v="3"/>
    <n v="2"/>
    <n v="1"/>
    <n v="0"/>
    <n v="0"/>
    <n v="0"/>
  </r>
  <r>
    <n v="50"/>
    <x v="1"/>
    <x v="1"/>
    <n v="0"/>
    <x v="0"/>
    <n v="1099"/>
    <x v="1"/>
    <x v="22"/>
    <n v="4"/>
    <x v="2"/>
    <x v="0"/>
    <n v="2"/>
    <x v="1"/>
    <n v="88"/>
    <x v="1"/>
    <n v="4"/>
    <x v="5"/>
    <n v="3"/>
    <x v="1"/>
    <x v="414"/>
    <n v="9314"/>
    <n v="0"/>
    <s v="Y"/>
    <x v="1"/>
    <n v="15"/>
    <n v="3"/>
    <n v="2"/>
    <n v="80"/>
    <n v="1"/>
    <n v="28"/>
    <n v="2"/>
    <n v="3"/>
    <n v="27"/>
    <n v="10"/>
    <n v="15"/>
    <n v="7"/>
  </r>
  <r>
    <n v="30"/>
    <x v="2"/>
    <x v="1"/>
    <n v="0"/>
    <x v="2"/>
    <n v="1116"/>
    <x v="1"/>
    <x v="2"/>
    <n v="3"/>
    <x v="3"/>
    <x v="2"/>
    <n v="3"/>
    <x v="0"/>
    <n v="49"/>
    <x v="0"/>
    <n v="1"/>
    <x v="2"/>
    <n v="4"/>
    <x v="0"/>
    <x v="411"/>
    <n v="7181"/>
    <n v="0"/>
    <s v="Y"/>
    <x v="1"/>
    <n v="14"/>
    <n v="3"/>
    <n v="3"/>
    <n v="80"/>
    <n v="0"/>
    <n v="12"/>
    <n v="2"/>
    <n v="2"/>
    <n v="11"/>
    <n v="7"/>
    <n v="6"/>
    <n v="7"/>
  </r>
  <r>
    <n v="60"/>
    <x v="3"/>
    <x v="1"/>
    <n v="0"/>
    <x v="1"/>
    <n v="1499"/>
    <x v="0"/>
    <x v="26"/>
    <n v="3"/>
    <x v="3"/>
    <x v="3"/>
    <n v="3"/>
    <x v="0"/>
    <n v="80"/>
    <x v="1"/>
    <n v="3"/>
    <x v="0"/>
    <n v="1"/>
    <x v="1"/>
    <x v="415"/>
    <n v="2845"/>
    <n v="4"/>
    <s v="Y"/>
    <x v="1"/>
    <n v="19"/>
    <n v="3"/>
    <n v="4"/>
    <n v="80"/>
    <n v="0"/>
    <n v="22"/>
    <n v="5"/>
    <n v="4"/>
    <n v="18"/>
    <n v="13"/>
    <n v="13"/>
    <n v="11"/>
  </r>
  <r>
    <n v="47"/>
    <x v="1"/>
    <x v="1"/>
    <n v="0"/>
    <x v="0"/>
    <n v="983"/>
    <x v="1"/>
    <x v="2"/>
    <n v="2"/>
    <x v="0"/>
    <x v="2"/>
    <n v="1"/>
    <x v="0"/>
    <n v="65"/>
    <x v="0"/>
    <n v="2"/>
    <x v="3"/>
    <n v="4"/>
    <x v="2"/>
    <x v="416"/>
    <n v="7389"/>
    <n v="5"/>
    <s v="Y"/>
    <x v="1"/>
    <n v="13"/>
    <n v="3"/>
    <n v="3"/>
    <n v="80"/>
    <n v="3"/>
    <n v="20"/>
    <n v="2"/>
    <n v="3"/>
    <n v="5"/>
    <n v="0"/>
    <n v="0"/>
    <n v="4"/>
  </r>
  <r>
    <n v="46"/>
    <x v="1"/>
    <x v="1"/>
    <n v="0"/>
    <x v="0"/>
    <n v="1009"/>
    <x v="1"/>
    <x v="2"/>
    <n v="3"/>
    <x v="3"/>
    <x v="0"/>
    <n v="1"/>
    <x v="1"/>
    <n v="51"/>
    <x v="0"/>
    <n v="4"/>
    <x v="7"/>
    <n v="3"/>
    <x v="1"/>
    <x v="417"/>
    <n v="2288"/>
    <n v="6"/>
    <s v="Y"/>
    <x v="1"/>
    <n v="13"/>
    <n v="3"/>
    <n v="3"/>
    <n v="80"/>
    <n v="0"/>
    <n v="26"/>
    <n v="2"/>
    <n v="1"/>
    <n v="3"/>
    <n v="2"/>
    <n v="0"/>
    <n v="1"/>
  </r>
  <r>
    <n v="35"/>
    <x v="0"/>
    <x v="1"/>
    <n v="0"/>
    <x v="0"/>
    <n v="144"/>
    <x v="1"/>
    <x v="23"/>
    <n v="3"/>
    <x v="3"/>
    <x v="0"/>
    <n v="4"/>
    <x v="1"/>
    <n v="46"/>
    <x v="3"/>
    <n v="1"/>
    <x v="2"/>
    <n v="3"/>
    <x v="0"/>
    <x v="418"/>
    <n v="19225"/>
    <n v="0"/>
    <s v="Y"/>
    <x v="1"/>
    <n v="15"/>
    <n v="3"/>
    <n v="3"/>
    <n v="80"/>
    <n v="0"/>
    <n v="6"/>
    <n v="2"/>
    <n v="3"/>
    <n v="5"/>
    <n v="4"/>
    <n v="4"/>
    <n v="3"/>
  </r>
  <r>
    <n v="54"/>
    <x v="1"/>
    <x v="1"/>
    <n v="0"/>
    <x v="0"/>
    <n v="548"/>
    <x v="1"/>
    <x v="1"/>
    <n v="4"/>
    <x v="2"/>
    <x v="0"/>
    <n v="3"/>
    <x v="0"/>
    <n v="42"/>
    <x v="0"/>
    <n v="2"/>
    <x v="2"/>
    <n v="3"/>
    <x v="0"/>
    <x v="419"/>
    <n v="23428"/>
    <n v="7"/>
    <s v="Y"/>
    <x v="1"/>
    <n v="11"/>
    <n v="3"/>
    <n v="3"/>
    <n v="80"/>
    <n v="0"/>
    <n v="19"/>
    <n v="3"/>
    <n v="3"/>
    <n v="1"/>
    <n v="0"/>
    <n v="0"/>
    <n v="0"/>
  </r>
  <r>
    <n v="34"/>
    <x v="2"/>
    <x v="1"/>
    <n v="0"/>
    <x v="0"/>
    <n v="1303"/>
    <x v="1"/>
    <x v="2"/>
    <n v="4"/>
    <x v="2"/>
    <x v="0"/>
    <n v="4"/>
    <x v="1"/>
    <n v="62"/>
    <x v="1"/>
    <n v="1"/>
    <x v="1"/>
    <n v="3"/>
    <x v="2"/>
    <x v="420"/>
    <n v="8416"/>
    <n v="3"/>
    <s v="Y"/>
    <x v="1"/>
    <n v="12"/>
    <n v="3"/>
    <n v="3"/>
    <n v="80"/>
    <n v="1"/>
    <n v="14"/>
    <n v="3"/>
    <n v="3"/>
    <n v="7"/>
    <n v="3"/>
    <n v="5"/>
    <n v="7"/>
  </r>
  <r>
    <n v="46"/>
    <x v="1"/>
    <x v="1"/>
    <n v="0"/>
    <x v="0"/>
    <n v="1125"/>
    <x v="0"/>
    <x v="17"/>
    <n v="3"/>
    <x v="3"/>
    <x v="3"/>
    <n v="3"/>
    <x v="0"/>
    <n v="94"/>
    <x v="1"/>
    <n v="3"/>
    <x v="0"/>
    <n v="4"/>
    <x v="1"/>
    <x v="421"/>
    <n v="11563"/>
    <n v="2"/>
    <s v="Y"/>
    <x v="0"/>
    <n v="19"/>
    <n v="3"/>
    <n v="3"/>
    <n v="80"/>
    <n v="1"/>
    <n v="15"/>
    <n v="3"/>
    <n v="3"/>
    <n v="3"/>
    <n v="2"/>
    <n v="1"/>
    <n v="2"/>
  </r>
  <r>
    <n v="31"/>
    <x v="2"/>
    <x v="1"/>
    <n v="0"/>
    <x v="0"/>
    <n v="1274"/>
    <x v="1"/>
    <x v="14"/>
    <n v="1"/>
    <x v="1"/>
    <x v="0"/>
    <n v="3"/>
    <x v="1"/>
    <n v="33"/>
    <x v="0"/>
    <n v="3"/>
    <x v="3"/>
    <n v="2"/>
    <x v="2"/>
    <x v="422"/>
    <n v="14394"/>
    <n v="1"/>
    <s v="Y"/>
    <x v="1"/>
    <n v="25"/>
    <n v="4"/>
    <n v="4"/>
    <n v="80"/>
    <n v="1"/>
    <n v="13"/>
    <n v="6"/>
    <n v="4"/>
    <n v="13"/>
    <n v="8"/>
    <n v="0"/>
    <n v="8"/>
  </r>
  <r>
    <n v="33"/>
    <x v="2"/>
    <x v="0"/>
    <n v="1"/>
    <x v="0"/>
    <n v="1277"/>
    <x v="1"/>
    <x v="8"/>
    <n v="1"/>
    <x v="1"/>
    <x v="2"/>
    <n v="2"/>
    <x v="1"/>
    <n v="56"/>
    <x v="0"/>
    <n v="3"/>
    <x v="5"/>
    <n v="3"/>
    <x v="1"/>
    <x v="423"/>
    <n v="24619"/>
    <n v="7"/>
    <s v="Y"/>
    <x v="0"/>
    <n v="12"/>
    <n v="3"/>
    <n v="4"/>
    <n v="80"/>
    <n v="0"/>
    <n v="15"/>
    <n v="2"/>
    <n v="4"/>
    <n v="7"/>
    <n v="6"/>
    <n v="7"/>
    <n v="7"/>
  </r>
  <r>
    <n v="33"/>
    <x v="2"/>
    <x v="0"/>
    <n v="1"/>
    <x v="0"/>
    <n v="587"/>
    <x v="1"/>
    <x v="17"/>
    <n v="1"/>
    <x v="1"/>
    <x v="2"/>
    <n v="1"/>
    <x v="1"/>
    <n v="38"/>
    <x v="3"/>
    <n v="1"/>
    <x v="2"/>
    <n v="4"/>
    <x v="2"/>
    <x v="424"/>
    <n v="6705"/>
    <n v="7"/>
    <s v="Y"/>
    <x v="1"/>
    <n v="13"/>
    <n v="3"/>
    <n v="1"/>
    <n v="80"/>
    <n v="3"/>
    <n v="8"/>
    <n v="2"/>
    <n v="3"/>
    <n v="4"/>
    <n v="3"/>
    <n v="1"/>
    <n v="3"/>
  </r>
  <r>
    <n v="30"/>
    <x v="2"/>
    <x v="1"/>
    <n v="0"/>
    <x v="0"/>
    <n v="413"/>
    <x v="0"/>
    <x v="15"/>
    <n v="1"/>
    <x v="1"/>
    <x v="3"/>
    <n v="4"/>
    <x v="1"/>
    <n v="57"/>
    <x v="0"/>
    <n v="1"/>
    <x v="6"/>
    <n v="2"/>
    <x v="0"/>
    <x v="425"/>
    <n v="18398"/>
    <n v="0"/>
    <s v="Y"/>
    <x v="1"/>
    <n v="14"/>
    <n v="3"/>
    <n v="1"/>
    <n v="80"/>
    <n v="0"/>
    <n v="4"/>
    <n v="3"/>
    <n v="3"/>
    <n v="3"/>
    <n v="2"/>
    <n v="1"/>
    <n v="2"/>
  </r>
  <r>
    <n v="35"/>
    <x v="0"/>
    <x v="1"/>
    <n v="0"/>
    <x v="0"/>
    <n v="1276"/>
    <x v="1"/>
    <x v="7"/>
    <n v="3"/>
    <x v="3"/>
    <x v="0"/>
    <n v="4"/>
    <x v="1"/>
    <n v="72"/>
    <x v="0"/>
    <n v="3"/>
    <x v="4"/>
    <n v="3"/>
    <x v="1"/>
    <x v="426"/>
    <n v="14295"/>
    <n v="4"/>
    <s v="Y"/>
    <x v="0"/>
    <n v="12"/>
    <n v="3"/>
    <n v="3"/>
    <n v="80"/>
    <n v="0"/>
    <n v="10"/>
    <n v="2"/>
    <n v="3"/>
    <n v="8"/>
    <n v="7"/>
    <n v="0"/>
    <n v="0"/>
  </r>
  <r>
    <n v="31"/>
    <x v="2"/>
    <x v="0"/>
    <n v="1"/>
    <x v="1"/>
    <n v="534"/>
    <x v="1"/>
    <x v="25"/>
    <n v="3"/>
    <x v="3"/>
    <x v="0"/>
    <n v="1"/>
    <x v="1"/>
    <n v="66"/>
    <x v="0"/>
    <n v="3"/>
    <x v="4"/>
    <n v="3"/>
    <x v="1"/>
    <x v="427"/>
    <n v="22908"/>
    <n v="3"/>
    <s v="Y"/>
    <x v="1"/>
    <n v="12"/>
    <n v="3"/>
    <n v="1"/>
    <n v="80"/>
    <n v="0"/>
    <n v="12"/>
    <n v="2"/>
    <n v="3"/>
    <n v="1"/>
    <n v="0"/>
    <n v="0"/>
    <n v="0"/>
  </r>
  <r>
    <n v="34"/>
    <x v="2"/>
    <x v="0"/>
    <n v="1"/>
    <x v="1"/>
    <n v="988"/>
    <x v="2"/>
    <x v="5"/>
    <n v="3"/>
    <x v="3"/>
    <x v="5"/>
    <n v="2"/>
    <x v="0"/>
    <n v="43"/>
    <x v="0"/>
    <n v="3"/>
    <x v="8"/>
    <n v="1"/>
    <x v="2"/>
    <x v="428"/>
    <n v="11533"/>
    <n v="9"/>
    <s v="Y"/>
    <x v="0"/>
    <n v="15"/>
    <n v="3"/>
    <n v="3"/>
    <n v="80"/>
    <n v="3"/>
    <n v="11"/>
    <n v="2"/>
    <n v="3"/>
    <n v="3"/>
    <n v="2"/>
    <n v="0"/>
    <n v="2"/>
  </r>
  <r>
    <n v="42"/>
    <x v="0"/>
    <x v="1"/>
    <n v="0"/>
    <x v="1"/>
    <n v="1474"/>
    <x v="1"/>
    <x v="12"/>
    <n v="2"/>
    <x v="0"/>
    <x v="1"/>
    <n v="2"/>
    <x v="1"/>
    <n v="97"/>
    <x v="0"/>
    <n v="1"/>
    <x v="2"/>
    <n v="3"/>
    <x v="1"/>
    <x v="429"/>
    <n v="9260"/>
    <n v="4"/>
    <s v="Y"/>
    <x v="1"/>
    <n v="17"/>
    <n v="3"/>
    <n v="4"/>
    <n v="80"/>
    <n v="1"/>
    <n v="8"/>
    <n v="4"/>
    <n v="3"/>
    <n v="2"/>
    <n v="2"/>
    <n v="2"/>
    <n v="0"/>
  </r>
  <r>
    <n v="36"/>
    <x v="0"/>
    <x v="1"/>
    <n v="0"/>
    <x v="2"/>
    <n v="635"/>
    <x v="0"/>
    <x v="17"/>
    <n v="4"/>
    <x v="2"/>
    <x v="2"/>
    <n v="2"/>
    <x v="1"/>
    <n v="32"/>
    <x v="0"/>
    <n v="3"/>
    <x v="0"/>
    <n v="4"/>
    <x v="0"/>
    <x v="15"/>
    <n v="15318"/>
    <n v="1"/>
    <s v="Y"/>
    <x v="1"/>
    <n v="14"/>
    <n v="3"/>
    <n v="4"/>
    <n v="80"/>
    <n v="0"/>
    <n v="10"/>
    <n v="3"/>
    <n v="2"/>
    <n v="10"/>
    <n v="3"/>
    <n v="9"/>
    <n v="7"/>
  </r>
  <r>
    <n v="22"/>
    <x v="4"/>
    <x v="0"/>
    <n v="1"/>
    <x v="1"/>
    <n v="1368"/>
    <x v="1"/>
    <x v="18"/>
    <n v="1"/>
    <x v="1"/>
    <x v="4"/>
    <n v="3"/>
    <x v="1"/>
    <n v="99"/>
    <x v="1"/>
    <n v="1"/>
    <x v="2"/>
    <n v="3"/>
    <x v="0"/>
    <x v="430"/>
    <n v="9129"/>
    <n v="5"/>
    <s v="Y"/>
    <x v="1"/>
    <n v="16"/>
    <n v="3"/>
    <n v="3"/>
    <n v="80"/>
    <n v="0"/>
    <n v="4"/>
    <n v="3"/>
    <n v="3"/>
    <n v="2"/>
    <n v="2"/>
    <n v="1"/>
    <n v="2"/>
  </r>
  <r>
    <n v="48"/>
    <x v="1"/>
    <x v="1"/>
    <n v="0"/>
    <x v="0"/>
    <n v="163"/>
    <x v="0"/>
    <x v="2"/>
    <n v="5"/>
    <x v="4"/>
    <x v="3"/>
    <n v="2"/>
    <x v="0"/>
    <n v="37"/>
    <x v="0"/>
    <n v="2"/>
    <x v="0"/>
    <n v="4"/>
    <x v="1"/>
    <x v="431"/>
    <n v="19658"/>
    <n v="2"/>
    <s v="Y"/>
    <x v="1"/>
    <n v="14"/>
    <n v="3"/>
    <n v="1"/>
    <n v="80"/>
    <n v="1"/>
    <n v="14"/>
    <n v="2"/>
    <n v="3"/>
    <n v="9"/>
    <n v="7"/>
    <n v="6"/>
    <n v="7"/>
  </r>
  <r>
    <n v="55"/>
    <x v="3"/>
    <x v="1"/>
    <n v="0"/>
    <x v="0"/>
    <n v="1117"/>
    <x v="0"/>
    <x v="21"/>
    <n v="5"/>
    <x v="4"/>
    <x v="0"/>
    <n v="1"/>
    <x v="0"/>
    <n v="83"/>
    <x v="0"/>
    <n v="4"/>
    <x v="5"/>
    <n v="2"/>
    <x v="0"/>
    <x v="432"/>
    <n v="9873"/>
    <n v="3"/>
    <s v="Y"/>
    <x v="1"/>
    <n v="23"/>
    <n v="4"/>
    <n v="4"/>
    <n v="80"/>
    <n v="0"/>
    <n v="37"/>
    <n v="2"/>
    <n v="3"/>
    <n v="10"/>
    <n v="9"/>
    <n v="7"/>
    <n v="7"/>
  </r>
  <r>
    <n v="41"/>
    <x v="0"/>
    <x v="1"/>
    <n v="0"/>
    <x v="2"/>
    <n v="267"/>
    <x v="0"/>
    <x v="17"/>
    <n v="2"/>
    <x v="0"/>
    <x v="0"/>
    <n v="4"/>
    <x v="1"/>
    <n v="56"/>
    <x v="0"/>
    <n v="2"/>
    <x v="0"/>
    <n v="4"/>
    <x v="0"/>
    <x v="433"/>
    <n v="13430"/>
    <n v="7"/>
    <s v="Y"/>
    <x v="1"/>
    <n v="14"/>
    <n v="3"/>
    <n v="4"/>
    <n v="80"/>
    <n v="0"/>
    <n v="16"/>
    <n v="3"/>
    <n v="3"/>
    <n v="14"/>
    <n v="3"/>
    <n v="1"/>
    <n v="10"/>
  </r>
  <r>
    <n v="35"/>
    <x v="0"/>
    <x v="1"/>
    <n v="0"/>
    <x v="0"/>
    <n v="619"/>
    <x v="0"/>
    <x v="0"/>
    <n v="3"/>
    <x v="3"/>
    <x v="3"/>
    <n v="2"/>
    <x v="1"/>
    <n v="85"/>
    <x v="0"/>
    <n v="2"/>
    <x v="0"/>
    <n v="3"/>
    <x v="1"/>
    <x v="434"/>
    <n v="18659"/>
    <n v="9"/>
    <s v="Y"/>
    <x v="1"/>
    <n v="11"/>
    <n v="3"/>
    <n v="3"/>
    <n v="80"/>
    <n v="0"/>
    <n v="15"/>
    <n v="2"/>
    <n v="3"/>
    <n v="11"/>
    <n v="9"/>
    <n v="6"/>
    <n v="9"/>
  </r>
  <r>
    <n v="40"/>
    <x v="0"/>
    <x v="1"/>
    <n v="0"/>
    <x v="0"/>
    <n v="302"/>
    <x v="1"/>
    <x v="16"/>
    <n v="3"/>
    <x v="3"/>
    <x v="0"/>
    <n v="2"/>
    <x v="0"/>
    <n v="75"/>
    <x v="0"/>
    <n v="4"/>
    <x v="3"/>
    <n v="3"/>
    <x v="0"/>
    <x v="435"/>
    <n v="20364"/>
    <n v="7"/>
    <s v="Y"/>
    <x v="1"/>
    <n v="15"/>
    <n v="3"/>
    <n v="3"/>
    <n v="80"/>
    <n v="0"/>
    <n v="22"/>
    <n v="3"/>
    <n v="3"/>
    <n v="20"/>
    <n v="6"/>
    <n v="5"/>
    <n v="13"/>
  </r>
  <r>
    <n v="39"/>
    <x v="0"/>
    <x v="1"/>
    <n v="0"/>
    <x v="1"/>
    <n v="443"/>
    <x v="1"/>
    <x v="1"/>
    <n v="1"/>
    <x v="1"/>
    <x v="0"/>
    <n v="3"/>
    <x v="0"/>
    <n v="48"/>
    <x v="0"/>
    <n v="1"/>
    <x v="2"/>
    <n v="3"/>
    <x v="1"/>
    <x v="436"/>
    <n v="17872"/>
    <n v="1"/>
    <s v="Y"/>
    <x v="1"/>
    <n v="11"/>
    <n v="3"/>
    <n v="1"/>
    <n v="80"/>
    <n v="1"/>
    <n v="8"/>
    <n v="3"/>
    <n v="3"/>
    <n v="8"/>
    <n v="3"/>
    <n v="0"/>
    <n v="7"/>
  </r>
  <r>
    <n v="31"/>
    <x v="2"/>
    <x v="1"/>
    <n v="0"/>
    <x v="0"/>
    <n v="828"/>
    <x v="0"/>
    <x v="2"/>
    <n v="1"/>
    <x v="1"/>
    <x v="0"/>
    <n v="2"/>
    <x v="1"/>
    <n v="77"/>
    <x v="0"/>
    <n v="2"/>
    <x v="0"/>
    <n v="4"/>
    <x v="0"/>
    <x v="437"/>
    <n v="8346"/>
    <n v="4"/>
    <s v="Y"/>
    <x v="0"/>
    <n v="13"/>
    <n v="3"/>
    <n v="3"/>
    <n v="80"/>
    <n v="0"/>
    <n v="10"/>
    <n v="2"/>
    <n v="4"/>
    <n v="6"/>
    <n v="5"/>
    <n v="0"/>
    <n v="5"/>
  </r>
  <r>
    <n v="42"/>
    <x v="0"/>
    <x v="1"/>
    <n v="0"/>
    <x v="0"/>
    <n v="319"/>
    <x v="1"/>
    <x v="4"/>
    <n v="3"/>
    <x v="3"/>
    <x v="2"/>
    <n v="4"/>
    <x v="1"/>
    <n v="56"/>
    <x v="0"/>
    <n v="3"/>
    <x v="3"/>
    <n v="1"/>
    <x v="1"/>
    <x v="438"/>
    <n v="6950"/>
    <n v="1"/>
    <s v="Y"/>
    <x v="0"/>
    <n v="21"/>
    <n v="4"/>
    <n v="4"/>
    <n v="80"/>
    <n v="1"/>
    <n v="10"/>
    <n v="5"/>
    <n v="2"/>
    <n v="10"/>
    <n v="9"/>
    <n v="5"/>
    <n v="8"/>
  </r>
  <r>
    <n v="45"/>
    <x v="1"/>
    <x v="1"/>
    <n v="0"/>
    <x v="0"/>
    <n v="561"/>
    <x v="0"/>
    <x v="2"/>
    <n v="3"/>
    <x v="3"/>
    <x v="1"/>
    <n v="4"/>
    <x v="1"/>
    <n v="61"/>
    <x v="0"/>
    <n v="2"/>
    <x v="0"/>
    <n v="2"/>
    <x v="1"/>
    <x v="439"/>
    <n v="16177"/>
    <n v="0"/>
    <s v="Y"/>
    <x v="1"/>
    <n v="19"/>
    <n v="3"/>
    <n v="2"/>
    <n v="80"/>
    <n v="1"/>
    <n v="9"/>
    <n v="3"/>
    <n v="4"/>
    <n v="8"/>
    <n v="7"/>
    <n v="3"/>
    <n v="7"/>
  </r>
  <r>
    <n v="26"/>
    <x v="2"/>
    <x v="0"/>
    <n v="1"/>
    <x v="1"/>
    <n v="426"/>
    <x v="2"/>
    <x v="27"/>
    <n v="4"/>
    <x v="2"/>
    <x v="0"/>
    <n v="2"/>
    <x v="0"/>
    <n v="58"/>
    <x v="0"/>
    <n v="1"/>
    <x v="8"/>
    <n v="3"/>
    <x v="2"/>
    <x v="199"/>
    <n v="22808"/>
    <n v="0"/>
    <s v="Y"/>
    <x v="0"/>
    <n v="11"/>
    <n v="3"/>
    <n v="2"/>
    <n v="80"/>
    <n v="1"/>
    <n v="8"/>
    <n v="2"/>
    <n v="2"/>
    <n v="7"/>
    <n v="7"/>
    <n v="1"/>
    <n v="0"/>
  </r>
  <r>
    <n v="29"/>
    <x v="2"/>
    <x v="1"/>
    <n v="0"/>
    <x v="0"/>
    <n v="232"/>
    <x v="1"/>
    <x v="10"/>
    <n v="3"/>
    <x v="3"/>
    <x v="4"/>
    <n v="4"/>
    <x v="1"/>
    <n v="34"/>
    <x v="0"/>
    <n v="2"/>
    <x v="3"/>
    <n v="4"/>
    <x v="2"/>
    <x v="440"/>
    <n v="22645"/>
    <n v="4"/>
    <s v="Y"/>
    <x v="1"/>
    <n v="12"/>
    <n v="3"/>
    <n v="2"/>
    <n v="80"/>
    <n v="2"/>
    <n v="8"/>
    <n v="2"/>
    <n v="4"/>
    <n v="3"/>
    <n v="2"/>
    <n v="1"/>
    <n v="2"/>
  </r>
  <r>
    <n v="33"/>
    <x v="2"/>
    <x v="1"/>
    <n v="0"/>
    <x v="0"/>
    <n v="922"/>
    <x v="1"/>
    <x v="0"/>
    <n v="5"/>
    <x v="4"/>
    <x v="2"/>
    <n v="1"/>
    <x v="0"/>
    <n v="95"/>
    <x v="2"/>
    <n v="4"/>
    <x v="7"/>
    <n v="3"/>
    <x v="2"/>
    <x v="441"/>
    <n v="22578"/>
    <n v="4"/>
    <s v="Y"/>
    <x v="1"/>
    <n v="19"/>
    <n v="3"/>
    <n v="3"/>
    <n v="80"/>
    <n v="1"/>
    <n v="10"/>
    <n v="2"/>
    <n v="3"/>
    <n v="6"/>
    <n v="1"/>
    <n v="0"/>
    <n v="5"/>
  </r>
  <r>
    <n v="31"/>
    <x v="2"/>
    <x v="1"/>
    <n v="0"/>
    <x v="0"/>
    <n v="688"/>
    <x v="0"/>
    <x v="15"/>
    <n v="3"/>
    <x v="3"/>
    <x v="0"/>
    <n v="3"/>
    <x v="1"/>
    <n v="44"/>
    <x v="1"/>
    <n v="3"/>
    <x v="5"/>
    <n v="4"/>
    <x v="2"/>
    <x v="442"/>
    <n v="25291"/>
    <n v="9"/>
    <s v="Y"/>
    <x v="1"/>
    <n v="21"/>
    <n v="4"/>
    <n v="3"/>
    <n v="80"/>
    <n v="1"/>
    <n v="10"/>
    <n v="3"/>
    <n v="2"/>
    <n v="5"/>
    <n v="4"/>
    <n v="0"/>
    <n v="1"/>
  </r>
  <r>
    <n v="18"/>
    <x v="4"/>
    <x v="0"/>
    <n v="1"/>
    <x v="1"/>
    <n v="1306"/>
    <x v="0"/>
    <x v="12"/>
    <n v="3"/>
    <x v="3"/>
    <x v="3"/>
    <n v="2"/>
    <x v="1"/>
    <n v="69"/>
    <x v="0"/>
    <n v="1"/>
    <x v="6"/>
    <n v="2"/>
    <x v="0"/>
    <x v="443"/>
    <n v="8059"/>
    <n v="1"/>
    <s v="Y"/>
    <x v="0"/>
    <n v="14"/>
    <n v="3"/>
    <n v="4"/>
    <n v="80"/>
    <n v="0"/>
    <n v="0"/>
    <n v="3"/>
    <n v="3"/>
    <n v="0"/>
    <n v="0"/>
    <n v="0"/>
    <n v="0"/>
  </r>
  <r>
    <n v="40"/>
    <x v="0"/>
    <x v="1"/>
    <n v="0"/>
    <x v="2"/>
    <n v="1094"/>
    <x v="0"/>
    <x v="26"/>
    <n v="3"/>
    <x v="3"/>
    <x v="1"/>
    <n v="3"/>
    <x v="1"/>
    <n v="58"/>
    <x v="3"/>
    <n v="3"/>
    <x v="0"/>
    <n v="1"/>
    <x v="2"/>
    <x v="444"/>
    <n v="11373"/>
    <n v="3"/>
    <s v="Y"/>
    <x v="1"/>
    <n v="15"/>
    <n v="3"/>
    <n v="3"/>
    <n v="80"/>
    <n v="1"/>
    <n v="20"/>
    <n v="2"/>
    <n v="3"/>
    <n v="1"/>
    <n v="0"/>
    <n v="0"/>
    <n v="1"/>
  </r>
  <r>
    <n v="41"/>
    <x v="0"/>
    <x v="1"/>
    <n v="0"/>
    <x v="2"/>
    <n v="509"/>
    <x v="1"/>
    <x v="2"/>
    <n v="4"/>
    <x v="2"/>
    <x v="1"/>
    <n v="1"/>
    <x v="0"/>
    <n v="62"/>
    <x v="1"/>
    <n v="2"/>
    <x v="4"/>
    <n v="3"/>
    <x v="0"/>
    <x v="445"/>
    <n v="2112"/>
    <n v="2"/>
    <s v="Y"/>
    <x v="0"/>
    <n v="17"/>
    <n v="3"/>
    <n v="1"/>
    <n v="80"/>
    <n v="0"/>
    <n v="10"/>
    <n v="3"/>
    <n v="3"/>
    <n v="8"/>
    <n v="7"/>
    <n v="0"/>
    <n v="7"/>
  </r>
  <r>
    <n v="26"/>
    <x v="2"/>
    <x v="1"/>
    <n v="0"/>
    <x v="0"/>
    <n v="775"/>
    <x v="0"/>
    <x v="22"/>
    <n v="2"/>
    <x v="0"/>
    <x v="2"/>
    <n v="1"/>
    <x v="1"/>
    <n v="45"/>
    <x v="0"/>
    <n v="2"/>
    <x v="0"/>
    <n v="3"/>
    <x v="2"/>
    <x v="383"/>
    <n v="4267"/>
    <n v="5"/>
    <s v="Y"/>
    <x v="1"/>
    <n v="12"/>
    <n v="3"/>
    <n v="1"/>
    <n v="80"/>
    <n v="2"/>
    <n v="8"/>
    <n v="5"/>
    <n v="3"/>
    <n v="0"/>
    <n v="0"/>
    <n v="0"/>
    <n v="0"/>
  </r>
  <r>
    <n v="35"/>
    <x v="0"/>
    <x v="1"/>
    <n v="0"/>
    <x v="0"/>
    <n v="195"/>
    <x v="0"/>
    <x v="0"/>
    <n v="3"/>
    <x v="3"/>
    <x v="2"/>
    <n v="1"/>
    <x v="0"/>
    <n v="80"/>
    <x v="0"/>
    <n v="2"/>
    <x v="0"/>
    <n v="3"/>
    <x v="0"/>
    <x v="446"/>
    <n v="6698"/>
    <n v="1"/>
    <s v="Y"/>
    <x v="1"/>
    <n v="16"/>
    <n v="3"/>
    <n v="4"/>
    <n v="80"/>
    <n v="0"/>
    <n v="5"/>
    <n v="3"/>
    <n v="3"/>
    <n v="5"/>
    <n v="4"/>
    <n v="0"/>
    <n v="3"/>
  </r>
  <r>
    <n v="34"/>
    <x v="2"/>
    <x v="1"/>
    <n v="0"/>
    <x v="0"/>
    <n v="258"/>
    <x v="0"/>
    <x v="11"/>
    <n v="4"/>
    <x v="2"/>
    <x v="0"/>
    <n v="4"/>
    <x v="1"/>
    <n v="74"/>
    <x v="2"/>
    <n v="2"/>
    <x v="0"/>
    <n v="4"/>
    <x v="0"/>
    <x v="447"/>
    <n v="19921"/>
    <n v="1"/>
    <s v="Y"/>
    <x v="1"/>
    <n v="12"/>
    <n v="3"/>
    <n v="4"/>
    <n v="80"/>
    <n v="0"/>
    <n v="10"/>
    <n v="3"/>
    <n v="3"/>
    <n v="10"/>
    <n v="7"/>
    <n v="5"/>
    <n v="7"/>
  </r>
  <r>
    <n v="26"/>
    <x v="2"/>
    <x v="0"/>
    <n v="1"/>
    <x v="0"/>
    <n v="471"/>
    <x v="1"/>
    <x v="4"/>
    <n v="3"/>
    <x v="3"/>
    <x v="4"/>
    <n v="3"/>
    <x v="1"/>
    <n v="66"/>
    <x v="3"/>
    <n v="1"/>
    <x v="2"/>
    <n v="4"/>
    <x v="0"/>
    <x v="246"/>
    <n v="23213"/>
    <n v="1"/>
    <s v="Y"/>
    <x v="0"/>
    <n v="18"/>
    <n v="3"/>
    <n v="2"/>
    <n v="80"/>
    <n v="0"/>
    <n v="1"/>
    <n v="3"/>
    <n v="1"/>
    <n v="1"/>
    <n v="0"/>
    <n v="0"/>
    <n v="0"/>
  </r>
  <r>
    <n v="37"/>
    <x v="0"/>
    <x v="1"/>
    <n v="0"/>
    <x v="0"/>
    <n v="799"/>
    <x v="1"/>
    <x v="0"/>
    <n v="3"/>
    <x v="3"/>
    <x v="4"/>
    <n v="2"/>
    <x v="0"/>
    <n v="59"/>
    <x v="0"/>
    <n v="3"/>
    <x v="3"/>
    <n v="4"/>
    <x v="0"/>
    <x v="448"/>
    <n v="23848"/>
    <n v="4"/>
    <s v="Y"/>
    <x v="1"/>
    <n v="17"/>
    <n v="3"/>
    <n v="4"/>
    <n v="80"/>
    <n v="0"/>
    <n v="12"/>
    <n v="3"/>
    <n v="4"/>
    <n v="6"/>
    <n v="5"/>
    <n v="1"/>
    <n v="2"/>
  </r>
  <r>
    <n v="46"/>
    <x v="1"/>
    <x v="1"/>
    <n v="0"/>
    <x v="1"/>
    <n v="1034"/>
    <x v="1"/>
    <x v="21"/>
    <n v="1"/>
    <x v="1"/>
    <x v="2"/>
    <n v="1"/>
    <x v="0"/>
    <n v="86"/>
    <x v="0"/>
    <n v="3"/>
    <x v="4"/>
    <n v="3"/>
    <x v="1"/>
    <x v="449"/>
    <n v="8984"/>
    <n v="5"/>
    <s v="Y"/>
    <x v="1"/>
    <n v="11"/>
    <n v="3"/>
    <n v="4"/>
    <n v="80"/>
    <n v="0"/>
    <n v="28"/>
    <n v="3"/>
    <n v="2"/>
    <n v="2"/>
    <n v="2"/>
    <n v="1"/>
    <n v="2"/>
  </r>
  <r>
    <n v="41"/>
    <x v="0"/>
    <x v="1"/>
    <n v="0"/>
    <x v="0"/>
    <n v="1276"/>
    <x v="0"/>
    <x v="2"/>
    <n v="5"/>
    <x v="4"/>
    <x v="0"/>
    <n v="2"/>
    <x v="0"/>
    <n v="91"/>
    <x v="0"/>
    <n v="4"/>
    <x v="5"/>
    <n v="1"/>
    <x v="1"/>
    <x v="450"/>
    <n v="5626"/>
    <n v="7"/>
    <s v="Y"/>
    <x v="1"/>
    <n v="16"/>
    <n v="3"/>
    <n v="2"/>
    <n v="80"/>
    <n v="1"/>
    <n v="22"/>
    <n v="2"/>
    <n v="3"/>
    <n v="18"/>
    <n v="16"/>
    <n v="11"/>
    <n v="8"/>
  </r>
  <r>
    <n v="37"/>
    <x v="0"/>
    <x v="1"/>
    <n v="0"/>
    <x v="2"/>
    <n v="142"/>
    <x v="0"/>
    <x v="14"/>
    <n v="4"/>
    <x v="2"/>
    <x v="2"/>
    <n v="1"/>
    <x v="1"/>
    <n v="69"/>
    <x v="0"/>
    <n v="3"/>
    <x v="0"/>
    <n v="2"/>
    <x v="2"/>
    <x v="451"/>
    <n v="24666"/>
    <n v="1"/>
    <s v="Y"/>
    <x v="1"/>
    <n v="13"/>
    <n v="3"/>
    <n v="4"/>
    <n v="80"/>
    <n v="1"/>
    <n v="9"/>
    <n v="6"/>
    <n v="3"/>
    <n v="9"/>
    <n v="5"/>
    <n v="7"/>
    <n v="7"/>
  </r>
  <r>
    <n v="52"/>
    <x v="1"/>
    <x v="1"/>
    <n v="0"/>
    <x v="0"/>
    <n v="956"/>
    <x v="1"/>
    <x v="16"/>
    <n v="2"/>
    <x v="0"/>
    <x v="4"/>
    <n v="4"/>
    <x v="1"/>
    <n v="78"/>
    <x v="0"/>
    <n v="2"/>
    <x v="1"/>
    <n v="1"/>
    <x v="2"/>
    <x v="452"/>
    <n v="22087"/>
    <n v="3"/>
    <s v="Y"/>
    <x v="0"/>
    <n v="12"/>
    <n v="3"/>
    <n v="2"/>
    <n v="80"/>
    <n v="2"/>
    <n v="18"/>
    <n v="3"/>
    <n v="3"/>
    <n v="10"/>
    <n v="9"/>
    <n v="6"/>
    <n v="9"/>
  </r>
  <r>
    <n v="32"/>
    <x v="2"/>
    <x v="0"/>
    <n v="1"/>
    <x v="2"/>
    <n v="1474"/>
    <x v="0"/>
    <x v="13"/>
    <n v="4"/>
    <x v="2"/>
    <x v="1"/>
    <n v="4"/>
    <x v="1"/>
    <n v="60"/>
    <x v="2"/>
    <n v="2"/>
    <x v="0"/>
    <n v="3"/>
    <x v="1"/>
    <x v="453"/>
    <n v="23914"/>
    <n v="8"/>
    <s v="Y"/>
    <x v="1"/>
    <n v="12"/>
    <n v="3"/>
    <n v="4"/>
    <n v="80"/>
    <n v="0"/>
    <n v="6"/>
    <n v="2"/>
    <n v="3"/>
    <n v="4"/>
    <n v="2"/>
    <n v="1"/>
    <n v="2"/>
  </r>
  <r>
    <n v="24"/>
    <x v="4"/>
    <x v="1"/>
    <n v="0"/>
    <x v="1"/>
    <n v="535"/>
    <x v="0"/>
    <x v="4"/>
    <n v="3"/>
    <x v="3"/>
    <x v="2"/>
    <n v="4"/>
    <x v="1"/>
    <n v="38"/>
    <x v="0"/>
    <n v="1"/>
    <x v="6"/>
    <n v="4"/>
    <x v="1"/>
    <x v="454"/>
    <n v="5530"/>
    <n v="0"/>
    <s v="Y"/>
    <x v="1"/>
    <n v="13"/>
    <n v="3"/>
    <n v="3"/>
    <n v="80"/>
    <n v="2"/>
    <n v="3"/>
    <n v="3"/>
    <n v="3"/>
    <n v="2"/>
    <n v="2"/>
    <n v="2"/>
    <n v="1"/>
  </r>
  <r>
    <n v="38"/>
    <x v="0"/>
    <x v="1"/>
    <n v="0"/>
    <x v="0"/>
    <n v="1495"/>
    <x v="1"/>
    <x v="17"/>
    <n v="3"/>
    <x v="3"/>
    <x v="2"/>
    <n v="3"/>
    <x v="0"/>
    <n v="76"/>
    <x v="0"/>
    <n v="2"/>
    <x v="4"/>
    <n v="3"/>
    <x v="1"/>
    <x v="427"/>
    <n v="22174"/>
    <n v="3"/>
    <s v="Y"/>
    <x v="1"/>
    <n v="19"/>
    <n v="3"/>
    <n v="3"/>
    <n v="80"/>
    <n v="1"/>
    <n v="18"/>
    <n v="4"/>
    <n v="3"/>
    <n v="1"/>
    <n v="0"/>
    <n v="0"/>
    <n v="0"/>
  </r>
  <r>
    <n v="37"/>
    <x v="0"/>
    <x v="1"/>
    <n v="0"/>
    <x v="0"/>
    <n v="446"/>
    <x v="1"/>
    <x v="0"/>
    <n v="4"/>
    <x v="2"/>
    <x v="0"/>
    <n v="2"/>
    <x v="0"/>
    <n v="65"/>
    <x v="0"/>
    <n v="2"/>
    <x v="3"/>
    <n v="2"/>
    <x v="1"/>
    <x v="455"/>
    <n v="15701"/>
    <n v="6"/>
    <s v="Y"/>
    <x v="1"/>
    <n v="12"/>
    <n v="3"/>
    <n v="2"/>
    <n v="80"/>
    <n v="1"/>
    <n v="8"/>
    <n v="2"/>
    <n v="2"/>
    <n v="6"/>
    <n v="5"/>
    <n v="4"/>
    <n v="3"/>
  </r>
  <r>
    <n v="49"/>
    <x v="1"/>
    <x v="1"/>
    <n v="0"/>
    <x v="0"/>
    <n v="1245"/>
    <x v="1"/>
    <x v="21"/>
    <n v="4"/>
    <x v="2"/>
    <x v="0"/>
    <n v="4"/>
    <x v="1"/>
    <n v="58"/>
    <x v="1"/>
    <n v="5"/>
    <x v="7"/>
    <n v="3"/>
    <x v="2"/>
    <x v="456"/>
    <n v="2125"/>
    <n v="1"/>
    <s v="Y"/>
    <x v="0"/>
    <n v="17"/>
    <n v="3"/>
    <n v="3"/>
    <n v="80"/>
    <n v="1"/>
    <n v="31"/>
    <n v="5"/>
    <n v="3"/>
    <n v="31"/>
    <n v="9"/>
    <n v="0"/>
    <n v="9"/>
  </r>
  <r>
    <n v="24"/>
    <x v="4"/>
    <x v="1"/>
    <n v="0"/>
    <x v="0"/>
    <n v="691"/>
    <x v="1"/>
    <x v="5"/>
    <n v="3"/>
    <x v="3"/>
    <x v="2"/>
    <n v="2"/>
    <x v="1"/>
    <n v="89"/>
    <x v="2"/>
    <n v="1"/>
    <x v="1"/>
    <n v="4"/>
    <x v="1"/>
    <x v="457"/>
    <n v="21630"/>
    <n v="1"/>
    <s v="Y"/>
    <x v="0"/>
    <n v="11"/>
    <n v="3"/>
    <n v="2"/>
    <n v="80"/>
    <n v="2"/>
    <n v="6"/>
    <n v="3"/>
    <n v="3"/>
    <n v="6"/>
    <n v="5"/>
    <n v="1"/>
    <n v="4"/>
  </r>
  <r>
    <n v="26"/>
    <x v="2"/>
    <x v="1"/>
    <n v="0"/>
    <x v="0"/>
    <n v="703"/>
    <x v="0"/>
    <x v="26"/>
    <n v="2"/>
    <x v="0"/>
    <x v="3"/>
    <n v="1"/>
    <x v="1"/>
    <n v="66"/>
    <x v="0"/>
    <n v="2"/>
    <x v="0"/>
    <n v="2"/>
    <x v="1"/>
    <x v="458"/>
    <n v="7428"/>
    <n v="1"/>
    <s v="Y"/>
    <x v="1"/>
    <n v="20"/>
    <n v="4"/>
    <n v="4"/>
    <n v="80"/>
    <n v="2"/>
    <n v="6"/>
    <n v="5"/>
    <n v="4"/>
    <n v="5"/>
    <n v="3"/>
    <n v="1"/>
    <n v="4"/>
  </r>
  <r>
    <n v="24"/>
    <x v="4"/>
    <x v="1"/>
    <n v="0"/>
    <x v="0"/>
    <n v="823"/>
    <x v="1"/>
    <x v="27"/>
    <n v="2"/>
    <x v="0"/>
    <x v="1"/>
    <n v="4"/>
    <x v="1"/>
    <n v="94"/>
    <x v="1"/>
    <n v="1"/>
    <x v="2"/>
    <n v="2"/>
    <x v="1"/>
    <x v="459"/>
    <n v="9100"/>
    <n v="1"/>
    <s v="Y"/>
    <x v="1"/>
    <n v="21"/>
    <n v="4"/>
    <n v="4"/>
    <n v="80"/>
    <n v="1"/>
    <n v="1"/>
    <n v="2"/>
    <n v="3"/>
    <n v="1"/>
    <n v="0"/>
    <n v="0"/>
    <n v="0"/>
  </r>
  <r>
    <n v="50"/>
    <x v="1"/>
    <x v="1"/>
    <n v="0"/>
    <x v="1"/>
    <n v="1246"/>
    <x v="2"/>
    <x v="3"/>
    <n v="3"/>
    <x v="3"/>
    <x v="2"/>
    <n v="1"/>
    <x v="1"/>
    <n v="99"/>
    <x v="0"/>
    <n v="5"/>
    <x v="5"/>
    <n v="2"/>
    <x v="1"/>
    <x v="460"/>
    <n v="7999"/>
    <n v="1"/>
    <s v="Y"/>
    <x v="1"/>
    <n v="11"/>
    <n v="3"/>
    <n v="3"/>
    <n v="80"/>
    <n v="1"/>
    <n v="32"/>
    <n v="2"/>
    <n v="3"/>
    <n v="32"/>
    <n v="5"/>
    <n v="10"/>
    <n v="7"/>
  </r>
  <r>
    <n v="25"/>
    <x v="2"/>
    <x v="1"/>
    <n v="0"/>
    <x v="0"/>
    <n v="622"/>
    <x v="0"/>
    <x v="28"/>
    <n v="1"/>
    <x v="1"/>
    <x v="2"/>
    <n v="2"/>
    <x v="1"/>
    <n v="40"/>
    <x v="0"/>
    <n v="1"/>
    <x v="6"/>
    <n v="3"/>
    <x v="1"/>
    <x v="461"/>
    <n v="26376"/>
    <n v="1"/>
    <s v="Y"/>
    <x v="1"/>
    <n v="11"/>
    <n v="3"/>
    <n v="3"/>
    <n v="80"/>
    <n v="0"/>
    <n v="7"/>
    <n v="1"/>
    <n v="3"/>
    <n v="7"/>
    <n v="4"/>
    <n v="0"/>
    <n v="6"/>
  </r>
  <r>
    <n v="24"/>
    <x v="4"/>
    <x v="0"/>
    <n v="1"/>
    <x v="1"/>
    <n v="1287"/>
    <x v="1"/>
    <x v="15"/>
    <n v="3"/>
    <x v="3"/>
    <x v="0"/>
    <n v="1"/>
    <x v="0"/>
    <n v="55"/>
    <x v="0"/>
    <n v="1"/>
    <x v="2"/>
    <n v="3"/>
    <x v="1"/>
    <x v="407"/>
    <n v="14168"/>
    <n v="1"/>
    <s v="Y"/>
    <x v="0"/>
    <n v="16"/>
    <n v="3"/>
    <n v="4"/>
    <n v="80"/>
    <n v="1"/>
    <n v="6"/>
    <n v="4"/>
    <n v="3"/>
    <n v="6"/>
    <n v="3"/>
    <n v="1"/>
    <n v="2"/>
  </r>
  <r>
    <n v="30"/>
    <x v="2"/>
    <x v="0"/>
    <n v="1"/>
    <x v="1"/>
    <n v="448"/>
    <x v="0"/>
    <x v="20"/>
    <n v="4"/>
    <x v="2"/>
    <x v="0"/>
    <n v="2"/>
    <x v="1"/>
    <n v="74"/>
    <x v="1"/>
    <n v="1"/>
    <x v="6"/>
    <n v="1"/>
    <x v="1"/>
    <x v="462"/>
    <n v="14470"/>
    <n v="1"/>
    <s v="Y"/>
    <x v="1"/>
    <n v="18"/>
    <n v="3"/>
    <n v="3"/>
    <n v="80"/>
    <n v="1"/>
    <n v="1"/>
    <n v="2"/>
    <n v="4"/>
    <n v="1"/>
    <n v="0"/>
    <n v="0"/>
    <n v="0"/>
  </r>
  <r>
    <n v="34"/>
    <x v="2"/>
    <x v="1"/>
    <n v="0"/>
    <x v="0"/>
    <n v="254"/>
    <x v="1"/>
    <x v="0"/>
    <n v="2"/>
    <x v="0"/>
    <x v="0"/>
    <n v="2"/>
    <x v="1"/>
    <n v="83"/>
    <x v="1"/>
    <n v="1"/>
    <x v="1"/>
    <n v="4"/>
    <x v="1"/>
    <x v="463"/>
    <n v="22794"/>
    <n v="1"/>
    <s v="Y"/>
    <x v="0"/>
    <n v="13"/>
    <n v="3"/>
    <n v="4"/>
    <n v="80"/>
    <n v="1"/>
    <n v="6"/>
    <n v="3"/>
    <n v="3"/>
    <n v="6"/>
    <n v="5"/>
    <n v="1"/>
    <n v="3"/>
  </r>
  <r>
    <n v="31"/>
    <x v="2"/>
    <x v="0"/>
    <n v="1"/>
    <x v="0"/>
    <n v="1365"/>
    <x v="0"/>
    <x v="28"/>
    <n v="4"/>
    <x v="2"/>
    <x v="2"/>
    <n v="2"/>
    <x v="1"/>
    <n v="46"/>
    <x v="0"/>
    <n v="2"/>
    <x v="0"/>
    <n v="1"/>
    <x v="2"/>
    <x v="464"/>
    <n v="11512"/>
    <n v="2"/>
    <s v="Y"/>
    <x v="1"/>
    <n v="17"/>
    <n v="3"/>
    <n v="3"/>
    <n v="80"/>
    <n v="0"/>
    <n v="9"/>
    <n v="2"/>
    <n v="1"/>
    <n v="3"/>
    <n v="1"/>
    <n v="1"/>
    <n v="2"/>
  </r>
  <r>
    <n v="35"/>
    <x v="0"/>
    <x v="1"/>
    <n v="0"/>
    <x v="0"/>
    <n v="538"/>
    <x v="1"/>
    <x v="19"/>
    <n v="2"/>
    <x v="0"/>
    <x v="1"/>
    <n v="1"/>
    <x v="1"/>
    <n v="54"/>
    <x v="1"/>
    <n v="2"/>
    <x v="2"/>
    <n v="4"/>
    <x v="0"/>
    <x v="465"/>
    <n v="14004"/>
    <n v="4"/>
    <s v="Y"/>
    <x v="1"/>
    <n v="14"/>
    <n v="3"/>
    <n v="4"/>
    <n v="80"/>
    <n v="0"/>
    <n v="9"/>
    <n v="3"/>
    <n v="3"/>
    <n v="3"/>
    <n v="2"/>
    <n v="0"/>
    <n v="2"/>
  </r>
  <r>
    <n v="31"/>
    <x v="2"/>
    <x v="1"/>
    <n v="0"/>
    <x v="0"/>
    <n v="525"/>
    <x v="0"/>
    <x v="16"/>
    <n v="4"/>
    <x v="2"/>
    <x v="2"/>
    <n v="1"/>
    <x v="1"/>
    <n v="66"/>
    <x v="2"/>
    <n v="2"/>
    <x v="0"/>
    <n v="4"/>
    <x v="2"/>
    <x v="466"/>
    <n v="6219"/>
    <n v="4"/>
    <s v="Y"/>
    <x v="1"/>
    <n v="22"/>
    <n v="4"/>
    <n v="4"/>
    <n v="80"/>
    <n v="2"/>
    <n v="13"/>
    <n v="4"/>
    <n v="4"/>
    <n v="7"/>
    <n v="7"/>
    <n v="5"/>
    <n v="7"/>
  </r>
  <r>
    <n v="27"/>
    <x v="2"/>
    <x v="1"/>
    <n v="0"/>
    <x v="0"/>
    <n v="798"/>
    <x v="1"/>
    <x v="16"/>
    <n v="4"/>
    <x v="2"/>
    <x v="2"/>
    <n v="1"/>
    <x v="0"/>
    <n v="66"/>
    <x v="1"/>
    <n v="1"/>
    <x v="1"/>
    <n v="3"/>
    <x v="2"/>
    <x v="467"/>
    <n v="5013"/>
    <n v="0"/>
    <s v="Y"/>
    <x v="1"/>
    <n v="12"/>
    <n v="3"/>
    <n v="3"/>
    <n v="80"/>
    <n v="2"/>
    <n v="6"/>
    <n v="5"/>
    <n v="2"/>
    <n v="5"/>
    <n v="3"/>
    <n v="0"/>
    <n v="3"/>
  </r>
  <r>
    <n v="37"/>
    <x v="0"/>
    <x v="1"/>
    <n v="0"/>
    <x v="0"/>
    <n v="558"/>
    <x v="0"/>
    <x v="2"/>
    <n v="3"/>
    <x v="3"/>
    <x v="3"/>
    <n v="4"/>
    <x v="1"/>
    <n v="75"/>
    <x v="0"/>
    <n v="2"/>
    <x v="0"/>
    <n v="3"/>
    <x v="1"/>
    <x v="468"/>
    <n v="3010"/>
    <n v="4"/>
    <s v="Y"/>
    <x v="0"/>
    <n v="11"/>
    <n v="3"/>
    <n v="3"/>
    <n v="80"/>
    <n v="1"/>
    <n v="17"/>
    <n v="3"/>
    <n v="2"/>
    <n v="3"/>
    <n v="0"/>
    <n v="1"/>
    <n v="0"/>
  </r>
  <r>
    <n v="20"/>
    <x v="4"/>
    <x v="1"/>
    <n v="0"/>
    <x v="0"/>
    <n v="959"/>
    <x v="1"/>
    <x v="0"/>
    <n v="3"/>
    <x v="3"/>
    <x v="0"/>
    <n v="4"/>
    <x v="0"/>
    <n v="83"/>
    <x v="1"/>
    <n v="1"/>
    <x v="1"/>
    <n v="2"/>
    <x v="0"/>
    <x v="469"/>
    <n v="11757"/>
    <n v="1"/>
    <s v="Y"/>
    <x v="1"/>
    <n v="13"/>
    <n v="3"/>
    <n v="4"/>
    <n v="80"/>
    <n v="0"/>
    <n v="1"/>
    <n v="0"/>
    <n v="4"/>
    <n v="1"/>
    <n v="0"/>
    <n v="0"/>
    <n v="0"/>
  </r>
  <r>
    <n v="42"/>
    <x v="0"/>
    <x v="1"/>
    <n v="0"/>
    <x v="0"/>
    <n v="622"/>
    <x v="1"/>
    <x v="2"/>
    <n v="4"/>
    <x v="2"/>
    <x v="0"/>
    <n v="3"/>
    <x v="0"/>
    <n v="81"/>
    <x v="0"/>
    <n v="2"/>
    <x v="4"/>
    <n v="4"/>
    <x v="1"/>
    <x v="470"/>
    <n v="5718"/>
    <n v="1"/>
    <s v="Y"/>
    <x v="1"/>
    <n v="13"/>
    <n v="3"/>
    <n v="2"/>
    <n v="80"/>
    <n v="2"/>
    <n v="10"/>
    <n v="4"/>
    <n v="3"/>
    <n v="10"/>
    <n v="2"/>
    <n v="2"/>
    <n v="2"/>
  </r>
  <r>
    <n v="43"/>
    <x v="0"/>
    <x v="1"/>
    <n v="0"/>
    <x v="0"/>
    <n v="782"/>
    <x v="1"/>
    <x v="16"/>
    <n v="4"/>
    <x v="2"/>
    <x v="1"/>
    <n v="2"/>
    <x v="1"/>
    <n v="50"/>
    <x v="1"/>
    <n v="4"/>
    <x v="7"/>
    <n v="4"/>
    <x v="2"/>
    <x v="471"/>
    <n v="2671"/>
    <n v="4"/>
    <s v="Y"/>
    <x v="0"/>
    <n v="14"/>
    <n v="3"/>
    <n v="3"/>
    <n v="80"/>
    <n v="1"/>
    <n v="21"/>
    <n v="3"/>
    <n v="2"/>
    <n v="1"/>
    <n v="0"/>
    <n v="0"/>
    <n v="0"/>
  </r>
  <r>
    <n v="38"/>
    <x v="0"/>
    <x v="1"/>
    <n v="0"/>
    <x v="0"/>
    <n v="362"/>
    <x v="1"/>
    <x v="0"/>
    <n v="1"/>
    <x v="1"/>
    <x v="0"/>
    <n v="3"/>
    <x v="0"/>
    <n v="43"/>
    <x v="0"/>
    <n v="1"/>
    <x v="1"/>
    <n v="1"/>
    <x v="0"/>
    <x v="472"/>
    <n v="14561"/>
    <n v="3"/>
    <s v="Y"/>
    <x v="1"/>
    <n v="17"/>
    <n v="3"/>
    <n v="4"/>
    <n v="80"/>
    <n v="0"/>
    <n v="8"/>
    <n v="3"/>
    <n v="2"/>
    <n v="0"/>
    <n v="0"/>
    <n v="0"/>
    <n v="0"/>
  </r>
  <r>
    <n v="43"/>
    <x v="0"/>
    <x v="1"/>
    <n v="0"/>
    <x v="1"/>
    <n v="1001"/>
    <x v="1"/>
    <x v="14"/>
    <n v="5"/>
    <x v="4"/>
    <x v="2"/>
    <n v="4"/>
    <x v="1"/>
    <n v="72"/>
    <x v="0"/>
    <n v="2"/>
    <x v="2"/>
    <n v="3"/>
    <x v="2"/>
    <x v="473"/>
    <n v="19627"/>
    <n v="3"/>
    <s v="Y"/>
    <x v="0"/>
    <n v="13"/>
    <n v="3"/>
    <n v="2"/>
    <n v="80"/>
    <n v="1"/>
    <n v="10"/>
    <n v="3"/>
    <n v="3"/>
    <n v="8"/>
    <n v="7"/>
    <n v="4"/>
    <n v="7"/>
  </r>
  <r>
    <n v="48"/>
    <x v="1"/>
    <x v="1"/>
    <n v="0"/>
    <x v="0"/>
    <n v="1236"/>
    <x v="1"/>
    <x v="0"/>
    <n v="4"/>
    <x v="2"/>
    <x v="0"/>
    <n v="4"/>
    <x v="0"/>
    <n v="40"/>
    <x v="1"/>
    <n v="4"/>
    <x v="5"/>
    <n v="1"/>
    <x v="1"/>
    <x v="474"/>
    <n v="17997"/>
    <n v="7"/>
    <s v="Y"/>
    <x v="1"/>
    <n v="11"/>
    <n v="3"/>
    <n v="1"/>
    <n v="80"/>
    <n v="1"/>
    <n v="21"/>
    <n v="3"/>
    <n v="1"/>
    <n v="3"/>
    <n v="2"/>
    <n v="0"/>
    <n v="2"/>
  </r>
  <r>
    <n v="44"/>
    <x v="0"/>
    <x v="1"/>
    <n v="0"/>
    <x v="0"/>
    <n v="1112"/>
    <x v="2"/>
    <x v="0"/>
    <n v="4"/>
    <x v="2"/>
    <x v="0"/>
    <n v="1"/>
    <x v="0"/>
    <n v="50"/>
    <x v="1"/>
    <n v="2"/>
    <x v="8"/>
    <n v="3"/>
    <x v="0"/>
    <x v="475"/>
    <n v="26894"/>
    <n v="4"/>
    <s v="Y"/>
    <x v="1"/>
    <n v="11"/>
    <n v="3"/>
    <n v="2"/>
    <n v="80"/>
    <n v="0"/>
    <n v="10"/>
    <n v="1"/>
    <n v="4"/>
    <n v="2"/>
    <n v="2"/>
    <n v="0"/>
    <n v="2"/>
  </r>
  <r>
    <n v="34"/>
    <x v="2"/>
    <x v="1"/>
    <n v="0"/>
    <x v="0"/>
    <n v="204"/>
    <x v="0"/>
    <x v="24"/>
    <n v="3"/>
    <x v="3"/>
    <x v="4"/>
    <n v="3"/>
    <x v="0"/>
    <n v="31"/>
    <x v="0"/>
    <n v="1"/>
    <x v="6"/>
    <n v="3"/>
    <x v="2"/>
    <x v="476"/>
    <n v="2912"/>
    <n v="1"/>
    <s v="Y"/>
    <x v="0"/>
    <n v="18"/>
    <n v="3"/>
    <n v="4"/>
    <n v="80"/>
    <n v="2"/>
    <n v="8"/>
    <n v="3"/>
    <n v="3"/>
    <n v="8"/>
    <n v="2"/>
    <n v="0"/>
    <n v="6"/>
  </r>
  <r>
    <n v="27"/>
    <x v="2"/>
    <x v="0"/>
    <n v="1"/>
    <x v="0"/>
    <n v="1420"/>
    <x v="0"/>
    <x v="2"/>
    <n v="1"/>
    <x v="1"/>
    <x v="3"/>
    <n v="3"/>
    <x v="1"/>
    <n v="85"/>
    <x v="0"/>
    <n v="1"/>
    <x v="6"/>
    <n v="1"/>
    <x v="2"/>
    <x v="477"/>
    <n v="16346"/>
    <n v="0"/>
    <s v="Y"/>
    <x v="1"/>
    <n v="11"/>
    <n v="3"/>
    <n v="2"/>
    <n v="80"/>
    <n v="1"/>
    <n v="5"/>
    <n v="3"/>
    <n v="3"/>
    <n v="4"/>
    <n v="3"/>
    <n v="0"/>
    <n v="2"/>
  </r>
  <r>
    <n v="21"/>
    <x v="4"/>
    <x v="1"/>
    <n v="0"/>
    <x v="0"/>
    <n v="1343"/>
    <x v="0"/>
    <x v="23"/>
    <n v="1"/>
    <x v="1"/>
    <x v="4"/>
    <n v="3"/>
    <x v="1"/>
    <n v="49"/>
    <x v="0"/>
    <n v="1"/>
    <x v="6"/>
    <n v="3"/>
    <x v="0"/>
    <x v="478"/>
    <n v="24444"/>
    <n v="1"/>
    <s v="Y"/>
    <x v="1"/>
    <n v="11"/>
    <n v="3"/>
    <n v="3"/>
    <n v="80"/>
    <n v="0"/>
    <n v="3"/>
    <n v="2"/>
    <n v="3"/>
    <n v="3"/>
    <n v="2"/>
    <n v="1"/>
    <n v="2"/>
  </r>
  <r>
    <n v="44"/>
    <x v="0"/>
    <x v="1"/>
    <n v="0"/>
    <x v="0"/>
    <n v="1315"/>
    <x v="1"/>
    <x v="3"/>
    <n v="4"/>
    <x v="2"/>
    <x v="1"/>
    <n v="4"/>
    <x v="1"/>
    <n v="35"/>
    <x v="0"/>
    <n v="5"/>
    <x v="5"/>
    <n v="4"/>
    <x v="1"/>
    <x v="479"/>
    <n v="9358"/>
    <n v="4"/>
    <s v="Y"/>
    <x v="0"/>
    <n v="12"/>
    <n v="3"/>
    <n v="1"/>
    <n v="80"/>
    <n v="1"/>
    <n v="26"/>
    <n v="2"/>
    <n v="4"/>
    <n v="2"/>
    <n v="2"/>
    <n v="0"/>
    <n v="1"/>
  </r>
  <r>
    <n v="22"/>
    <x v="4"/>
    <x v="1"/>
    <n v="0"/>
    <x v="0"/>
    <n v="604"/>
    <x v="1"/>
    <x v="16"/>
    <n v="1"/>
    <x v="1"/>
    <x v="2"/>
    <n v="1"/>
    <x v="1"/>
    <n v="69"/>
    <x v="0"/>
    <n v="1"/>
    <x v="1"/>
    <n v="3"/>
    <x v="1"/>
    <x v="480"/>
    <n v="12145"/>
    <n v="0"/>
    <s v="Y"/>
    <x v="1"/>
    <n v="20"/>
    <n v="4"/>
    <n v="4"/>
    <n v="80"/>
    <n v="0"/>
    <n v="3"/>
    <n v="3"/>
    <n v="3"/>
    <n v="2"/>
    <n v="2"/>
    <n v="2"/>
    <n v="2"/>
  </r>
  <r>
    <n v="33"/>
    <x v="2"/>
    <x v="1"/>
    <n v="0"/>
    <x v="0"/>
    <n v="1216"/>
    <x v="0"/>
    <x v="1"/>
    <n v="4"/>
    <x v="2"/>
    <x v="3"/>
    <n v="3"/>
    <x v="1"/>
    <n v="39"/>
    <x v="0"/>
    <n v="2"/>
    <x v="0"/>
    <n v="3"/>
    <x v="2"/>
    <x v="481"/>
    <n v="20431"/>
    <n v="0"/>
    <s v="Y"/>
    <x v="1"/>
    <n v="12"/>
    <n v="3"/>
    <n v="4"/>
    <n v="80"/>
    <n v="0"/>
    <n v="6"/>
    <n v="3"/>
    <n v="3"/>
    <n v="5"/>
    <n v="0"/>
    <n v="1"/>
    <n v="2"/>
  </r>
  <r>
    <n v="32"/>
    <x v="2"/>
    <x v="1"/>
    <n v="0"/>
    <x v="0"/>
    <n v="646"/>
    <x v="1"/>
    <x v="14"/>
    <n v="4"/>
    <x v="2"/>
    <x v="0"/>
    <n v="1"/>
    <x v="0"/>
    <n v="92"/>
    <x v="0"/>
    <n v="2"/>
    <x v="1"/>
    <n v="4"/>
    <x v="1"/>
    <x v="482"/>
    <n v="18089"/>
    <n v="1"/>
    <s v="Y"/>
    <x v="0"/>
    <n v="12"/>
    <n v="3"/>
    <n v="4"/>
    <n v="80"/>
    <n v="1"/>
    <n v="6"/>
    <n v="2"/>
    <n v="2"/>
    <n v="6"/>
    <n v="4"/>
    <n v="0"/>
    <n v="5"/>
  </r>
  <r>
    <n v="30"/>
    <x v="2"/>
    <x v="1"/>
    <n v="0"/>
    <x v="1"/>
    <n v="160"/>
    <x v="1"/>
    <x v="3"/>
    <n v="3"/>
    <x v="3"/>
    <x v="2"/>
    <n v="3"/>
    <x v="0"/>
    <n v="71"/>
    <x v="0"/>
    <n v="1"/>
    <x v="1"/>
    <n v="3"/>
    <x v="2"/>
    <x v="483"/>
    <n v="22653"/>
    <n v="1"/>
    <s v="Y"/>
    <x v="1"/>
    <n v="20"/>
    <n v="4"/>
    <n v="3"/>
    <n v="80"/>
    <n v="1"/>
    <n v="1"/>
    <n v="2"/>
    <n v="3"/>
    <n v="1"/>
    <n v="0"/>
    <n v="0"/>
    <n v="0"/>
  </r>
  <r>
    <n v="53"/>
    <x v="1"/>
    <x v="1"/>
    <n v="0"/>
    <x v="0"/>
    <n v="238"/>
    <x v="0"/>
    <x v="0"/>
    <n v="1"/>
    <x v="1"/>
    <x v="2"/>
    <n v="4"/>
    <x v="0"/>
    <n v="34"/>
    <x v="0"/>
    <n v="2"/>
    <x v="0"/>
    <n v="1"/>
    <x v="0"/>
    <x v="484"/>
    <n v="7507"/>
    <n v="7"/>
    <s v="Y"/>
    <x v="1"/>
    <n v="20"/>
    <n v="4"/>
    <n v="4"/>
    <n v="80"/>
    <n v="0"/>
    <n v="18"/>
    <n v="2"/>
    <n v="4"/>
    <n v="14"/>
    <n v="7"/>
    <n v="8"/>
    <n v="10"/>
  </r>
  <r>
    <n v="34"/>
    <x v="2"/>
    <x v="1"/>
    <n v="0"/>
    <x v="0"/>
    <n v="1397"/>
    <x v="1"/>
    <x v="0"/>
    <n v="5"/>
    <x v="4"/>
    <x v="0"/>
    <n v="2"/>
    <x v="1"/>
    <n v="42"/>
    <x v="0"/>
    <n v="1"/>
    <x v="1"/>
    <n v="4"/>
    <x v="1"/>
    <x v="485"/>
    <n v="7660"/>
    <n v="1"/>
    <s v="Y"/>
    <x v="1"/>
    <n v="12"/>
    <n v="3"/>
    <n v="4"/>
    <n v="80"/>
    <n v="1"/>
    <n v="10"/>
    <n v="4"/>
    <n v="2"/>
    <n v="10"/>
    <n v="9"/>
    <n v="8"/>
    <n v="8"/>
  </r>
  <r>
    <n v="45"/>
    <x v="1"/>
    <x v="0"/>
    <n v="1"/>
    <x v="1"/>
    <n v="306"/>
    <x v="0"/>
    <x v="9"/>
    <n v="4"/>
    <x v="2"/>
    <x v="0"/>
    <n v="1"/>
    <x v="0"/>
    <n v="100"/>
    <x v="0"/>
    <n v="2"/>
    <x v="0"/>
    <n v="1"/>
    <x v="1"/>
    <x v="486"/>
    <n v="5630"/>
    <n v="2"/>
    <s v="Y"/>
    <x v="1"/>
    <n v="14"/>
    <n v="3"/>
    <n v="4"/>
    <n v="80"/>
    <n v="2"/>
    <n v="5"/>
    <n v="4"/>
    <n v="3"/>
    <n v="1"/>
    <n v="1"/>
    <n v="0"/>
    <n v="0"/>
  </r>
  <r>
    <n v="26"/>
    <x v="2"/>
    <x v="1"/>
    <n v="0"/>
    <x v="0"/>
    <n v="991"/>
    <x v="1"/>
    <x v="16"/>
    <n v="3"/>
    <x v="3"/>
    <x v="0"/>
    <n v="3"/>
    <x v="0"/>
    <n v="71"/>
    <x v="0"/>
    <n v="1"/>
    <x v="2"/>
    <n v="4"/>
    <x v="1"/>
    <x v="487"/>
    <n v="17759"/>
    <n v="1"/>
    <s v="Y"/>
    <x v="0"/>
    <n v="13"/>
    <n v="3"/>
    <n v="3"/>
    <n v="80"/>
    <n v="1"/>
    <n v="3"/>
    <n v="2"/>
    <n v="3"/>
    <n v="3"/>
    <n v="2"/>
    <n v="0"/>
    <n v="2"/>
  </r>
  <r>
    <n v="37"/>
    <x v="0"/>
    <x v="1"/>
    <n v="0"/>
    <x v="0"/>
    <n v="482"/>
    <x v="1"/>
    <x v="3"/>
    <n v="3"/>
    <x v="3"/>
    <x v="1"/>
    <n v="3"/>
    <x v="1"/>
    <n v="36"/>
    <x v="0"/>
    <n v="3"/>
    <x v="3"/>
    <n v="3"/>
    <x v="1"/>
    <x v="488"/>
    <n v="9606"/>
    <n v="1"/>
    <s v="Y"/>
    <x v="1"/>
    <n v="15"/>
    <n v="3"/>
    <n v="3"/>
    <n v="80"/>
    <n v="1"/>
    <n v="10"/>
    <n v="2"/>
    <n v="3"/>
    <n v="10"/>
    <n v="7"/>
    <n v="7"/>
    <n v="8"/>
  </r>
  <r>
    <n v="29"/>
    <x v="2"/>
    <x v="1"/>
    <n v="0"/>
    <x v="0"/>
    <n v="1176"/>
    <x v="0"/>
    <x v="3"/>
    <n v="2"/>
    <x v="0"/>
    <x v="2"/>
    <n v="2"/>
    <x v="0"/>
    <n v="62"/>
    <x v="0"/>
    <n v="2"/>
    <x v="0"/>
    <n v="3"/>
    <x v="1"/>
    <x v="489"/>
    <n v="3487"/>
    <n v="1"/>
    <s v="Y"/>
    <x v="1"/>
    <n v="14"/>
    <n v="3"/>
    <n v="1"/>
    <n v="80"/>
    <n v="1"/>
    <n v="6"/>
    <n v="5"/>
    <n v="2"/>
    <n v="6"/>
    <n v="0"/>
    <n v="1"/>
    <n v="2"/>
  </r>
  <r>
    <n v="35"/>
    <x v="0"/>
    <x v="1"/>
    <n v="0"/>
    <x v="0"/>
    <n v="1017"/>
    <x v="1"/>
    <x v="16"/>
    <n v="4"/>
    <x v="2"/>
    <x v="0"/>
    <n v="2"/>
    <x v="1"/>
    <n v="82"/>
    <x v="3"/>
    <n v="2"/>
    <x v="1"/>
    <n v="4"/>
    <x v="0"/>
    <x v="490"/>
    <n v="19368"/>
    <n v="1"/>
    <s v="Y"/>
    <x v="1"/>
    <n v="13"/>
    <n v="3"/>
    <n v="2"/>
    <n v="80"/>
    <n v="0"/>
    <n v="17"/>
    <n v="3"/>
    <n v="3"/>
    <n v="17"/>
    <n v="11"/>
    <n v="11"/>
    <n v="8"/>
  </r>
  <r>
    <n v="33"/>
    <x v="2"/>
    <x v="1"/>
    <n v="0"/>
    <x v="1"/>
    <n v="1296"/>
    <x v="1"/>
    <x v="16"/>
    <n v="3"/>
    <x v="3"/>
    <x v="0"/>
    <n v="3"/>
    <x v="1"/>
    <n v="30"/>
    <x v="0"/>
    <n v="2"/>
    <x v="4"/>
    <n v="4"/>
    <x v="2"/>
    <x v="491"/>
    <n v="5335"/>
    <n v="3"/>
    <s v="Y"/>
    <x v="1"/>
    <n v="23"/>
    <n v="4"/>
    <n v="3"/>
    <n v="80"/>
    <n v="1"/>
    <n v="15"/>
    <n v="2"/>
    <n v="1"/>
    <n v="13"/>
    <n v="11"/>
    <n v="4"/>
    <n v="7"/>
  </r>
  <r>
    <n v="54"/>
    <x v="1"/>
    <x v="1"/>
    <n v="0"/>
    <x v="0"/>
    <n v="397"/>
    <x v="2"/>
    <x v="10"/>
    <n v="4"/>
    <x v="2"/>
    <x v="2"/>
    <n v="3"/>
    <x v="1"/>
    <n v="88"/>
    <x v="0"/>
    <n v="3"/>
    <x v="8"/>
    <n v="2"/>
    <x v="1"/>
    <x v="492"/>
    <n v="6729"/>
    <n v="2"/>
    <s v="Y"/>
    <x v="1"/>
    <n v="15"/>
    <n v="3"/>
    <n v="3"/>
    <n v="80"/>
    <n v="1"/>
    <n v="16"/>
    <n v="1"/>
    <n v="4"/>
    <n v="9"/>
    <n v="7"/>
    <n v="7"/>
    <n v="1"/>
  </r>
  <r>
    <n v="36"/>
    <x v="0"/>
    <x v="1"/>
    <n v="0"/>
    <x v="0"/>
    <n v="913"/>
    <x v="1"/>
    <x v="14"/>
    <n v="2"/>
    <x v="0"/>
    <x v="2"/>
    <n v="2"/>
    <x v="1"/>
    <n v="48"/>
    <x v="1"/>
    <n v="2"/>
    <x v="3"/>
    <n v="2"/>
    <x v="2"/>
    <x v="493"/>
    <n v="13934"/>
    <n v="2"/>
    <s v="Y"/>
    <x v="0"/>
    <n v="11"/>
    <n v="3"/>
    <n v="3"/>
    <n v="80"/>
    <n v="1"/>
    <n v="13"/>
    <n v="2"/>
    <n v="3"/>
    <n v="3"/>
    <n v="2"/>
    <n v="0"/>
    <n v="2"/>
  </r>
  <r>
    <n v="27"/>
    <x v="2"/>
    <x v="1"/>
    <n v="0"/>
    <x v="0"/>
    <n v="1115"/>
    <x v="1"/>
    <x v="3"/>
    <n v="4"/>
    <x v="2"/>
    <x v="2"/>
    <n v="1"/>
    <x v="1"/>
    <n v="54"/>
    <x v="1"/>
    <n v="1"/>
    <x v="1"/>
    <n v="4"/>
    <x v="0"/>
    <x v="494"/>
    <n v="15174"/>
    <n v="0"/>
    <s v="Y"/>
    <x v="1"/>
    <n v="13"/>
    <n v="3"/>
    <n v="4"/>
    <n v="80"/>
    <n v="0"/>
    <n v="5"/>
    <n v="0"/>
    <n v="3"/>
    <n v="4"/>
    <n v="2"/>
    <n v="1"/>
    <n v="1"/>
  </r>
  <r>
    <n v="20"/>
    <x v="4"/>
    <x v="0"/>
    <n v="1"/>
    <x v="0"/>
    <n v="1362"/>
    <x v="1"/>
    <x v="17"/>
    <n v="1"/>
    <x v="1"/>
    <x v="2"/>
    <n v="4"/>
    <x v="1"/>
    <n v="32"/>
    <x v="0"/>
    <n v="1"/>
    <x v="1"/>
    <n v="3"/>
    <x v="0"/>
    <x v="495"/>
    <n v="26999"/>
    <n v="1"/>
    <s v="Y"/>
    <x v="0"/>
    <n v="11"/>
    <n v="3"/>
    <n v="4"/>
    <n v="80"/>
    <n v="0"/>
    <n v="1"/>
    <n v="5"/>
    <n v="3"/>
    <n v="1"/>
    <n v="0"/>
    <n v="1"/>
    <n v="1"/>
  </r>
  <r>
    <n v="33"/>
    <x v="2"/>
    <x v="0"/>
    <n v="1"/>
    <x v="1"/>
    <n v="1076"/>
    <x v="1"/>
    <x v="3"/>
    <n v="3"/>
    <x v="3"/>
    <x v="0"/>
    <n v="1"/>
    <x v="1"/>
    <n v="70"/>
    <x v="0"/>
    <n v="1"/>
    <x v="1"/>
    <n v="1"/>
    <x v="0"/>
    <x v="496"/>
    <n v="3164"/>
    <n v="1"/>
    <s v="Y"/>
    <x v="0"/>
    <n v="11"/>
    <n v="3"/>
    <n v="1"/>
    <n v="80"/>
    <n v="0"/>
    <n v="10"/>
    <n v="3"/>
    <n v="3"/>
    <n v="10"/>
    <n v="8"/>
    <n v="9"/>
    <n v="7"/>
  </r>
  <r>
    <n v="35"/>
    <x v="0"/>
    <x v="1"/>
    <n v="0"/>
    <x v="2"/>
    <n v="727"/>
    <x v="1"/>
    <x v="3"/>
    <n v="3"/>
    <x v="3"/>
    <x v="0"/>
    <n v="3"/>
    <x v="1"/>
    <n v="41"/>
    <x v="1"/>
    <n v="1"/>
    <x v="2"/>
    <n v="3"/>
    <x v="1"/>
    <x v="497"/>
    <n v="16900"/>
    <n v="1"/>
    <s v="Y"/>
    <x v="1"/>
    <n v="18"/>
    <n v="3"/>
    <n v="3"/>
    <n v="80"/>
    <n v="2"/>
    <n v="1"/>
    <n v="3"/>
    <n v="3"/>
    <n v="1"/>
    <n v="0"/>
    <n v="0"/>
    <n v="0"/>
  </r>
  <r>
    <n v="23"/>
    <x v="4"/>
    <x v="1"/>
    <n v="0"/>
    <x v="0"/>
    <n v="885"/>
    <x v="1"/>
    <x v="18"/>
    <n v="3"/>
    <x v="3"/>
    <x v="2"/>
    <n v="1"/>
    <x v="1"/>
    <n v="58"/>
    <x v="2"/>
    <n v="1"/>
    <x v="1"/>
    <n v="1"/>
    <x v="1"/>
    <x v="498"/>
    <n v="8544"/>
    <n v="2"/>
    <s v="Y"/>
    <x v="1"/>
    <n v="16"/>
    <n v="3"/>
    <n v="1"/>
    <n v="80"/>
    <n v="1"/>
    <n v="5"/>
    <n v="3"/>
    <n v="4"/>
    <n v="3"/>
    <n v="2"/>
    <n v="0"/>
    <n v="2"/>
  </r>
  <r>
    <n v="25"/>
    <x v="2"/>
    <x v="1"/>
    <n v="0"/>
    <x v="0"/>
    <n v="810"/>
    <x v="0"/>
    <x v="1"/>
    <n v="3"/>
    <x v="3"/>
    <x v="0"/>
    <n v="4"/>
    <x v="1"/>
    <n v="57"/>
    <x v="2"/>
    <n v="2"/>
    <x v="0"/>
    <n v="2"/>
    <x v="1"/>
    <x v="499"/>
    <n v="15678"/>
    <n v="0"/>
    <s v="Y"/>
    <x v="1"/>
    <n v="22"/>
    <n v="4"/>
    <n v="3"/>
    <n v="80"/>
    <n v="1"/>
    <n v="4"/>
    <n v="4"/>
    <n v="3"/>
    <n v="3"/>
    <n v="2"/>
    <n v="1"/>
    <n v="2"/>
  </r>
  <r>
    <n v="38"/>
    <x v="0"/>
    <x v="1"/>
    <n v="0"/>
    <x v="0"/>
    <n v="243"/>
    <x v="0"/>
    <x v="15"/>
    <n v="4"/>
    <x v="2"/>
    <x v="3"/>
    <n v="4"/>
    <x v="0"/>
    <n v="46"/>
    <x v="1"/>
    <n v="2"/>
    <x v="0"/>
    <n v="4"/>
    <x v="0"/>
    <x v="500"/>
    <n v="7791"/>
    <n v="0"/>
    <s v="Y"/>
    <x v="1"/>
    <n v="20"/>
    <n v="4"/>
    <n v="1"/>
    <n v="80"/>
    <n v="0"/>
    <n v="8"/>
    <n v="2"/>
    <n v="3"/>
    <n v="7"/>
    <n v="7"/>
    <n v="0"/>
    <n v="5"/>
  </r>
  <r>
    <n v="29"/>
    <x v="2"/>
    <x v="1"/>
    <n v="0"/>
    <x v="1"/>
    <n v="806"/>
    <x v="1"/>
    <x v="0"/>
    <n v="4"/>
    <x v="2"/>
    <x v="0"/>
    <n v="2"/>
    <x v="1"/>
    <n v="76"/>
    <x v="3"/>
    <n v="1"/>
    <x v="1"/>
    <n v="4"/>
    <x v="2"/>
    <x v="143"/>
    <n v="18959"/>
    <n v="1"/>
    <s v="Y"/>
    <x v="1"/>
    <n v="18"/>
    <n v="3"/>
    <n v="4"/>
    <n v="80"/>
    <n v="1"/>
    <n v="10"/>
    <n v="5"/>
    <n v="3"/>
    <n v="10"/>
    <n v="7"/>
    <n v="2"/>
    <n v="8"/>
  </r>
  <r>
    <n v="48"/>
    <x v="1"/>
    <x v="1"/>
    <n v="0"/>
    <x v="0"/>
    <n v="817"/>
    <x v="0"/>
    <x v="2"/>
    <n v="1"/>
    <x v="1"/>
    <x v="3"/>
    <n v="2"/>
    <x v="1"/>
    <n v="56"/>
    <x v="2"/>
    <n v="2"/>
    <x v="0"/>
    <n v="2"/>
    <x v="1"/>
    <x v="501"/>
    <n v="18597"/>
    <n v="3"/>
    <s v="Y"/>
    <x v="1"/>
    <n v="12"/>
    <n v="3"/>
    <n v="4"/>
    <n v="80"/>
    <n v="0"/>
    <n v="12"/>
    <n v="3"/>
    <n v="3"/>
    <n v="2"/>
    <n v="2"/>
    <n v="2"/>
    <n v="2"/>
  </r>
  <r>
    <n v="27"/>
    <x v="2"/>
    <x v="1"/>
    <n v="0"/>
    <x v="1"/>
    <n v="1410"/>
    <x v="0"/>
    <x v="3"/>
    <n v="1"/>
    <x v="1"/>
    <x v="2"/>
    <n v="4"/>
    <x v="0"/>
    <n v="71"/>
    <x v="2"/>
    <n v="2"/>
    <x v="0"/>
    <n v="4"/>
    <x v="2"/>
    <x v="502"/>
    <n v="16673"/>
    <n v="1"/>
    <s v="Y"/>
    <x v="0"/>
    <n v="20"/>
    <n v="4"/>
    <n v="2"/>
    <n v="80"/>
    <n v="2"/>
    <n v="6"/>
    <n v="3"/>
    <n v="3"/>
    <n v="6"/>
    <n v="5"/>
    <n v="0"/>
    <n v="4"/>
  </r>
  <r>
    <n v="37"/>
    <x v="0"/>
    <x v="1"/>
    <n v="0"/>
    <x v="0"/>
    <n v="1225"/>
    <x v="1"/>
    <x v="17"/>
    <n v="2"/>
    <x v="0"/>
    <x v="0"/>
    <n v="4"/>
    <x v="1"/>
    <n v="80"/>
    <x v="2"/>
    <n v="1"/>
    <x v="1"/>
    <n v="4"/>
    <x v="0"/>
    <x v="503"/>
    <n v="15232"/>
    <n v="3"/>
    <s v="Y"/>
    <x v="1"/>
    <n v="17"/>
    <n v="3"/>
    <n v="1"/>
    <n v="80"/>
    <n v="0"/>
    <n v="4"/>
    <n v="2"/>
    <n v="3"/>
    <n v="1"/>
    <n v="0"/>
    <n v="0"/>
    <n v="0"/>
  </r>
  <r>
    <n v="50"/>
    <x v="1"/>
    <x v="1"/>
    <n v="0"/>
    <x v="0"/>
    <n v="1207"/>
    <x v="1"/>
    <x v="26"/>
    <n v="1"/>
    <x v="1"/>
    <x v="2"/>
    <n v="4"/>
    <x v="1"/>
    <n v="74"/>
    <x v="2"/>
    <n v="1"/>
    <x v="2"/>
    <n v="3"/>
    <x v="1"/>
    <x v="504"/>
    <n v="3297"/>
    <n v="1"/>
    <s v="Y"/>
    <x v="0"/>
    <n v="11"/>
    <n v="3"/>
    <n v="3"/>
    <n v="80"/>
    <n v="3"/>
    <n v="20"/>
    <n v="3"/>
    <n v="3"/>
    <n v="20"/>
    <n v="8"/>
    <n v="3"/>
    <n v="8"/>
  </r>
  <r>
    <n v="34"/>
    <x v="2"/>
    <x v="1"/>
    <n v="0"/>
    <x v="0"/>
    <n v="1442"/>
    <x v="1"/>
    <x v="14"/>
    <n v="3"/>
    <x v="3"/>
    <x v="2"/>
    <n v="4"/>
    <x v="0"/>
    <n v="46"/>
    <x v="1"/>
    <n v="3"/>
    <x v="4"/>
    <n v="2"/>
    <x v="0"/>
    <x v="505"/>
    <n v="17654"/>
    <n v="1"/>
    <s v="Y"/>
    <x v="1"/>
    <n v="14"/>
    <n v="3"/>
    <n v="2"/>
    <n v="80"/>
    <n v="0"/>
    <n v="9"/>
    <n v="3"/>
    <n v="4"/>
    <n v="8"/>
    <n v="7"/>
    <n v="7"/>
    <n v="7"/>
  </r>
  <r>
    <n v="24"/>
    <x v="4"/>
    <x v="0"/>
    <n v="1"/>
    <x v="0"/>
    <n v="693"/>
    <x v="0"/>
    <x v="3"/>
    <n v="2"/>
    <x v="0"/>
    <x v="0"/>
    <n v="1"/>
    <x v="0"/>
    <n v="65"/>
    <x v="0"/>
    <n v="2"/>
    <x v="0"/>
    <n v="3"/>
    <x v="0"/>
    <x v="506"/>
    <n v="24785"/>
    <n v="9"/>
    <s v="Y"/>
    <x v="1"/>
    <n v="14"/>
    <n v="3"/>
    <n v="1"/>
    <n v="80"/>
    <n v="0"/>
    <n v="4"/>
    <n v="3"/>
    <n v="3"/>
    <n v="2"/>
    <n v="2"/>
    <n v="2"/>
    <n v="0"/>
  </r>
  <r>
    <n v="39"/>
    <x v="0"/>
    <x v="1"/>
    <n v="0"/>
    <x v="0"/>
    <n v="408"/>
    <x v="1"/>
    <x v="2"/>
    <n v="4"/>
    <x v="2"/>
    <x v="4"/>
    <n v="4"/>
    <x v="0"/>
    <n v="80"/>
    <x v="1"/>
    <n v="2"/>
    <x v="4"/>
    <n v="3"/>
    <x v="0"/>
    <x v="507"/>
    <n v="20978"/>
    <n v="1"/>
    <s v="Y"/>
    <x v="1"/>
    <n v="11"/>
    <n v="3"/>
    <n v="1"/>
    <n v="80"/>
    <n v="0"/>
    <n v="20"/>
    <n v="4"/>
    <n v="3"/>
    <n v="20"/>
    <n v="7"/>
    <n v="11"/>
    <n v="10"/>
  </r>
  <r>
    <n v="32"/>
    <x v="2"/>
    <x v="1"/>
    <n v="0"/>
    <x v="0"/>
    <n v="929"/>
    <x v="0"/>
    <x v="17"/>
    <n v="3"/>
    <x v="3"/>
    <x v="3"/>
    <n v="4"/>
    <x v="1"/>
    <n v="55"/>
    <x v="0"/>
    <n v="2"/>
    <x v="0"/>
    <n v="4"/>
    <x v="0"/>
    <x v="508"/>
    <n v="21703"/>
    <n v="1"/>
    <s v="Y"/>
    <x v="1"/>
    <n v="12"/>
    <n v="3"/>
    <n v="4"/>
    <n v="80"/>
    <n v="0"/>
    <n v="10"/>
    <n v="2"/>
    <n v="2"/>
    <n v="10"/>
    <n v="7"/>
    <n v="0"/>
    <n v="8"/>
  </r>
  <r>
    <n v="50"/>
    <x v="1"/>
    <x v="0"/>
    <n v="1"/>
    <x v="1"/>
    <n v="562"/>
    <x v="0"/>
    <x v="1"/>
    <n v="2"/>
    <x v="0"/>
    <x v="4"/>
    <n v="2"/>
    <x v="1"/>
    <n v="50"/>
    <x v="0"/>
    <n v="2"/>
    <x v="0"/>
    <n v="3"/>
    <x v="1"/>
    <x v="509"/>
    <n v="23452"/>
    <n v="3"/>
    <s v="Y"/>
    <x v="0"/>
    <n v="14"/>
    <n v="3"/>
    <n v="1"/>
    <n v="80"/>
    <n v="1"/>
    <n v="18"/>
    <n v="4"/>
    <n v="3"/>
    <n v="4"/>
    <n v="3"/>
    <n v="1"/>
    <n v="3"/>
  </r>
  <r>
    <n v="38"/>
    <x v="0"/>
    <x v="1"/>
    <n v="0"/>
    <x v="0"/>
    <n v="827"/>
    <x v="1"/>
    <x v="0"/>
    <n v="4"/>
    <x v="2"/>
    <x v="0"/>
    <n v="2"/>
    <x v="0"/>
    <n v="33"/>
    <x v="2"/>
    <n v="2"/>
    <x v="4"/>
    <n v="4"/>
    <x v="0"/>
    <x v="510"/>
    <n v="19383"/>
    <n v="0"/>
    <s v="Y"/>
    <x v="1"/>
    <n v="13"/>
    <n v="3"/>
    <n v="3"/>
    <n v="80"/>
    <n v="0"/>
    <n v="10"/>
    <n v="4"/>
    <n v="2"/>
    <n v="9"/>
    <n v="7"/>
    <n v="1"/>
    <n v="8"/>
  </r>
  <r>
    <n v="27"/>
    <x v="2"/>
    <x v="1"/>
    <n v="0"/>
    <x v="0"/>
    <n v="608"/>
    <x v="1"/>
    <x v="0"/>
    <n v="2"/>
    <x v="0"/>
    <x v="0"/>
    <n v="3"/>
    <x v="0"/>
    <n v="68"/>
    <x v="0"/>
    <n v="3"/>
    <x v="3"/>
    <n v="1"/>
    <x v="1"/>
    <x v="511"/>
    <n v="6009"/>
    <n v="1"/>
    <s v="Y"/>
    <x v="1"/>
    <n v="11"/>
    <n v="3"/>
    <n v="4"/>
    <n v="80"/>
    <n v="0"/>
    <n v="9"/>
    <n v="3"/>
    <n v="3"/>
    <n v="9"/>
    <n v="7"/>
    <n v="0"/>
    <n v="7"/>
  </r>
  <r>
    <n v="32"/>
    <x v="2"/>
    <x v="1"/>
    <n v="0"/>
    <x v="0"/>
    <n v="1018"/>
    <x v="1"/>
    <x v="3"/>
    <n v="2"/>
    <x v="0"/>
    <x v="0"/>
    <n v="3"/>
    <x v="0"/>
    <n v="39"/>
    <x v="0"/>
    <n v="3"/>
    <x v="7"/>
    <n v="4"/>
    <x v="0"/>
    <x v="512"/>
    <n v="19373"/>
    <n v="3"/>
    <s v="Y"/>
    <x v="1"/>
    <n v="15"/>
    <n v="3"/>
    <n v="4"/>
    <n v="80"/>
    <n v="0"/>
    <n v="10"/>
    <n v="6"/>
    <n v="3"/>
    <n v="7"/>
    <n v="7"/>
    <n v="7"/>
    <n v="7"/>
  </r>
  <r>
    <n v="47"/>
    <x v="1"/>
    <x v="1"/>
    <n v="0"/>
    <x v="0"/>
    <n v="703"/>
    <x v="0"/>
    <x v="24"/>
    <n v="4"/>
    <x v="2"/>
    <x v="3"/>
    <n v="4"/>
    <x v="1"/>
    <n v="42"/>
    <x v="0"/>
    <n v="2"/>
    <x v="0"/>
    <n v="1"/>
    <x v="0"/>
    <x v="513"/>
    <n v="11825"/>
    <n v="2"/>
    <s v="Y"/>
    <x v="1"/>
    <n v="12"/>
    <n v="3"/>
    <n v="4"/>
    <n v="80"/>
    <n v="0"/>
    <n v="20"/>
    <n v="2"/>
    <n v="3"/>
    <n v="7"/>
    <n v="7"/>
    <n v="1"/>
    <n v="7"/>
  </r>
  <r>
    <n v="40"/>
    <x v="0"/>
    <x v="1"/>
    <n v="0"/>
    <x v="1"/>
    <n v="580"/>
    <x v="0"/>
    <x v="12"/>
    <n v="4"/>
    <x v="2"/>
    <x v="0"/>
    <n v="4"/>
    <x v="1"/>
    <n v="48"/>
    <x v="1"/>
    <n v="3"/>
    <x v="0"/>
    <n v="1"/>
    <x v="1"/>
    <x v="514"/>
    <n v="23772"/>
    <n v="5"/>
    <s v="Y"/>
    <x v="0"/>
    <n v="21"/>
    <n v="4"/>
    <n v="3"/>
    <n v="80"/>
    <n v="1"/>
    <n v="20"/>
    <n v="2"/>
    <n v="3"/>
    <n v="18"/>
    <n v="13"/>
    <n v="1"/>
    <n v="12"/>
  </r>
  <r>
    <n v="53"/>
    <x v="1"/>
    <x v="1"/>
    <n v="0"/>
    <x v="0"/>
    <n v="970"/>
    <x v="1"/>
    <x v="15"/>
    <n v="3"/>
    <x v="3"/>
    <x v="0"/>
    <n v="3"/>
    <x v="1"/>
    <n v="59"/>
    <x v="2"/>
    <n v="4"/>
    <x v="7"/>
    <n v="3"/>
    <x v="1"/>
    <x v="515"/>
    <n v="13514"/>
    <n v="3"/>
    <s v="Y"/>
    <x v="1"/>
    <n v="19"/>
    <n v="3"/>
    <n v="3"/>
    <n v="80"/>
    <n v="0"/>
    <n v="32"/>
    <n v="3"/>
    <n v="3"/>
    <n v="5"/>
    <n v="1"/>
    <n v="1"/>
    <n v="3"/>
  </r>
  <r>
    <n v="41"/>
    <x v="0"/>
    <x v="1"/>
    <n v="0"/>
    <x v="0"/>
    <n v="427"/>
    <x v="2"/>
    <x v="17"/>
    <n v="4"/>
    <x v="2"/>
    <x v="5"/>
    <n v="2"/>
    <x v="1"/>
    <n v="73"/>
    <x v="1"/>
    <n v="5"/>
    <x v="5"/>
    <n v="4"/>
    <x v="2"/>
    <x v="516"/>
    <n v="8861"/>
    <n v="3"/>
    <s v="Y"/>
    <x v="1"/>
    <n v="15"/>
    <n v="3"/>
    <n v="2"/>
    <n v="80"/>
    <n v="3"/>
    <n v="23"/>
    <n v="2"/>
    <n v="2"/>
    <n v="21"/>
    <n v="6"/>
    <n v="12"/>
    <n v="6"/>
  </r>
  <r>
    <n v="60"/>
    <x v="3"/>
    <x v="1"/>
    <n v="0"/>
    <x v="0"/>
    <n v="1179"/>
    <x v="0"/>
    <x v="7"/>
    <n v="4"/>
    <x v="2"/>
    <x v="3"/>
    <n v="1"/>
    <x v="1"/>
    <n v="84"/>
    <x v="0"/>
    <n v="2"/>
    <x v="0"/>
    <n v="1"/>
    <x v="0"/>
    <x v="517"/>
    <n v="11924"/>
    <n v="8"/>
    <s v="Y"/>
    <x v="1"/>
    <n v="14"/>
    <n v="3"/>
    <n v="4"/>
    <n v="80"/>
    <n v="0"/>
    <n v="10"/>
    <n v="1"/>
    <n v="3"/>
    <n v="2"/>
    <n v="2"/>
    <n v="2"/>
    <n v="2"/>
  </r>
  <r>
    <n v="27"/>
    <x v="2"/>
    <x v="1"/>
    <n v="0"/>
    <x v="1"/>
    <n v="294"/>
    <x v="1"/>
    <x v="17"/>
    <n v="2"/>
    <x v="0"/>
    <x v="0"/>
    <n v="4"/>
    <x v="1"/>
    <n v="32"/>
    <x v="0"/>
    <n v="3"/>
    <x v="3"/>
    <n v="1"/>
    <x v="2"/>
    <x v="518"/>
    <n v="4809"/>
    <n v="1"/>
    <s v="Y"/>
    <x v="1"/>
    <n v="21"/>
    <n v="4"/>
    <n v="3"/>
    <n v="80"/>
    <n v="2"/>
    <n v="9"/>
    <n v="4"/>
    <n v="2"/>
    <n v="9"/>
    <n v="7"/>
    <n v="1"/>
    <n v="7"/>
  </r>
  <r>
    <n v="41"/>
    <x v="0"/>
    <x v="1"/>
    <n v="0"/>
    <x v="0"/>
    <n v="314"/>
    <x v="2"/>
    <x v="0"/>
    <n v="3"/>
    <x v="3"/>
    <x v="5"/>
    <n v="4"/>
    <x v="1"/>
    <n v="59"/>
    <x v="1"/>
    <n v="5"/>
    <x v="5"/>
    <n v="3"/>
    <x v="1"/>
    <x v="519"/>
    <n v="19562"/>
    <n v="1"/>
    <s v="Y"/>
    <x v="1"/>
    <n v="12"/>
    <n v="3"/>
    <n v="2"/>
    <n v="80"/>
    <n v="1"/>
    <n v="22"/>
    <n v="3"/>
    <n v="3"/>
    <n v="22"/>
    <n v="7"/>
    <n v="2"/>
    <n v="10"/>
  </r>
  <r>
    <n v="50"/>
    <x v="1"/>
    <x v="1"/>
    <n v="0"/>
    <x v="0"/>
    <n v="316"/>
    <x v="0"/>
    <x v="1"/>
    <n v="4"/>
    <x v="2"/>
    <x v="3"/>
    <n v="4"/>
    <x v="1"/>
    <n v="54"/>
    <x v="0"/>
    <n v="1"/>
    <x v="6"/>
    <n v="2"/>
    <x v="1"/>
    <x v="520"/>
    <n v="9983"/>
    <n v="7"/>
    <s v="Y"/>
    <x v="1"/>
    <n v="15"/>
    <n v="3"/>
    <n v="4"/>
    <n v="80"/>
    <n v="1"/>
    <n v="4"/>
    <n v="2"/>
    <n v="3"/>
    <n v="2"/>
    <n v="2"/>
    <n v="2"/>
    <n v="2"/>
  </r>
  <r>
    <n v="28"/>
    <x v="2"/>
    <x v="0"/>
    <n v="1"/>
    <x v="0"/>
    <n v="654"/>
    <x v="1"/>
    <x v="0"/>
    <n v="2"/>
    <x v="0"/>
    <x v="0"/>
    <n v="1"/>
    <x v="0"/>
    <n v="67"/>
    <x v="3"/>
    <n v="1"/>
    <x v="1"/>
    <n v="2"/>
    <x v="0"/>
    <x v="521"/>
    <n v="3872"/>
    <n v="7"/>
    <s v="Y"/>
    <x v="0"/>
    <n v="13"/>
    <n v="3"/>
    <n v="4"/>
    <n v="80"/>
    <n v="0"/>
    <n v="10"/>
    <n v="4"/>
    <n v="3"/>
    <n v="7"/>
    <n v="7"/>
    <n v="3"/>
    <n v="7"/>
  </r>
  <r>
    <n v="36"/>
    <x v="0"/>
    <x v="1"/>
    <n v="0"/>
    <x v="2"/>
    <n v="427"/>
    <x v="1"/>
    <x v="1"/>
    <n v="3"/>
    <x v="3"/>
    <x v="0"/>
    <n v="1"/>
    <x v="0"/>
    <n v="63"/>
    <x v="2"/>
    <n v="3"/>
    <x v="7"/>
    <n v="1"/>
    <x v="1"/>
    <x v="522"/>
    <n v="20335"/>
    <n v="9"/>
    <s v="Y"/>
    <x v="1"/>
    <n v="14"/>
    <n v="3"/>
    <n v="1"/>
    <n v="80"/>
    <n v="1"/>
    <n v="10"/>
    <n v="2"/>
    <n v="3"/>
    <n v="8"/>
    <n v="7"/>
    <n v="0"/>
    <n v="5"/>
  </r>
  <r>
    <n v="38"/>
    <x v="0"/>
    <x v="1"/>
    <n v="0"/>
    <x v="0"/>
    <n v="168"/>
    <x v="1"/>
    <x v="0"/>
    <n v="3"/>
    <x v="3"/>
    <x v="0"/>
    <n v="3"/>
    <x v="0"/>
    <n v="81"/>
    <x v="0"/>
    <n v="3"/>
    <x v="3"/>
    <n v="3"/>
    <x v="0"/>
    <x v="523"/>
    <n v="15397"/>
    <n v="4"/>
    <s v="Y"/>
    <x v="0"/>
    <n v="14"/>
    <n v="3"/>
    <n v="4"/>
    <n v="80"/>
    <n v="0"/>
    <n v="10"/>
    <n v="4"/>
    <n v="4"/>
    <n v="1"/>
    <n v="0"/>
    <n v="0"/>
    <n v="0"/>
  </r>
  <r>
    <n v="44"/>
    <x v="0"/>
    <x v="1"/>
    <n v="0"/>
    <x v="2"/>
    <n v="381"/>
    <x v="1"/>
    <x v="4"/>
    <n v="3"/>
    <x v="3"/>
    <x v="2"/>
    <n v="1"/>
    <x v="1"/>
    <n v="49"/>
    <x v="3"/>
    <n v="1"/>
    <x v="2"/>
    <n v="3"/>
    <x v="0"/>
    <x v="524"/>
    <n v="2104"/>
    <n v="2"/>
    <s v="Y"/>
    <x v="1"/>
    <n v="14"/>
    <n v="3"/>
    <n v="3"/>
    <n v="80"/>
    <n v="0"/>
    <n v="9"/>
    <n v="5"/>
    <n v="3"/>
    <n v="5"/>
    <n v="2"/>
    <n v="1"/>
    <n v="4"/>
  </r>
  <r>
    <n v="47"/>
    <x v="1"/>
    <x v="1"/>
    <n v="0"/>
    <x v="1"/>
    <n v="217"/>
    <x v="0"/>
    <x v="3"/>
    <n v="3"/>
    <x v="3"/>
    <x v="2"/>
    <n v="4"/>
    <x v="0"/>
    <n v="49"/>
    <x v="0"/>
    <n v="4"/>
    <x v="0"/>
    <n v="3"/>
    <x v="2"/>
    <x v="525"/>
    <n v="10225"/>
    <n v="9"/>
    <s v="Y"/>
    <x v="0"/>
    <n v="12"/>
    <n v="3"/>
    <n v="4"/>
    <n v="80"/>
    <n v="2"/>
    <n v="28"/>
    <n v="2"/>
    <n v="2"/>
    <n v="22"/>
    <n v="2"/>
    <n v="11"/>
    <n v="13"/>
  </r>
  <r>
    <n v="30"/>
    <x v="2"/>
    <x v="1"/>
    <n v="0"/>
    <x v="0"/>
    <n v="501"/>
    <x v="0"/>
    <x v="6"/>
    <n v="5"/>
    <x v="4"/>
    <x v="3"/>
    <n v="3"/>
    <x v="1"/>
    <n v="99"/>
    <x v="0"/>
    <n v="2"/>
    <x v="0"/>
    <n v="4"/>
    <x v="2"/>
    <x v="367"/>
    <n v="25275"/>
    <n v="7"/>
    <s v="Y"/>
    <x v="1"/>
    <n v="23"/>
    <n v="4"/>
    <n v="4"/>
    <n v="80"/>
    <n v="1"/>
    <n v="10"/>
    <n v="2"/>
    <n v="2"/>
    <n v="8"/>
    <n v="7"/>
    <n v="7"/>
    <n v="7"/>
  </r>
  <r>
    <n v="29"/>
    <x v="2"/>
    <x v="1"/>
    <n v="0"/>
    <x v="0"/>
    <n v="1396"/>
    <x v="0"/>
    <x v="17"/>
    <n v="3"/>
    <x v="3"/>
    <x v="0"/>
    <n v="3"/>
    <x v="1"/>
    <n v="99"/>
    <x v="0"/>
    <n v="1"/>
    <x v="6"/>
    <n v="3"/>
    <x v="0"/>
    <x v="526"/>
    <n v="2755"/>
    <n v="1"/>
    <s v="Y"/>
    <x v="1"/>
    <n v="11"/>
    <n v="3"/>
    <n v="3"/>
    <n v="80"/>
    <n v="0"/>
    <n v="1"/>
    <n v="6"/>
    <n v="3"/>
    <n v="1"/>
    <n v="0"/>
    <n v="0"/>
    <n v="0"/>
  </r>
  <r>
    <n v="42"/>
    <x v="0"/>
    <x v="0"/>
    <n v="1"/>
    <x v="1"/>
    <n v="933"/>
    <x v="1"/>
    <x v="10"/>
    <n v="3"/>
    <x v="3"/>
    <x v="2"/>
    <n v="3"/>
    <x v="1"/>
    <n v="57"/>
    <x v="2"/>
    <n v="1"/>
    <x v="1"/>
    <n v="3"/>
    <x v="2"/>
    <x v="527"/>
    <n v="20366"/>
    <n v="6"/>
    <s v="Y"/>
    <x v="0"/>
    <n v="12"/>
    <n v="3"/>
    <n v="4"/>
    <n v="80"/>
    <n v="0"/>
    <n v="7"/>
    <n v="2"/>
    <n v="3"/>
    <n v="2"/>
    <n v="2"/>
    <n v="2"/>
    <n v="2"/>
  </r>
  <r>
    <n v="43"/>
    <x v="0"/>
    <x v="1"/>
    <n v="0"/>
    <x v="1"/>
    <n v="775"/>
    <x v="0"/>
    <x v="8"/>
    <n v="3"/>
    <x v="3"/>
    <x v="0"/>
    <n v="4"/>
    <x v="1"/>
    <n v="47"/>
    <x v="1"/>
    <n v="2"/>
    <x v="0"/>
    <n v="4"/>
    <x v="1"/>
    <x v="197"/>
    <n v="23683"/>
    <n v="3"/>
    <s v="Y"/>
    <x v="1"/>
    <n v="18"/>
    <n v="3"/>
    <n v="3"/>
    <n v="80"/>
    <n v="1"/>
    <n v="7"/>
    <n v="5"/>
    <n v="3"/>
    <n v="2"/>
    <n v="2"/>
    <n v="2"/>
    <n v="2"/>
  </r>
  <r>
    <n v="34"/>
    <x v="2"/>
    <x v="1"/>
    <n v="0"/>
    <x v="0"/>
    <n v="970"/>
    <x v="1"/>
    <x v="1"/>
    <n v="2"/>
    <x v="0"/>
    <x v="2"/>
    <n v="2"/>
    <x v="0"/>
    <n v="96"/>
    <x v="0"/>
    <n v="2"/>
    <x v="4"/>
    <n v="3"/>
    <x v="0"/>
    <x v="528"/>
    <n v="7360"/>
    <n v="3"/>
    <s v="Y"/>
    <x v="1"/>
    <n v="11"/>
    <n v="3"/>
    <n v="4"/>
    <n v="80"/>
    <n v="0"/>
    <n v="10"/>
    <n v="2"/>
    <n v="3"/>
    <n v="5"/>
    <n v="1"/>
    <n v="4"/>
    <n v="3"/>
  </r>
  <r>
    <n v="23"/>
    <x v="4"/>
    <x v="1"/>
    <n v="0"/>
    <x v="0"/>
    <n v="650"/>
    <x v="1"/>
    <x v="14"/>
    <n v="1"/>
    <x v="1"/>
    <x v="2"/>
    <n v="2"/>
    <x v="1"/>
    <n v="37"/>
    <x v="0"/>
    <n v="1"/>
    <x v="2"/>
    <n v="1"/>
    <x v="1"/>
    <x v="172"/>
    <n v="4344"/>
    <n v="1"/>
    <s v="Y"/>
    <x v="1"/>
    <n v="14"/>
    <n v="3"/>
    <n v="4"/>
    <n v="80"/>
    <n v="1"/>
    <n v="5"/>
    <n v="2"/>
    <n v="4"/>
    <n v="4"/>
    <n v="3"/>
    <n v="0"/>
    <n v="2"/>
  </r>
  <r>
    <n v="39"/>
    <x v="0"/>
    <x v="1"/>
    <n v="0"/>
    <x v="0"/>
    <n v="141"/>
    <x v="2"/>
    <x v="3"/>
    <n v="3"/>
    <x v="3"/>
    <x v="5"/>
    <n v="3"/>
    <x v="0"/>
    <n v="44"/>
    <x v="2"/>
    <n v="2"/>
    <x v="8"/>
    <n v="2"/>
    <x v="1"/>
    <x v="529"/>
    <n v="18767"/>
    <n v="9"/>
    <s v="Y"/>
    <x v="1"/>
    <n v="15"/>
    <n v="3"/>
    <n v="3"/>
    <n v="80"/>
    <n v="1"/>
    <n v="12"/>
    <n v="3"/>
    <n v="1"/>
    <n v="8"/>
    <n v="3"/>
    <n v="3"/>
    <n v="6"/>
  </r>
  <r>
    <n v="56"/>
    <x v="3"/>
    <x v="1"/>
    <n v="0"/>
    <x v="0"/>
    <n v="832"/>
    <x v="1"/>
    <x v="14"/>
    <n v="3"/>
    <x v="3"/>
    <x v="2"/>
    <n v="3"/>
    <x v="1"/>
    <n v="81"/>
    <x v="0"/>
    <n v="4"/>
    <x v="4"/>
    <n v="4"/>
    <x v="1"/>
    <x v="530"/>
    <n v="20420"/>
    <n v="7"/>
    <s v="Y"/>
    <x v="1"/>
    <n v="11"/>
    <n v="3"/>
    <n v="3"/>
    <n v="80"/>
    <n v="0"/>
    <n v="30"/>
    <n v="1"/>
    <n v="2"/>
    <n v="10"/>
    <n v="7"/>
    <n v="1"/>
    <n v="1"/>
  </r>
  <r>
    <n v="40"/>
    <x v="0"/>
    <x v="1"/>
    <n v="0"/>
    <x v="0"/>
    <n v="804"/>
    <x v="1"/>
    <x v="2"/>
    <n v="1"/>
    <x v="1"/>
    <x v="2"/>
    <n v="4"/>
    <x v="0"/>
    <n v="86"/>
    <x v="1"/>
    <n v="1"/>
    <x v="1"/>
    <n v="4"/>
    <x v="0"/>
    <x v="531"/>
    <n v="22929"/>
    <n v="0"/>
    <s v="Y"/>
    <x v="0"/>
    <n v="20"/>
    <n v="4"/>
    <n v="4"/>
    <n v="80"/>
    <n v="0"/>
    <n v="5"/>
    <n v="2"/>
    <n v="2"/>
    <n v="4"/>
    <n v="2"/>
    <n v="2"/>
    <n v="3"/>
  </r>
  <r>
    <n v="27"/>
    <x v="2"/>
    <x v="1"/>
    <n v="0"/>
    <x v="0"/>
    <n v="975"/>
    <x v="1"/>
    <x v="15"/>
    <n v="3"/>
    <x v="3"/>
    <x v="2"/>
    <n v="4"/>
    <x v="0"/>
    <n v="55"/>
    <x v="1"/>
    <n v="2"/>
    <x v="4"/>
    <n v="1"/>
    <x v="0"/>
    <x v="445"/>
    <n v="23398"/>
    <n v="8"/>
    <s v="Y"/>
    <x v="1"/>
    <n v="19"/>
    <n v="3"/>
    <n v="1"/>
    <n v="80"/>
    <n v="0"/>
    <n v="9"/>
    <n v="2"/>
    <n v="1"/>
    <n v="7"/>
    <n v="6"/>
    <n v="0"/>
    <n v="7"/>
  </r>
  <r>
    <n v="29"/>
    <x v="2"/>
    <x v="1"/>
    <n v="0"/>
    <x v="0"/>
    <n v="1090"/>
    <x v="0"/>
    <x v="17"/>
    <n v="3"/>
    <x v="3"/>
    <x v="3"/>
    <n v="4"/>
    <x v="1"/>
    <n v="83"/>
    <x v="0"/>
    <n v="1"/>
    <x v="6"/>
    <n v="2"/>
    <x v="2"/>
    <x v="532"/>
    <n v="17967"/>
    <n v="1"/>
    <s v="Y"/>
    <x v="1"/>
    <n v="14"/>
    <n v="3"/>
    <n v="4"/>
    <n v="80"/>
    <n v="2"/>
    <n v="2"/>
    <n v="2"/>
    <n v="3"/>
    <n v="2"/>
    <n v="2"/>
    <n v="2"/>
    <n v="2"/>
  </r>
  <r>
    <n v="53"/>
    <x v="1"/>
    <x v="1"/>
    <n v="0"/>
    <x v="0"/>
    <n v="346"/>
    <x v="1"/>
    <x v="16"/>
    <n v="3"/>
    <x v="3"/>
    <x v="0"/>
    <n v="4"/>
    <x v="1"/>
    <n v="86"/>
    <x v="0"/>
    <n v="2"/>
    <x v="2"/>
    <n v="4"/>
    <x v="0"/>
    <x v="533"/>
    <n v="10919"/>
    <n v="2"/>
    <s v="Y"/>
    <x v="1"/>
    <n v="17"/>
    <n v="3"/>
    <n v="4"/>
    <n v="80"/>
    <n v="0"/>
    <n v="19"/>
    <n v="4"/>
    <n v="3"/>
    <n v="2"/>
    <n v="2"/>
    <n v="2"/>
    <n v="2"/>
  </r>
  <r>
    <n v="35"/>
    <x v="0"/>
    <x v="1"/>
    <n v="0"/>
    <x v="2"/>
    <n v="1225"/>
    <x v="1"/>
    <x v="2"/>
    <n v="4"/>
    <x v="2"/>
    <x v="0"/>
    <n v="4"/>
    <x v="0"/>
    <n v="61"/>
    <x v="0"/>
    <n v="2"/>
    <x v="4"/>
    <n v="1"/>
    <x v="2"/>
    <x v="534"/>
    <n v="4761"/>
    <n v="2"/>
    <s v="Y"/>
    <x v="1"/>
    <n v="11"/>
    <n v="3"/>
    <n v="1"/>
    <n v="80"/>
    <n v="1"/>
    <n v="16"/>
    <n v="2"/>
    <n v="4"/>
    <n v="1"/>
    <n v="0"/>
    <n v="0"/>
    <n v="0"/>
  </r>
  <r>
    <n v="32"/>
    <x v="2"/>
    <x v="1"/>
    <n v="0"/>
    <x v="1"/>
    <n v="430"/>
    <x v="1"/>
    <x v="4"/>
    <n v="4"/>
    <x v="2"/>
    <x v="0"/>
    <n v="1"/>
    <x v="1"/>
    <n v="80"/>
    <x v="0"/>
    <n v="2"/>
    <x v="2"/>
    <n v="4"/>
    <x v="1"/>
    <x v="535"/>
    <n v="21146"/>
    <n v="1"/>
    <s v="Y"/>
    <x v="1"/>
    <n v="15"/>
    <n v="3"/>
    <n v="4"/>
    <n v="80"/>
    <n v="2"/>
    <n v="10"/>
    <n v="2"/>
    <n v="3"/>
    <n v="10"/>
    <n v="8"/>
    <n v="4"/>
    <n v="7"/>
  </r>
  <r>
    <n v="38"/>
    <x v="0"/>
    <x v="1"/>
    <n v="0"/>
    <x v="0"/>
    <n v="268"/>
    <x v="1"/>
    <x v="2"/>
    <n v="5"/>
    <x v="4"/>
    <x v="2"/>
    <n v="4"/>
    <x v="1"/>
    <n v="92"/>
    <x v="0"/>
    <n v="1"/>
    <x v="1"/>
    <n v="3"/>
    <x v="1"/>
    <x v="536"/>
    <n v="20471"/>
    <n v="6"/>
    <s v="Y"/>
    <x v="0"/>
    <n v="13"/>
    <n v="3"/>
    <n v="2"/>
    <n v="80"/>
    <n v="1"/>
    <n v="6"/>
    <n v="0"/>
    <n v="1"/>
    <n v="1"/>
    <n v="0"/>
    <n v="0"/>
    <n v="1"/>
  </r>
  <r>
    <n v="34"/>
    <x v="2"/>
    <x v="1"/>
    <n v="0"/>
    <x v="0"/>
    <n v="167"/>
    <x v="1"/>
    <x v="1"/>
    <n v="5"/>
    <x v="4"/>
    <x v="0"/>
    <n v="2"/>
    <x v="0"/>
    <n v="32"/>
    <x v="0"/>
    <n v="2"/>
    <x v="3"/>
    <n v="1"/>
    <x v="2"/>
    <x v="537"/>
    <n v="4187"/>
    <n v="3"/>
    <s v="Y"/>
    <x v="1"/>
    <n v="14"/>
    <n v="3"/>
    <n v="3"/>
    <n v="80"/>
    <n v="1"/>
    <n v="7"/>
    <n v="3"/>
    <n v="3"/>
    <n v="0"/>
    <n v="0"/>
    <n v="0"/>
    <n v="0"/>
  </r>
  <r>
    <n v="52"/>
    <x v="1"/>
    <x v="1"/>
    <n v="0"/>
    <x v="0"/>
    <n v="621"/>
    <x v="0"/>
    <x v="3"/>
    <n v="4"/>
    <x v="2"/>
    <x v="3"/>
    <n v="3"/>
    <x v="1"/>
    <n v="31"/>
    <x v="1"/>
    <n v="4"/>
    <x v="5"/>
    <n v="1"/>
    <x v="1"/>
    <x v="538"/>
    <n v="10084"/>
    <n v="1"/>
    <s v="Y"/>
    <x v="1"/>
    <n v="11"/>
    <n v="3"/>
    <n v="1"/>
    <n v="80"/>
    <n v="0"/>
    <n v="34"/>
    <n v="3"/>
    <n v="4"/>
    <n v="34"/>
    <n v="6"/>
    <n v="1"/>
    <n v="16"/>
  </r>
  <r>
    <n v="33"/>
    <x v="2"/>
    <x v="0"/>
    <n v="1"/>
    <x v="0"/>
    <n v="527"/>
    <x v="1"/>
    <x v="0"/>
    <n v="4"/>
    <x v="2"/>
    <x v="1"/>
    <n v="4"/>
    <x v="1"/>
    <n v="63"/>
    <x v="0"/>
    <n v="1"/>
    <x v="1"/>
    <n v="4"/>
    <x v="0"/>
    <x v="539"/>
    <n v="5207"/>
    <n v="1"/>
    <s v="Y"/>
    <x v="0"/>
    <n v="13"/>
    <n v="3"/>
    <n v="3"/>
    <n v="80"/>
    <n v="0"/>
    <n v="10"/>
    <n v="2"/>
    <n v="2"/>
    <n v="10"/>
    <n v="9"/>
    <n v="7"/>
    <n v="8"/>
  </r>
  <r>
    <n v="25"/>
    <x v="2"/>
    <x v="1"/>
    <n v="0"/>
    <x v="0"/>
    <n v="883"/>
    <x v="0"/>
    <x v="9"/>
    <n v="1"/>
    <x v="1"/>
    <x v="2"/>
    <n v="3"/>
    <x v="0"/>
    <n v="32"/>
    <x v="0"/>
    <n v="2"/>
    <x v="0"/>
    <n v="4"/>
    <x v="0"/>
    <x v="540"/>
    <n v="22807"/>
    <n v="1"/>
    <s v="Y"/>
    <x v="1"/>
    <n v="23"/>
    <n v="4"/>
    <n v="2"/>
    <n v="80"/>
    <n v="0"/>
    <n v="6"/>
    <n v="5"/>
    <n v="2"/>
    <n v="6"/>
    <n v="5"/>
    <n v="1"/>
    <n v="4"/>
  </r>
  <r>
    <n v="45"/>
    <x v="1"/>
    <x v="1"/>
    <n v="0"/>
    <x v="0"/>
    <n v="954"/>
    <x v="0"/>
    <x v="2"/>
    <n v="2"/>
    <x v="0"/>
    <x v="4"/>
    <n v="2"/>
    <x v="1"/>
    <n v="46"/>
    <x v="3"/>
    <n v="2"/>
    <x v="6"/>
    <n v="3"/>
    <x v="0"/>
    <x v="541"/>
    <n v="12388"/>
    <n v="0"/>
    <s v="Y"/>
    <x v="1"/>
    <n v="13"/>
    <n v="3"/>
    <n v="1"/>
    <n v="80"/>
    <n v="0"/>
    <n v="9"/>
    <n v="3"/>
    <n v="3"/>
    <n v="8"/>
    <n v="7"/>
    <n v="3"/>
    <n v="1"/>
  </r>
  <r>
    <n v="23"/>
    <x v="4"/>
    <x v="1"/>
    <n v="0"/>
    <x v="0"/>
    <n v="310"/>
    <x v="1"/>
    <x v="17"/>
    <n v="1"/>
    <x v="1"/>
    <x v="2"/>
    <n v="1"/>
    <x v="1"/>
    <n v="79"/>
    <x v="2"/>
    <n v="1"/>
    <x v="1"/>
    <n v="3"/>
    <x v="0"/>
    <x v="542"/>
    <n v="19630"/>
    <n v="1"/>
    <s v="Y"/>
    <x v="1"/>
    <n v="18"/>
    <n v="3"/>
    <n v="4"/>
    <n v="80"/>
    <n v="0"/>
    <n v="2"/>
    <n v="3"/>
    <n v="3"/>
    <n v="2"/>
    <n v="2"/>
    <n v="0"/>
    <n v="2"/>
  </r>
  <r>
    <n v="47"/>
    <x v="1"/>
    <x v="0"/>
    <n v="1"/>
    <x v="1"/>
    <n v="719"/>
    <x v="0"/>
    <x v="6"/>
    <n v="2"/>
    <x v="0"/>
    <x v="0"/>
    <n v="2"/>
    <x v="0"/>
    <n v="77"/>
    <x v="2"/>
    <n v="2"/>
    <x v="0"/>
    <n v="3"/>
    <x v="0"/>
    <x v="271"/>
    <n v="10339"/>
    <n v="4"/>
    <s v="Y"/>
    <x v="0"/>
    <n v="12"/>
    <n v="3"/>
    <n v="4"/>
    <n v="80"/>
    <n v="0"/>
    <n v="8"/>
    <n v="2"/>
    <n v="3"/>
    <n v="5"/>
    <n v="4"/>
    <n v="1"/>
    <n v="3"/>
  </r>
  <r>
    <n v="34"/>
    <x v="2"/>
    <x v="1"/>
    <n v="0"/>
    <x v="0"/>
    <n v="304"/>
    <x v="0"/>
    <x v="2"/>
    <n v="3"/>
    <x v="3"/>
    <x v="1"/>
    <n v="4"/>
    <x v="1"/>
    <n v="60"/>
    <x v="0"/>
    <n v="2"/>
    <x v="0"/>
    <n v="4"/>
    <x v="0"/>
    <x v="543"/>
    <n v="18686"/>
    <n v="1"/>
    <s v="Y"/>
    <x v="1"/>
    <n v="22"/>
    <n v="4"/>
    <n v="3"/>
    <n v="80"/>
    <n v="0"/>
    <n v="6"/>
    <n v="5"/>
    <n v="3"/>
    <n v="6"/>
    <n v="5"/>
    <n v="1"/>
    <n v="4"/>
  </r>
  <r>
    <n v="55"/>
    <x v="3"/>
    <x v="0"/>
    <n v="1"/>
    <x v="0"/>
    <n v="725"/>
    <x v="1"/>
    <x v="2"/>
    <n v="3"/>
    <x v="3"/>
    <x v="2"/>
    <n v="4"/>
    <x v="1"/>
    <n v="78"/>
    <x v="0"/>
    <n v="5"/>
    <x v="5"/>
    <n v="1"/>
    <x v="1"/>
    <x v="544"/>
    <n v="21199"/>
    <n v="5"/>
    <s v="Y"/>
    <x v="0"/>
    <n v="13"/>
    <n v="3"/>
    <n v="4"/>
    <n v="80"/>
    <n v="1"/>
    <n v="24"/>
    <n v="2"/>
    <n v="3"/>
    <n v="5"/>
    <n v="2"/>
    <n v="1"/>
    <n v="4"/>
  </r>
  <r>
    <n v="36"/>
    <x v="0"/>
    <x v="1"/>
    <n v="0"/>
    <x v="2"/>
    <n v="1434"/>
    <x v="0"/>
    <x v="1"/>
    <n v="4"/>
    <x v="2"/>
    <x v="0"/>
    <n v="1"/>
    <x v="1"/>
    <n v="76"/>
    <x v="1"/>
    <n v="3"/>
    <x v="0"/>
    <n v="1"/>
    <x v="0"/>
    <x v="545"/>
    <n v="14229"/>
    <n v="1"/>
    <s v="Y"/>
    <x v="1"/>
    <n v="15"/>
    <n v="3"/>
    <n v="2"/>
    <n v="80"/>
    <n v="0"/>
    <n v="10"/>
    <n v="1"/>
    <n v="3"/>
    <n v="10"/>
    <n v="7"/>
    <n v="0"/>
    <n v="9"/>
  </r>
  <r>
    <n v="52"/>
    <x v="1"/>
    <x v="1"/>
    <n v="0"/>
    <x v="2"/>
    <n v="715"/>
    <x v="1"/>
    <x v="10"/>
    <n v="4"/>
    <x v="2"/>
    <x v="2"/>
    <n v="4"/>
    <x v="1"/>
    <n v="41"/>
    <x v="0"/>
    <n v="1"/>
    <x v="1"/>
    <n v="4"/>
    <x v="1"/>
    <x v="546"/>
    <n v="26589"/>
    <n v="0"/>
    <s v="Y"/>
    <x v="1"/>
    <n v="18"/>
    <n v="3"/>
    <n v="1"/>
    <n v="80"/>
    <n v="1"/>
    <n v="5"/>
    <n v="3"/>
    <n v="3"/>
    <n v="4"/>
    <n v="3"/>
    <n v="1"/>
    <n v="2"/>
  </r>
  <r>
    <n v="26"/>
    <x v="2"/>
    <x v="1"/>
    <n v="0"/>
    <x v="1"/>
    <n v="575"/>
    <x v="1"/>
    <x v="0"/>
    <n v="2"/>
    <x v="0"/>
    <x v="0"/>
    <n v="1"/>
    <x v="0"/>
    <n v="71"/>
    <x v="3"/>
    <n v="1"/>
    <x v="2"/>
    <n v="4"/>
    <x v="2"/>
    <x v="547"/>
    <n v="5288"/>
    <n v="3"/>
    <s v="Y"/>
    <x v="1"/>
    <n v="14"/>
    <n v="3"/>
    <n v="1"/>
    <n v="80"/>
    <n v="1"/>
    <n v="5"/>
    <n v="2"/>
    <n v="3"/>
    <n v="2"/>
    <n v="2"/>
    <n v="2"/>
    <n v="0"/>
  </r>
  <r>
    <n v="29"/>
    <x v="2"/>
    <x v="1"/>
    <n v="0"/>
    <x v="0"/>
    <n v="657"/>
    <x v="1"/>
    <x v="6"/>
    <n v="3"/>
    <x v="3"/>
    <x v="2"/>
    <n v="2"/>
    <x v="0"/>
    <n v="66"/>
    <x v="0"/>
    <n v="2"/>
    <x v="4"/>
    <n v="3"/>
    <x v="1"/>
    <x v="548"/>
    <n v="25549"/>
    <n v="4"/>
    <s v="Y"/>
    <x v="1"/>
    <n v="12"/>
    <n v="3"/>
    <n v="1"/>
    <n v="80"/>
    <n v="1"/>
    <n v="11"/>
    <n v="3"/>
    <n v="2"/>
    <n v="8"/>
    <n v="7"/>
    <n v="1"/>
    <n v="1"/>
  </r>
  <r>
    <n v="26"/>
    <x v="2"/>
    <x v="0"/>
    <n v="1"/>
    <x v="0"/>
    <n v="1146"/>
    <x v="0"/>
    <x v="1"/>
    <n v="3"/>
    <x v="3"/>
    <x v="4"/>
    <n v="4"/>
    <x v="1"/>
    <n v="38"/>
    <x v="1"/>
    <n v="2"/>
    <x v="0"/>
    <n v="1"/>
    <x v="0"/>
    <x v="549"/>
    <n v="3064"/>
    <n v="6"/>
    <s v="Y"/>
    <x v="1"/>
    <n v="17"/>
    <n v="3"/>
    <n v="3"/>
    <n v="80"/>
    <n v="0"/>
    <n v="6"/>
    <n v="2"/>
    <n v="2"/>
    <n v="4"/>
    <n v="3"/>
    <n v="1"/>
    <n v="2"/>
  </r>
  <r>
    <n v="34"/>
    <x v="2"/>
    <x v="1"/>
    <n v="0"/>
    <x v="0"/>
    <n v="182"/>
    <x v="1"/>
    <x v="0"/>
    <n v="4"/>
    <x v="2"/>
    <x v="0"/>
    <n v="2"/>
    <x v="0"/>
    <n v="72"/>
    <x v="2"/>
    <n v="1"/>
    <x v="1"/>
    <n v="4"/>
    <x v="0"/>
    <x v="550"/>
    <n v="13551"/>
    <n v="2"/>
    <s v="Y"/>
    <x v="1"/>
    <n v="16"/>
    <n v="3"/>
    <n v="3"/>
    <n v="80"/>
    <n v="0"/>
    <n v="10"/>
    <n v="2"/>
    <n v="3"/>
    <n v="4"/>
    <n v="2"/>
    <n v="1"/>
    <n v="3"/>
  </r>
  <r>
    <n v="54"/>
    <x v="1"/>
    <x v="1"/>
    <n v="0"/>
    <x v="0"/>
    <n v="376"/>
    <x v="1"/>
    <x v="10"/>
    <n v="4"/>
    <x v="2"/>
    <x v="2"/>
    <n v="4"/>
    <x v="0"/>
    <n v="95"/>
    <x v="0"/>
    <n v="2"/>
    <x v="3"/>
    <n v="1"/>
    <x v="2"/>
    <x v="551"/>
    <n v="22670"/>
    <n v="9"/>
    <s v="Y"/>
    <x v="0"/>
    <n v="11"/>
    <n v="3"/>
    <n v="2"/>
    <n v="80"/>
    <n v="2"/>
    <n v="9"/>
    <n v="4"/>
    <n v="3"/>
    <n v="5"/>
    <n v="3"/>
    <n v="1"/>
    <n v="4"/>
  </r>
  <r>
    <n v="27"/>
    <x v="2"/>
    <x v="1"/>
    <n v="0"/>
    <x v="1"/>
    <n v="829"/>
    <x v="0"/>
    <x v="1"/>
    <n v="1"/>
    <x v="1"/>
    <x v="3"/>
    <n v="3"/>
    <x v="1"/>
    <n v="84"/>
    <x v="0"/>
    <n v="2"/>
    <x v="0"/>
    <n v="4"/>
    <x v="1"/>
    <x v="552"/>
    <n v="24008"/>
    <n v="0"/>
    <s v="Y"/>
    <x v="1"/>
    <n v="19"/>
    <n v="3"/>
    <n v="2"/>
    <n v="80"/>
    <n v="1"/>
    <n v="5"/>
    <n v="3"/>
    <n v="3"/>
    <n v="4"/>
    <n v="2"/>
    <n v="1"/>
    <n v="1"/>
  </r>
  <r>
    <n v="37"/>
    <x v="0"/>
    <x v="1"/>
    <n v="0"/>
    <x v="0"/>
    <n v="571"/>
    <x v="1"/>
    <x v="17"/>
    <n v="1"/>
    <x v="1"/>
    <x v="0"/>
    <n v="4"/>
    <x v="0"/>
    <n v="82"/>
    <x v="0"/>
    <n v="1"/>
    <x v="1"/>
    <n v="1"/>
    <x v="2"/>
    <x v="553"/>
    <n v="19905"/>
    <n v="0"/>
    <s v="Y"/>
    <x v="0"/>
    <n v="13"/>
    <n v="3"/>
    <n v="2"/>
    <n v="80"/>
    <n v="2"/>
    <n v="6"/>
    <n v="3"/>
    <n v="2"/>
    <n v="5"/>
    <n v="3"/>
    <n v="4"/>
    <n v="3"/>
  </r>
  <r>
    <n v="38"/>
    <x v="0"/>
    <x v="1"/>
    <n v="0"/>
    <x v="1"/>
    <n v="240"/>
    <x v="1"/>
    <x v="2"/>
    <n v="4"/>
    <x v="2"/>
    <x v="0"/>
    <n v="1"/>
    <x v="0"/>
    <n v="75"/>
    <x v="2"/>
    <n v="2"/>
    <x v="3"/>
    <n v="1"/>
    <x v="0"/>
    <x v="554"/>
    <n v="26085"/>
    <n v="6"/>
    <s v="Y"/>
    <x v="0"/>
    <n v="12"/>
    <n v="3"/>
    <n v="4"/>
    <n v="80"/>
    <n v="0"/>
    <n v="17"/>
    <n v="2"/>
    <n v="3"/>
    <n v="15"/>
    <n v="7"/>
    <n v="4"/>
    <n v="12"/>
  </r>
  <r>
    <n v="34"/>
    <x v="2"/>
    <x v="1"/>
    <n v="0"/>
    <x v="0"/>
    <n v="121"/>
    <x v="1"/>
    <x v="2"/>
    <n v="4"/>
    <x v="2"/>
    <x v="2"/>
    <n v="3"/>
    <x v="0"/>
    <n v="86"/>
    <x v="1"/>
    <n v="1"/>
    <x v="1"/>
    <n v="1"/>
    <x v="0"/>
    <x v="555"/>
    <n v="7530"/>
    <n v="1"/>
    <s v="Y"/>
    <x v="1"/>
    <n v="11"/>
    <n v="3"/>
    <n v="3"/>
    <n v="80"/>
    <n v="0"/>
    <n v="6"/>
    <n v="3"/>
    <n v="3"/>
    <n v="6"/>
    <n v="5"/>
    <n v="1"/>
    <n v="3"/>
  </r>
  <r>
    <n v="35"/>
    <x v="0"/>
    <x v="1"/>
    <n v="0"/>
    <x v="0"/>
    <n v="384"/>
    <x v="0"/>
    <x v="1"/>
    <n v="4"/>
    <x v="2"/>
    <x v="0"/>
    <n v="1"/>
    <x v="0"/>
    <n v="72"/>
    <x v="0"/>
    <n v="1"/>
    <x v="6"/>
    <n v="4"/>
    <x v="1"/>
    <x v="556"/>
    <n v="20317"/>
    <n v="1"/>
    <s v="Y"/>
    <x v="1"/>
    <n v="16"/>
    <n v="3"/>
    <n v="2"/>
    <n v="80"/>
    <n v="1"/>
    <n v="3"/>
    <n v="1"/>
    <n v="2"/>
    <n v="3"/>
    <n v="2"/>
    <n v="0"/>
    <n v="2"/>
  </r>
  <r>
    <n v="30"/>
    <x v="2"/>
    <x v="1"/>
    <n v="0"/>
    <x v="0"/>
    <n v="921"/>
    <x v="1"/>
    <x v="0"/>
    <n v="3"/>
    <x v="3"/>
    <x v="0"/>
    <n v="4"/>
    <x v="1"/>
    <n v="38"/>
    <x v="3"/>
    <n v="1"/>
    <x v="2"/>
    <n v="3"/>
    <x v="1"/>
    <x v="557"/>
    <n v="24375"/>
    <n v="3"/>
    <s v="Y"/>
    <x v="1"/>
    <n v="21"/>
    <n v="4"/>
    <n v="3"/>
    <n v="80"/>
    <n v="2"/>
    <n v="7"/>
    <n v="2"/>
    <n v="3"/>
    <n v="2"/>
    <n v="2"/>
    <n v="0"/>
    <n v="2"/>
  </r>
  <r>
    <n v="40"/>
    <x v="0"/>
    <x v="1"/>
    <n v="0"/>
    <x v="1"/>
    <n v="791"/>
    <x v="1"/>
    <x v="2"/>
    <n v="2"/>
    <x v="0"/>
    <x v="2"/>
    <n v="3"/>
    <x v="0"/>
    <n v="38"/>
    <x v="2"/>
    <n v="2"/>
    <x v="4"/>
    <n v="2"/>
    <x v="1"/>
    <x v="558"/>
    <n v="9931"/>
    <n v="1"/>
    <s v="Y"/>
    <x v="1"/>
    <n v="24"/>
    <n v="4"/>
    <n v="4"/>
    <n v="80"/>
    <n v="1"/>
    <n v="8"/>
    <n v="2"/>
    <n v="3"/>
    <n v="8"/>
    <n v="7"/>
    <n v="3"/>
    <n v="7"/>
  </r>
  <r>
    <n v="34"/>
    <x v="2"/>
    <x v="1"/>
    <n v="0"/>
    <x v="0"/>
    <n v="1111"/>
    <x v="0"/>
    <x v="1"/>
    <n v="2"/>
    <x v="0"/>
    <x v="0"/>
    <n v="3"/>
    <x v="0"/>
    <n v="93"/>
    <x v="0"/>
    <n v="2"/>
    <x v="0"/>
    <n v="1"/>
    <x v="1"/>
    <x v="559"/>
    <n v="13305"/>
    <n v="5"/>
    <s v="Y"/>
    <x v="1"/>
    <n v="17"/>
    <n v="3"/>
    <n v="2"/>
    <n v="80"/>
    <n v="1"/>
    <n v="6"/>
    <n v="1"/>
    <n v="3"/>
    <n v="3"/>
    <n v="2"/>
    <n v="1"/>
    <n v="2"/>
  </r>
  <r>
    <n v="42"/>
    <x v="0"/>
    <x v="1"/>
    <n v="0"/>
    <x v="1"/>
    <n v="570"/>
    <x v="1"/>
    <x v="1"/>
    <n v="3"/>
    <x v="3"/>
    <x v="0"/>
    <n v="2"/>
    <x v="1"/>
    <n v="66"/>
    <x v="0"/>
    <n v="5"/>
    <x v="5"/>
    <n v="4"/>
    <x v="2"/>
    <x v="560"/>
    <n v="16225"/>
    <n v="1"/>
    <s v="Y"/>
    <x v="1"/>
    <n v="13"/>
    <n v="3"/>
    <n v="2"/>
    <n v="80"/>
    <n v="1"/>
    <n v="24"/>
    <n v="4"/>
    <n v="2"/>
    <n v="24"/>
    <n v="7"/>
    <n v="14"/>
    <n v="9"/>
  </r>
  <r>
    <n v="23"/>
    <x v="4"/>
    <x v="0"/>
    <n v="1"/>
    <x v="0"/>
    <n v="1243"/>
    <x v="1"/>
    <x v="16"/>
    <n v="3"/>
    <x v="3"/>
    <x v="0"/>
    <n v="3"/>
    <x v="1"/>
    <n v="63"/>
    <x v="2"/>
    <n v="1"/>
    <x v="2"/>
    <n v="1"/>
    <x v="1"/>
    <x v="561"/>
    <n v="3445"/>
    <n v="1"/>
    <s v="Y"/>
    <x v="0"/>
    <n v="21"/>
    <n v="4"/>
    <n v="3"/>
    <n v="80"/>
    <n v="2"/>
    <n v="1"/>
    <n v="2"/>
    <n v="3"/>
    <n v="0"/>
    <n v="0"/>
    <n v="0"/>
    <n v="0"/>
  </r>
  <r>
    <n v="24"/>
    <x v="4"/>
    <x v="1"/>
    <n v="0"/>
    <x v="2"/>
    <n v="1092"/>
    <x v="1"/>
    <x v="14"/>
    <n v="3"/>
    <x v="3"/>
    <x v="0"/>
    <n v="3"/>
    <x v="1"/>
    <n v="60"/>
    <x v="1"/>
    <n v="1"/>
    <x v="2"/>
    <n v="2"/>
    <x v="2"/>
    <x v="562"/>
    <n v="26551"/>
    <n v="1"/>
    <s v="Y"/>
    <x v="1"/>
    <n v="11"/>
    <n v="3"/>
    <n v="3"/>
    <n v="80"/>
    <n v="3"/>
    <n v="1"/>
    <n v="4"/>
    <n v="3"/>
    <n v="1"/>
    <n v="0"/>
    <n v="0"/>
    <n v="0"/>
  </r>
  <r>
    <n v="52"/>
    <x v="1"/>
    <x v="1"/>
    <n v="0"/>
    <x v="0"/>
    <n v="1325"/>
    <x v="1"/>
    <x v="13"/>
    <n v="4"/>
    <x v="2"/>
    <x v="0"/>
    <n v="4"/>
    <x v="0"/>
    <n v="82"/>
    <x v="0"/>
    <n v="2"/>
    <x v="2"/>
    <n v="3"/>
    <x v="1"/>
    <x v="563"/>
    <n v="21821"/>
    <n v="8"/>
    <s v="Y"/>
    <x v="1"/>
    <n v="20"/>
    <n v="4"/>
    <n v="2"/>
    <n v="80"/>
    <n v="1"/>
    <n v="9"/>
    <n v="3"/>
    <n v="3"/>
    <n v="5"/>
    <n v="2"/>
    <n v="1"/>
    <n v="4"/>
  </r>
  <r>
    <n v="50"/>
    <x v="1"/>
    <x v="1"/>
    <n v="0"/>
    <x v="0"/>
    <n v="691"/>
    <x v="1"/>
    <x v="2"/>
    <n v="3"/>
    <x v="3"/>
    <x v="2"/>
    <n v="3"/>
    <x v="1"/>
    <n v="64"/>
    <x v="0"/>
    <n v="4"/>
    <x v="7"/>
    <n v="3"/>
    <x v="1"/>
    <x v="564"/>
    <n v="6881"/>
    <n v="5"/>
    <s v="Y"/>
    <x v="1"/>
    <n v="16"/>
    <n v="3"/>
    <n v="4"/>
    <n v="80"/>
    <n v="0"/>
    <n v="30"/>
    <n v="3"/>
    <n v="3"/>
    <n v="4"/>
    <n v="3"/>
    <n v="0"/>
    <n v="3"/>
  </r>
  <r>
    <n v="29"/>
    <x v="2"/>
    <x v="0"/>
    <n v="1"/>
    <x v="0"/>
    <n v="805"/>
    <x v="1"/>
    <x v="0"/>
    <n v="2"/>
    <x v="0"/>
    <x v="0"/>
    <n v="2"/>
    <x v="0"/>
    <n v="36"/>
    <x v="1"/>
    <n v="1"/>
    <x v="2"/>
    <n v="1"/>
    <x v="1"/>
    <x v="565"/>
    <n v="6689"/>
    <n v="1"/>
    <s v="Y"/>
    <x v="0"/>
    <n v="11"/>
    <n v="3"/>
    <n v="4"/>
    <n v="80"/>
    <n v="1"/>
    <n v="1"/>
    <n v="1"/>
    <n v="3"/>
    <n v="1"/>
    <n v="0"/>
    <n v="0"/>
    <n v="0"/>
  </r>
  <r>
    <n v="33"/>
    <x v="2"/>
    <x v="1"/>
    <n v="0"/>
    <x v="0"/>
    <n v="213"/>
    <x v="1"/>
    <x v="15"/>
    <n v="3"/>
    <x v="3"/>
    <x v="2"/>
    <n v="3"/>
    <x v="1"/>
    <n v="49"/>
    <x v="0"/>
    <n v="3"/>
    <x v="7"/>
    <n v="3"/>
    <x v="1"/>
    <x v="566"/>
    <n v="25995"/>
    <n v="0"/>
    <s v="Y"/>
    <x v="1"/>
    <n v="11"/>
    <n v="3"/>
    <n v="4"/>
    <n v="80"/>
    <n v="0"/>
    <n v="14"/>
    <n v="3"/>
    <n v="4"/>
    <n v="13"/>
    <n v="9"/>
    <n v="3"/>
    <n v="7"/>
  </r>
  <r>
    <n v="33"/>
    <x v="2"/>
    <x v="0"/>
    <n v="1"/>
    <x v="0"/>
    <n v="118"/>
    <x v="0"/>
    <x v="7"/>
    <n v="3"/>
    <x v="3"/>
    <x v="3"/>
    <n v="1"/>
    <x v="0"/>
    <n v="69"/>
    <x v="0"/>
    <n v="2"/>
    <x v="0"/>
    <n v="1"/>
    <x v="0"/>
    <x v="567"/>
    <n v="26507"/>
    <n v="5"/>
    <s v="Y"/>
    <x v="1"/>
    <n v="15"/>
    <n v="3"/>
    <n v="3"/>
    <n v="80"/>
    <n v="0"/>
    <n v="6"/>
    <n v="3"/>
    <n v="3"/>
    <n v="3"/>
    <n v="2"/>
    <n v="0"/>
    <n v="2"/>
  </r>
  <r>
    <n v="47"/>
    <x v="1"/>
    <x v="1"/>
    <n v="0"/>
    <x v="0"/>
    <n v="202"/>
    <x v="1"/>
    <x v="2"/>
    <n v="2"/>
    <x v="0"/>
    <x v="1"/>
    <n v="3"/>
    <x v="0"/>
    <n v="33"/>
    <x v="0"/>
    <n v="4"/>
    <x v="5"/>
    <n v="4"/>
    <x v="1"/>
    <x v="568"/>
    <n v="12982"/>
    <n v="1"/>
    <s v="Y"/>
    <x v="0"/>
    <n v="11"/>
    <n v="3"/>
    <n v="3"/>
    <n v="80"/>
    <n v="1"/>
    <n v="26"/>
    <n v="3"/>
    <n v="2"/>
    <n v="26"/>
    <n v="14"/>
    <n v="3"/>
    <n v="0"/>
  </r>
  <r>
    <n v="36"/>
    <x v="0"/>
    <x v="1"/>
    <n v="0"/>
    <x v="0"/>
    <n v="676"/>
    <x v="1"/>
    <x v="0"/>
    <n v="3"/>
    <x v="3"/>
    <x v="1"/>
    <n v="3"/>
    <x v="0"/>
    <n v="35"/>
    <x v="0"/>
    <n v="2"/>
    <x v="3"/>
    <n v="2"/>
    <x v="1"/>
    <x v="311"/>
    <n v="23361"/>
    <n v="0"/>
    <s v="Y"/>
    <x v="1"/>
    <n v="15"/>
    <n v="3"/>
    <n v="1"/>
    <n v="80"/>
    <n v="1"/>
    <n v="10"/>
    <n v="2"/>
    <n v="3"/>
    <n v="9"/>
    <n v="7"/>
    <n v="0"/>
    <n v="5"/>
  </r>
  <r>
    <n v="29"/>
    <x v="2"/>
    <x v="1"/>
    <n v="0"/>
    <x v="0"/>
    <n v="1252"/>
    <x v="1"/>
    <x v="5"/>
    <n v="2"/>
    <x v="0"/>
    <x v="0"/>
    <n v="3"/>
    <x v="1"/>
    <n v="81"/>
    <x v="2"/>
    <n v="1"/>
    <x v="1"/>
    <n v="3"/>
    <x v="1"/>
    <x v="569"/>
    <n v="23779"/>
    <n v="1"/>
    <s v="Y"/>
    <x v="1"/>
    <n v="24"/>
    <n v="4"/>
    <n v="3"/>
    <n v="80"/>
    <n v="1"/>
    <n v="10"/>
    <n v="3"/>
    <n v="3"/>
    <n v="10"/>
    <n v="7"/>
    <n v="0"/>
    <n v="7"/>
  </r>
  <r>
    <n v="58"/>
    <x v="3"/>
    <x v="0"/>
    <n v="1"/>
    <x v="0"/>
    <n v="286"/>
    <x v="1"/>
    <x v="2"/>
    <n v="4"/>
    <x v="2"/>
    <x v="0"/>
    <n v="4"/>
    <x v="1"/>
    <n v="31"/>
    <x v="0"/>
    <n v="5"/>
    <x v="7"/>
    <n v="2"/>
    <x v="0"/>
    <x v="570"/>
    <n v="25761"/>
    <n v="7"/>
    <s v="Y"/>
    <x v="0"/>
    <n v="12"/>
    <n v="3"/>
    <n v="4"/>
    <n v="80"/>
    <n v="0"/>
    <n v="40"/>
    <n v="2"/>
    <n v="3"/>
    <n v="31"/>
    <n v="15"/>
    <n v="13"/>
    <n v="8"/>
  </r>
  <r>
    <n v="35"/>
    <x v="0"/>
    <x v="1"/>
    <n v="0"/>
    <x v="0"/>
    <n v="1258"/>
    <x v="1"/>
    <x v="0"/>
    <n v="4"/>
    <x v="2"/>
    <x v="0"/>
    <n v="4"/>
    <x v="0"/>
    <n v="40"/>
    <x v="2"/>
    <n v="1"/>
    <x v="1"/>
    <n v="3"/>
    <x v="0"/>
    <x v="571"/>
    <n v="13301"/>
    <n v="3"/>
    <s v="Y"/>
    <x v="1"/>
    <n v="13"/>
    <n v="3"/>
    <n v="3"/>
    <n v="80"/>
    <n v="0"/>
    <n v="7"/>
    <n v="0"/>
    <n v="3"/>
    <n v="2"/>
    <n v="2"/>
    <n v="2"/>
    <n v="2"/>
  </r>
  <r>
    <n v="42"/>
    <x v="0"/>
    <x v="1"/>
    <n v="0"/>
    <x v="0"/>
    <n v="932"/>
    <x v="1"/>
    <x v="0"/>
    <n v="2"/>
    <x v="0"/>
    <x v="0"/>
    <n v="4"/>
    <x v="0"/>
    <n v="43"/>
    <x v="1"/>
    <n v="2"/>
    <x v="3"/>
    <n v="4"/>
    <x v="1"/>
    <x v="572"/>
    <n v="4051"/>
    <n v="9"/>
    <s v="Y"/>
    <x v="0"/>
    <n v="13"/>
    <n v="3"/>
    <n v="4"/>
    <n v="80"/>
    <n v="1"/>
    <n v="8"/>
    <n v="4"/>
    <n v="3"/>
    <n v="4"/>
    <n v="3"/>
    <n v="0"/>
    <n v="2"/>
  </r>
  <r>
    <n v="28"/>
    <x v="2"/>
    <x v="0"/>
    <n v="1"/>
    <x v="0"/>
    <n v="890"/>
    <x v="1"/>
    <x v="2"/>
    <n v="4"/>
    <x v="2"/>
    <x v="2"/>
    <n v="3"/>
    <x v="1"/>
    <n v="46"/>
    <x v="0"/>
    <n v="1"/>
    <x v="1"/>
    <n v="3"/>
    <x v="0"/>
    <x v="573"/>
    <n v="16374"/>
    <n v="6"/>
    <s v="Y"/>
    <x v="1"/>
    <n v="17"/>
    <n v="3"/>
    <n v="4"/>
    <n v="80"/>
    <n v="0"/>
    <n v="5"/>
    <n v="3"/>
    <n v="2"/>
    <n v="2"/>
    <n v="2"/>
    <n v="2"/>
    <n v="1"/>
  </r>
  <r>
    <n v="36"/>
    <x v="0"/>
    <x v="1"/>
    <n v="0"/>
    <x v="0"/>
    <n v="1041"/>
    <x v="2"/>
    <x v="28"/>
    <n v="3"/>
    <x v="3"/>
    <x v="5"/>
    <n v="3"/>
    <x v="1"/>
    <n v="36"/>
    <x v="0"/>
    <n v="1"/>
    <x v="8"/>
    <n v="2"/>
    <x v="1"/>
    <x v="574"/>
    <n v="25527"/>
    <n v="4"/>
    <s v="Y"/>
    <x v="1"/>
    <n v="13"/>
    <n v="3"/>
    <n v="2"/>
    <n v="80"/>
    <n v="1"/>
    <n v="8"/>
    <n v="2"/>
    <n v="3"/>
    <n v="5"/>
    <n v="2"/>
    <n v="0"/>
    <n v="4"/>
  </r>
  <r>
    <n v="32"/>
    <x v="2"/>
    <x v="1"/>
    <n v="0"/>
    <x v="0"/>
    <n v="859"/>
    <x v="1"/>
    <x v="18"/>
    <n v="3"/>
    <x v="3"/>
    <x v="0"/>
    <n v="3"/>
    <x v="0"/>
    <n v="98"/>
    <x v="1"/>
    <n v="2"/>
    <x v="3"/>
    <n v="3"/>
    <x v="1"/>
    <x v="57"/>
    <n v="19124"/>
    <n v="1"/>
    <s v="Y"/>
    <x v="1"/>
    <n v="12"/>
    <n v="3"/>
    <n v="3"/>
    <n v="80"/>
    <n v="1"/>
    <n v="14"/>
    <n v="3"/>
    <n v="3"/>
    <n v="14"/>
    <n v="13"/>
    <n v="6"/>
    <n v="8"/>
  </r>
  <r>
    <n v="40"/>
    <x v="0"/>
    <x v="1"/>
    <n v="0"/>
    <x v="1"/>
    <n v="720"/>
    <x v="1"/>
    <x v="7"/>
    <n v="4"/>
    <x v="2"/>
    <x v="2"/>
    <n v="1"/>
    <x v="1"/>
    <n v="51"/>
    <x v="1"/>
    <n v="2"/>
    <x v="2"/>
    <n v="3"/>
    <x v="0"/>
    <x v="575"/>
    <n v="11983"/>
    <n v="6"/>
    <s v="Y"/>
    <x v="1"/>
    <n v="14"/>
    <n v="3"/>
    <n v="4"/>
    <n v="80"/>
    <n v="0"/>
    <n v="10"/>
    <n v="6"/>
    <n v="3"/>
    <n v="1"/>
    <n v="0"/>
    <n v="0"/>
    <n v="0"/>
  </r>
  <r>
    <n v="30"/>
    <x v="2"/>
    <x v="1"/>
    <n v="0"/>
    <x v="0"/>
    <n v="946"/>
    <x v="1"/>
    <x v="2"/>
    <n v="3"/>
    <x v="3"/>
    <x v="2"/>
    <n v="3"/>
    <x v="0"/>
    <n v="52"/>
    <x v="1"/>
    <n v="2"/>
    <x v="3"/>
    <n v="4"/>
    <x v="0"/>
    <x v="576"/>
    <n v="20234"/>
    <n v="5"/>
    <s v="Y"/>
    <x v="0"/>
    <n v="24"/>
    <n v="4"/>
    <n v="2"/>
    <n v="80"/>
    <n v="0"/>
    <n v="12"/>
    <n v="4"/>
    <n v="2"/>
    <n v="0"/>
    <n v="0"/>
    <n v="0"/>
    <n v="0"/>
  </r>
  <r>
    <n v="45"/>
    <x v="1"/>
    <x v="1"/>
    <n v="0"/>
    <x v="0"/>
    <n v="252"/>
    <x v="1"/>
    <x v="2"/>
    <n v="3"/>
    <x v="3"/>
    <x v="0"/>
    <n v="2"/>
    <x v="0"/>
    <n v="95"/>
    <x v="1"/>
    <n v="1"/>
    <x v="1"/>
    <n v="3"/>
    <x v="0"/>
    <x v="577"/>
    <n v="6153"/>
    <n v="1"/>
    <s v="Y"/>
    <x v="1"/>
    <n v="14"/>
    <n v="3"/>
    <n v="4"/>
    <n v="80"/>
    <n v="0"/>
    <n v="1"/>
    <n v="3"/>
    <n v="3"/>
    <n v="1"/>
    <n v="0"/>
    <n v="0"/>
    <n v="0"/>
  </r>
  <r>
    <n v="42"/>
    <x v="0"/>
    <x v="1"/>
    <n v="0"/>
    <x v="0"/>
    <n v="933"/>
    <x v="1"/>
    <x v="22"/>
    <n v="3"/>
    <x v="3"/>
    <x v="0"/>
    <n v="2"/>
    <x v="1"/>
    <n v="98"/>
    <x v="0"/>
    <n v="2"/>
    <x v="3"/>
    <n v="2"/>
    <x v="1"/>
    <x v="578"/>
    <n v="11806"/>
    <n v="1"/>
    <s v="Y"/>
    <x v="1"/>
    <n v="13"/>
    <n v="3"/>
    <n v="4"/>
    <n v="80"/>
    <n v="1"/>
    <n v="10"/>
    <n v="3"/>
    <n v="2"/>
    <n v="9"/>
    <n v="8"/>
    <n v="7"/>
    <n v="8"/>
  </r>
  <r>
    <n v="38"/>
    <x v="0"/>
    <x v="1"/>
    <n v="0"/>
    <x v="1"/>
    <n v="471"/>
    <x v="1"/>
    <x v="20"/>
    <n v="3"/>
    <x v="3"/>
    <x v="0"/>
    <n v="1"/>
    <x v="1"/>
    <n v="45"/>
    <x v="1"/>
    <n v="2"/>
    <x v="4"/>
    <n v="1"/>
    <x v="2"/>
    <x v="579"/>
    <n v="4284"/>
    <n v="2"/>
    <s v="Y"/>
    <x v="1"/>
    <n v="15"/>
    <n v="3"/>
    <n v="3"/>
    <n v="80"/>
    <n v="1"/>
    <n v="13"/>
    <n v="3"/>
    <n v="2"/>
    <n v="4"/>
    <n v="3"/>
    <n v="1"/>
    <n v="2"/>
  </r>
  <r>
    <n v="34"/>
    <x v="2"/>
    <x v="1"/>
    <n v="0"/>
    <x v="1"/>
    <n v="702"/>
    <x v="1"/>
    <x v="7"/>
    <n v="4"/>
    <x v="2"/>
    <x v="0"/>
    <n v="3"/>
    <x v="0"/>
    <n v="100"/>
    <x v="1"/>
    <n v="1"/>
    <x v="1"/>
    <n v="4"/>
    <x v="0"/>
    <x v="580"/>
    <n v="8306"/>
    <n v="1"/>
    <s v="Y"/>
    <x v="1"/>
    <n v="16"/>
    <n v="3"/>
    <n v="3"/>
    <n v="80"/>
    <n v="0"/>
    <n v="6"/>
    <n v="3"/>
    <n v="3"/>
    <n v="5"/>
    <n v="2"/>
    <n v="1"/>
    <n v="3"/>
  </r>
  <r>
    <n v="49"/>
    <x v="1"/>
    <x v="0"/>
    <n v="1"/>
    <x v="0"/>
    <n v="1184"/>
    <x v="0"/>
    <x v="13"/>
    <n v="3"/>
    <x v="3"/>
    <x v="3"/>
    <n v="3"/>
    <x v="0"/>
    <n v="43"/>
    <x v="0"/>
    <n v="3"/>
    <x v="0"/>
    <n v="4"/>
    <x v="1"/>
    <x v="581"/>
    <n v="5860"/>
    <n v="1"/>
    <s v="Y"/>
    <x v="1"/>
    <n v="18"/>
    <n v="3"/>
    <n v="1"/>
    <n v="80"/>
    <n v="2"/>
    <n v="9"/>
    <n v="3"/>
    <n v="4"/>
    <n v="9"/>
    <n v="8"/>
    <n v="7"/>
    <n v="7"/>
  </r>
  <r>
    <n v="55"/>
    <x v="3"/>
    <x v="0"/>
    <n v="1"/>
    <x v="0"/>
    <n v="436"/>
    <x v="0"/>
    <x v="2"/>
    <n v="1"/>
    <x v="1"/>
    <x v="2"/>
    <n v="3"/>
    <x v="1"/>
    <n v="37"/>
    <x v="0"/>
    <n v="2"/>
    <x v="0"/>
    <n v="4"/>
    <x v="0"/>
    <x v="582"/>
    <n v="21519"/>
    <n v="4"/>
    <s v="Y"/>
    <x v="1"/>
    <n v="16"/>
    <n v="3"/>
    <n v="3"/>
    <n v="80"/>
    <n v="0"/>
    <n v="12"/>
    <n v="3"/>
    <n v="2"/>
    <n v="9"/>
    <n v="7"/>
    <n v="7"/>
    <n v="3"/>
  </r>
  <r>
    <n v="43"/>
    <x v="0"/>
    <x v="1"/>
    <n v="0"/>
    <x v="0"/>
    <n v="589"/>
    <x v="1"/>
    <x v="24"/>
    <n v="2"/>
    <x v="0"/>
    <x v="0"/>
    <n v="2"/>
    <x v="1"/>
    <n v="94"/>
    <x v="0"/>
    <n v="4"/>
    <x v="7"/>
    <n v="1"/>
    <x v="1"/>
    <x v="583"/>
    <n v="5200"/>
    <n v="6"/>
    <s v="Y"/>
    <x v="1"/>
    <n v="24"/>
    <n v="4"/>
    <n v="3"/>
    <n v="80"/>
    <n v="1"/>
    <n v="22"/>
    <n v="3"/>
    <n v="3"/>
    <n v="4"/>
    <n v="1"/>
    <n v="1"/>
    <n v="0"/>
  </r>
  <r>
    <n v="27"/>
    <x v="2"/>
    <x v="1"/>
    <n v="0"/>
    <x v="0"/>
    <n v="269"/>
    <x v="1"/>
    <x v="12"/>
    <n v="1"/>
    <x v="1"/>
    <x v="4"/>
    <n v="3"/>
    <x v="1"/>
    <n v="42"/>
    <x v="1"/>
    <n v="3"/>
    <x v="7"/>
    <n v="4"/>
    <x v="2"/>
    <x v="584"/>
    <n v="8842"/>
    <n v="1"/>
    <s v="Y"/>
    <x v="0"/>
    <n v="16"/>
    <n v="3"/>
    <n v="2"/>
    <n v="80"/>
    <n v="1"/>
    <n v="9"/>
    <n v="3"/>
    <n v="3"/>
    <n v="9"/>
    <n v="8"/>
    <n v="0"/>
    <n v="8"/>
  </r>
  <r>
    <n v="35"/>
    <x v="0"/>
    <x v="1"/>
    <n v="0"/>
    <x v="0"/>
    <n v="950"/>
    <x v="1"/>
    <x v="15"/>
    <n v="3"/>
    <x v="3"/>
    <x v="1"/>
    <n v="3"/>
    <x v="1"/>
    <n v="59"/>
    <x v="0"/>
    <n v="3"/>
    <x v="3"/>
    <n v="3"/>
    <x v="0"/>
    <x v="585"/>
    <n v="18869"/>
    <n v="3"/>
    <s v="Y"/>
    <x v="1"/>
    <n v="21"/>
    <n v="4"/>
    <n v="2"/>
    <n v="80"/>
    <n v="0"/>
    <n v="17"/>
    <n v="3"/>
    <n v="4"/>
    <n v="8"/>
    <n v="5"/>
    <n v="1"/>
    <n v="6"/>
  </r>
  <r>
    <n v="28"/>
    <x v="2"/>
    <x v="1"/>
    <n v="0"/>
    <x v="0"/>
    <n v="760"/>
    <x v="0"/>
    <x v="2"/>
    <n v="4"/>
    <x v="2"/>
    <x v="3"/>
    <n v="2"/>
    <x v="0"/>
    <n v="81"/>
    <x v="0"/>
    <n v="2"/>
    <x v="0"/>
    <n v="2"/>
    <x v="1"/>
    <x v="586"/>
    <n v="3698"/>
    <n v="1"/>
    <s v="Y"/>
    <x v="0"/>
    <n v="20"/>
    <n v="4"/>
    <n v="1"/>
    <n v="80"/>
    <n v="0"/>
    <n v="8"/>
    <n v="2"/>
    <n v="3"/>
    <n v="8"/>
    <n v="7"/>
    <n v="7"/>
    <n v="5"/>
  </r>
  <r>
    <n v="34"/>
    <x v="2"/>
    <x v="1"/>
    <n v="0"/>
    <x v="0"/>
    <n v="829"/>
    <x v="2"/>
    <x v="3"/>
    <n v="2"/>
    <x v="0"/>
    <x v="5"/>
    <n v="3"/>
    <x v="1"/>
    <n v="88"/>
    <x v="0"/>
    <n v="1"/>
    <x v="8"/>
    <n v="4"/>
    <x v="1"/>
    <x v="587"/>
    <n v="2243"/>
    <n v="0"/>
    <s v="Y"/>
    <x v="1"/>
    <n v="19"/>
    <n v="3"/>
    <n v="3"/>
    <n v="80"/>
    <n v="1"/>
    <n v="4"/>
    <n v="1"/>
    <n v="1"/>
    <n v="3"/>
    <n v="2"/>
    <n v="0"/>
    <n v="2"/>
  </r>
  <r>
    <n v="26"/>
    <x v="2"/>
    <x v="0"/>
    <n v="1"/>
    <x v="1"/>
    <n v="887"/>
    <x v="1"/>
    <x v="12"/>
    <n v="2"/>
    <x v="0"/>
    <x v="2"/>
    <n v="3"/>
    <x v="0"/>
    <n v="88"/>
    <x v="1"/>
    <n v="1"/>
    <x v="1"/>
    <n v="3"/>
    <x v="1"/>
    <x v="588"/>
    <n v="20898"/>
    <n v="1"/>
    <s v="Y"/>
    <x v="0"/>
    <n v="14"/>
    <n v="3"/>
    <n v="1"/>
    <n v="80"/>
    <n v="1"/>
    <n v="8"/>
    <n v="2"/>
    <n v="3"/>
    <n v="8"/>
    <n v="7"/>
    <n v="1"/>
    <n v="7"/>
  </r>
  <r>
    <n v="27"/>
    <x v="2"/>
    <x v="1"/>
    <n v="0"/>
    <x v="2"/>
    <n v="443"/>
    <x v="1"/>
    <x v="3"/>
    <n v="3"/>
    <x v="3"/>
    <x v="2"/>
    <n v="4"/>
    <x v="1"/>
    <n v="50"/>
    <x v="0"/>
    <n v="1"/>
    <x v="1"/>
    <n v="4"/>
    <x v="1"/>
    <x v="589"/>
    <n v="16571"/>
    <n v="1"/>
    <s v="Y"/>
    <x v="1"/>
    <n v="11"/>
    <n v="3"/>
    <n v="3"/>
    <n v="80"/>
    <n v="3"/>
    <n v="0"/>
    <n v="6"/>
    <n v="2"/>
    <n v="0"/>
    <n v="0"/>
    <n v="0"/>
    <n v="0"/>
  </r>
  <r>
    <n v="51"/>
    <x v="1"/>
    <x v="1"/>
    <n v="0"/>
    <x v="0"/>
    <n v="1318"/>
    <x v="0"/>
    <x v="9"/>
    <n v="4"/>
    <x v="2"/>
    <x v="3"/>
    <n v="1"/>
    <x v="0"/>
    <n v="66"/>
    <x v="0"/>
    <n v="4"/>
    <x v="5"/>
    <n v="3"/>
    <x v="1"/>
    <x v="590"/>
    <n v="5594"/>
    <n v="2"/>
    <s v="Y"/>
    <x v="1"/>
    <n v="14"/>
    <n v="3"/>
    <n v="3"/>
    <n v="80"/>
    <n v="1"/>
    <n v="29"/>
    <n v="2"/>
    <n v="2"/>
    <n v="20"/>
    <n v="6"/>
    <n v="4"/>
    <n v="17"/>
  </r>
  <r>
    <n v="44"/>
    <x v="0"/>
    <x v="1"/>
    <n v="0"/>
    <x v="0"/>
    <n v="625"/>
    <x v="1"/>
    <x v="18"/>
    <n v="3"/>
    <x v="3"/>
    <x v="2"/>
    <n v="4"/>
    <x v="1"/>
    <n v="50"/>
    <x v="0"/>
    <n v="2"/>
    <x v="4"/>
    <n v="2"/>
    <x v="0"/>
    <x v="591"/>
    <n v="5197"/>
    <n v="9"/>
    <s v="Y"/>
    <x v="1"/>
    <n v="12"/>
    <n v="3"/>
    <n v="4"/>
    <n v="80"/>
    <n v="0"/>
    <n v="10"/>
    <n v="2"/>
    <n v="2"/>
    <n v="5"/>
    <n v="2"/>
    <n v="2"/>
    <n v="3"/>
  </r>
  <r>
    <n v="25"/>
    <x v="2"/>
    <x v="1"/>
    <n v="0"/>
    <x v="0"/>
    <n v="180"/>
    <x v="1"/>
    <x v="2"/>
    <n v="1"/>
    <x v="1"/>
    <x v="2"/>
    <n v="1"/>
    <x v="1"/>
    <n v="65"/>
    <x v="2"/>
    <n v="1"/>
    <x v="1"/>
    <n v="1"/>
    <x v="0"/>
    <x v="592"/>
    <n v="21632"/>
    <n v="7"/>
    <s v="Y"/>
    <x v="1"/>
    <n v="13"/>
    <n v="3"/>
    <n v="3"/>
    <n v="80"/>
    <n v="0"/>
    <n v="6"/>
    <n v="3"/>
    <n v="2"/>
    <n v="4"/>
    <n v="3"/>
    <n v="0"/>
    <n v="1"/>
  </r>
  <r>
    <n v="33"/>
    <x v="2"/>
    <x v="1"/>
    <n v="0"/>
    <x v="0"/>
    <n v="586"/>
    <x v="0"/>
    <x v="0"/>
    <n v="3"/>
    <x v="3"/>
    <x v="2"/>
    <n v="1"/>
    <x v="1"/>
    <n v="48"/>
    <x v="2"/>
    <n v="2"/>
    <x v="0"/>
    <n v="1"/>
    <x v="2"/>
    <x v="593"/>
    <n v="21816"/>
    <n v="1"/>
    <s v="Y"/>
    <x v="1"/>
    <n v="22"/>
    <n v="4"/>
    <n v="1"/>
    <n v="80"/>
    <n v="1"/>
    <n v="9"/>
    <n v="5"/>
    <n v="3"/>
    <n v="9"/>
    <n v="8"/>
    <n v="0"/>
    <n v="8"/>
  </r>
  <r>
    <n v="35"/>
    <x v="0"/>
    <x v="1"/>
    <n v="0"/>
    <x v="0"/>
    <n v="1343"/>
    <x v="1"/>
    <x v="6"/>
    <n v="1"/>
    <x v="1"/>
    <x v="2"/>
    <n v="3"/>
    <x v="0"/>
    <n v="53"/>
    <x v="1"/>
    <n v="1"/>
    <x v="1"/>
    <n v="1"/>
    <x v="0"/>
    <x v="594"/>
    <n v="17852"/>
    <n v="1"/>
    <s v="Y"/>
    <x v="1"/>
    <n v="11"/>
    <n v="3"/>
    <n v="4"/>
    <n v="80"/>
    <n v="0"/>
    <n v="6"/>
    <n v="3"/>
    <n v="2"/>
    <n v="6"/>
    <n v="5"/>
    <n v="1"/>
    <n v="1"/>
  </r>
  <r>
    <n v="36"/>
    <x v="0"/>
    <x v="1"/>
    <n v="0"/>
    <x v="0"/>
    <n v="928"/>
    <x v="0"/>
    <x v="0"/>
    <n v="2"/>
    <x v="0"/>
    <x v="0"/>
    <n v="2"/>
    <x v="1"/>
    <n v="56"/>
    <x v="0"/>
    <n v="2"/>
    <x v="0"/>
    <n v="4"/>
    <x v="1"/>
    <x v="595"/>
    <n v="2823"/>
    <n v="1"/>
    <s v="Y"/>
    <x v="0"/>
    <n v="14"/>
    <n v="3"/>
    <n v="4"/>
    <n v="80"/>
    <n v="1"/>
    <n v="18"/>
    <n v="1"/>
    <n v="2"/>
    <n v="18"/>
    <n v="14"/>
    <n v="4"/>
    <n v="11"/>
  </r>
  <r>
    <n v="32"/>
    <x v="2"/>
    <x v="1"/>
    <n v="0"/>
    <x v="0"/>
    <n v="117"/>
    <x v="0"/>
    <x v="28"/>
    <n v="4"/>
    <x v="2"/>
    <x v="0"/>
    <n v="2"/>
    <x v="1"/>
    <n v="73"/>
    <x v="0"/>
    <n v="2"/>
    <x v="0"/>
    <n v="4"/>
    <x v="2"/>
    <x v="596"/>
    <n v="9250"/>
    <n v="2"/>
    <s v="Y"/>
    <x v="1"/>
    <n v="11"/>
    <n v="3"/>
    <n v="3"/>
    <n v="80"/>
    <n v="1"/>
    <n v="8"/>
    <n v="3"/>
    <n v="2"/>
    <n v="5"/>
    <n v="2"/>
    <n v="0"/>
    <n v="3"/>
  </r>
  <r>
    <n v="30"/>
    <x v="2"/>
    <x v="1"/>
    <n v="0"/>
    <x v="1"/>
    <n v="1012"/>
    <x v="1"/>
    <x v="12"/>
    <n v="4"/>
    <x v="2"/>
    <x v="0"/>
    <n v="2"/>
    <x v="1"/>
    <n v="75"/>
    <x v="1"/>
    <n v="1"/>
    <x v="1"/>
    <n v="4"/>
    <x v="2"/>
    <x v="597"/>
    <n v="2373"/>
    <n v="9"/>
    <s v="Y"/>
    <x v="1"/>
    <n v="12"/>
    <n v="3"/>
    <n v="2"/>
    <n v="80"/>
    <n v="1"/>
    <n v="10"/>
    <n v="3"/>
    <n v="2"/>
    <n v="5"/>
    <n v="4"/>
    <n v="0"/>
    <n v="3"/>
  </r>
  <r>
    <n v="53"/>
    <x v="1"/>
    <x v="1"/>
    <n v="0"/>
    <x v="0"/>
    <n v="661"/>
    <x v="0"/>
    <x v="15"/>
    <n v="2"/>
    <x v="0"/>
    <x v="3"/>
    <n v="1"/>
    <x v="0"/>
    <n v="78"/>
    <x v="1"/>
    <n v="3"/>
    <x v="0"/>
    <n v="4"/>
    <x v="1"/>
    <x v="598"/>
    <n v="20715"/>
    <n v="7"/>
    <s v="Y"/>
    <x v="0"/>
    <n v="18"/>
    <n v="3"/>
    <n v="4"/>
    <n v="80"/>
    <n v="1"/>
    <n v="35"/>
    <n v="3"/>
    <n v="3"/>
    <n v="5"/>
    <n v="2"/>
    <n v="0"/>
    <n v="4"/>
  </r>
  <r>
    <n v="45"/>
    <x v="1"/>
    <x v="1"/>
    <n v="0"/>
    <x v="0"/>
    <n v="930"/>
    <x v="0"/>
    <x v="14"/>
    <n v="3"/>
    <x v="3"/>
    <x v="3"/>
    <n v="4"/>
    <x v="1"/>
    <n v="74"/>
    <x v="0"/>
    <n v="3"/>
    <x v="0"/>
    <n v="1"/>
    <x v="2"/>
    <x v="599"/>
    <n v="19239"/>
    <n v="4"/>
    <s v="Y"/>
    <x v="0"/>
    <n v="12"/>
    <n v="3"/>
    <n v="3"/>
    <n v="80"/>
    <n v="1"/>
    <n v="18"/>
    <n v="2"/>
    <n v="3"/>
    <n v="5"/>
    <n v="4"/>
    <n v="0"/>
    <n v="2"/>
  </r>
  <r>
    <n v="32"/>
    <x v="2"/>
    <x v="1"/>
    <n v="0"/>
    <x v="0"/>
    <n v="638"/>
    <x v="1"/>
    <x v="1"/>
    <n v="2"/>
    <x v="0"/>
    <x v="2"/>
    <n v="3"/>
    <x v="0"/>
    <n v="91"/>
    <x v="2"/>
    <n v="2"/>
    <x v="1"/>
    <n v="3"/>
    <x v="1"/>
    <x v="600"/>
    <n v="22162"/>
    <n v="5"/>
    <s v="Y"/>
    <x v="1"/>
    <n v="12"/>
    <n v="3"/>
    <n v="3"/>
    <n v="80"/>
    <n v="1"/>
    <n v="9"/>
    <n v="3"/>
    <n v="2"/>
    <n v="5"/>
    <n v="3"/>
    <n v="1"/>
    <n v="3"/>
  </r>
  <r>
    <n v="52"/>
    <x v="1"/>
    <x v="1"/>
    <n v="0"/>
    <x v="1"/>
    <n v="890"/>
    <x v="1"/>
    <x v="19"/>
    <n v="4"/>
    <x v="2"/>
    <x v="2"/>
    <n v="3"/>
    <x v="0"/>
    <n v="81"/>
    <x v="1"/>
    <n v="4"/>
    <x v="3"/>
    <n v="4"/>
    <x v="1"/>
    <x v="601"/>
    <n v="19028"/>
    <n v="3"/>
    <s v="Y"/>
    <x v="1"/>
    <n v="22"/>
    <n v="4"/>
    <n v="3"/>
    <n v="80"/>
    <n v="0"/>
    <n v="31"/>
    <n v="3"/>
    <n v="3"/>
    <n v="9"/>
    <n v="8"/>
    <n v="0"/>
    <n v="0"/>
  </r>
  <r>
    <n v="37"/>
    <x v="0"/>
    <x v="1"/>
    <n v="0"/>
    <x v="0"/>
    <n v="342"/>
    <x v="0"/>
    <x v="7"/>
    <n v="4"/>
    <x v="2"/>
    <x v="3"/>
    <n v="4"/>
    <x v="1"/>
    <n v="66"/>
    <x v="1"/>
    <n v="2"/>
    <x v="0"/>
    <n v="3"/>
    <x v="2"/>
    <x v="602"/>
    <n v="24558"/>
    <n v="4"/>
    <s v="Y"/>
    <x v="1"/>
    <n v="19"/>
    <n v="3"/>
    <n v="4"/>
    <n v="80"/>
    <n v="2"/>
    <n v="9"/>
    <n v="2"/>
    <n v="3"/>
    <n v="1"/>
    <n v="0"/>
    <n v="0"/>
    <n v="0"/>
  </r>
  <r>
    <n v="28"/>
    <x v="2"/>
    <x v="1"/>
    <n v="0"/>
    <x v="0"/>
    <n v="1169"/>
    <x v="2"/>
    <x v="1"/>
    <n v="2"/>
    <x v="0"/>
    <x v="2"/>
    <n v="2"/>
    <x v="1"/>
    <n v="63"/>
    <x v="1"/>
    <n v="1"/>
    <x v="8"/>
    <n v="4"/>
    <x v="2"/>
    <x v="365"/>
    <n v="23965"/>
    <n v="1"/>
    <s v="Y"/>
    <x v="1"/>
    <n v="13"/>
    <n v="3"/>
    <n v="4"/>
    <n v="80"/>
    <n v="1"/>
    <n v="6"/>
    <n v="6"/>
    <n v="3"/>
    <n v="5"/>
    <n v="1"/>
    <n v="0"/>
    <n v="4"/>
  </r>
  <r>
    <n v="22"/>
    <x v="4"/>
    <x v="1"/>
    <n v="0"/>
    <x v="0"/>
    <n v="1230"/>
    <x v="1"/>
    <x v="0"/>
    <n v="2"/>
    <x v="0"/>
    <x v="0"/>
    <n v="4"/>
    <x v="1"/>
    <n v="33"/>
    <x v="1"/>
    <n v="2"/>
    <x v="3"/>
    <n v="4"/>
    <x v="1"/>
    <x v="603"/>
    <n v="19146"/>
    <n v="6"/>
    <s v="Y"/>
    <x v="1"/>
    <n v="22"/>
    <n v="4"/>
    <n v="1"/>
    <n v="80"/>
    <n v="2"/>
    <n v="4"/>
    <n v="2"/>
    <n v="1"/>
    <n v="2"/>
    <n v="2"/>
    <n v="2"/>
    <n v="2"/>
  </r>
  <r>
    <n v="44"/>
    <x v="0"/>
    <x v="1"/>
    <n v="0"/>
    <x v="0"/>
    <n v="986"/>
    <x v="1"/>
    <x v="1"/>
    <n v="4"/>
    <x v="2"/>
    <x v="0"/>
    <n v="1"/>
    <x v="1"/>
    <n v="62"/>
    <x v="2"/>
    <n v="1"/>
    <x v="2"/>
    <n v="4"/>
    <x v="1"/>
    <x v="604"/>
    <n v="5044"/>
    <n v="2"/>
    <s v="Y"/>
    <x v="0"/>
    <n v="24"/>
    <n v="4"/>
    <n v="3"/>
    <n v="80"/>
    <n v="1"/>
    <n v="10"/>
    <n v="2"/>
    <n v="2"/>
    <n v="3"/>
    <n v="2"/>
    <n v="0"/>
    <n v="2"/>
  </r>
  <r>
    <n v="42"/>
    <x v="0"/>
    <x v="1"/>
    <n v="0"/>
    <x v="1"/>
    <n v="1271"/>
    <x v="1"/>
    <x v="2"/>
    <n v="1"/>
    <x v="1"/>
    <x v="2"/>
    <n v="2"/>
    <x v="1"/>
    <n v="35"/>
    <x v="0"/>
    <n v="1"/>
    <x v="1"/>
    <n v="4"/>
    <x v="0"/>
    <x v="605"/>
    <n v="9068"/>
    <n v="5"/>
    <s v="Y"/>
    <x v="0"/>
    <n v="14"/>
    <n v="3"/>
    <n v="4"/>
    <n v="80"/>
    <n v="0"/>
    <n v="8"/>
    <n v="2"/>
    <n v="3"/>
    <n v="2"/>
    <n v="1"/>
    <n v="2"/>
    <n v="2"/>
  </r>
  <r>
    <n v="36"/>
    <x v="0"/>
    <x v="1"/>
    <n v="0"/>
    <x v="0"/>
    <n v="1278"/>
    <x v="2"/>
    <x v="1"/>
    <n v="3"/>
    <x v="3"/>
    <x v="0"/>
    <n v="1"/>
    <x v="1"/>
    <n v="77"/>
    <x v="1"/>
    <n v="1"/>
    <x v="8"/>
    <n v="1"/>
    <x v="1"/>
    <x v="531"/>
    <n v="8635"/>
    <n v="0"/>
    <s v="Y"/>
    <x v="1"/>
    <n v="21"/>
    <n v="4"/>
    <n v="3"/>
    <n v="80"/>
    <n v="0"/>
    <n v="6"/>
    <n v="3"/>
    <n v="3"/>
    <n v="5"/>
    <n v="4"/>
    <n v="0"/>
    <n v="3"/>
  </r>
  <r>
    <n v="25"/>
    <x v="2"/>
    <x v="1"/>
    <n v="0"/>
    <x v="0"/>
    <n v="141"/>
    <x v="0"/>
    <x v="3"/>
    <n v="1"/>
    <x v="1"/>
    <x v="1"/>
    <n v="3"/>
    <x v="1"/>
    <n v="98"/>
    <x v="0"/>
    <n v="2"/>
    <x v="0"/>
    <n v="1"/>
    <x v="1"/>
    <x v="606"/>
    <n v="14363"/>
    <n v="1"/>
    <s v="Y"/>
    <x v="0"/>
    <n v="18"/>
    <n v="3"/>
    <n v="4"/>
    <n v="80"/>
    <n v="0"/>
    <n v="5"/>
    <n v="3"/>
    <n v="3"/>
    <n v="5"/>
    <n v="3"/>
    <n v="0"/>
    <n v="3"/>
  </r>
  <r>
    <n v="35"/>
    <x v="0"/>
    <x v="1"/>
    <n v="0"/>
    <x v="0"/>
    <n v="607"/>
    <x v="1"/>
    <x v="14"/>
    <n v="3"/>
    <x v="3"/>
    <x v="0"/>
    <n v="4"/>
    <x v="0"/>
    <n v="66"/>
    <x v="1"/>
    <n v="3"/>
    <x v="3"/>
    <n v="3"/>
    <x v="1"/>
    <x v="607"/>
    <n v="23457"/>
    <n v="1"/>
    <s v="Y"/>
    <x v="0"/>
    <n v="20"/>
    <n v="4"/>
    <n v="2"/>
    <n v="80"/>
    <n v="1"/>
    <n v="17"/>
    <n v="2"/>
    <n v="3"/>
    <n v="17"/>
    <n v="14"/>
    <n v="5"/>
    <n v="15"/>
  </r>
  <r>
    <n v="35"/>
    <x v="0"/>
    <x v="0"/>
    <n v="1"/>
    <x v="1"/>
    <n v="130"/>
    <x v="1"/>
    <x v="19"/>
    <n v="4"/>
    <x v="2"/>
    <x v="0"/>
    <n v="4"/>
    <x v="0"/>
    <n v="96"/>
    <x v="0"/>
    <n v="1"/>
    <x v="1"/>
    <n v="2"/>
    <x v="2"/>
    <x v="608"/>
    <n v="16612"/>
    <n v="1"/>
    <s v="Y"/>
    <x v="0"/>
    <n v="19"/>
    <n v="3"/>
    <n v="1"/>
    <n v="80"/>
    <n v="1"/>
    <n v="10"/>
    <n v="3"/>
    <n v="2"/>
    <n v="10"/>
    <n v="2"/>
    <n v="7"/>
    <n v="8"/>
  </r>
  <r>
    <n v="32"/>
    <x v="2"/>
    <x v="1"/>
    <n v="0"/>
    <x v="2"/>
    <n v="300"/>
    <x v="1"/>
    <x v="0"/>
    <n v="3"/>
    <x v="3"/>
    <x v="0"/>
    <n v="4"/>
    <x v="1"/>
    <n v="61"/>
    <x v="0"/>
    <n v="1"/>
    <x v="2"/>
    <n v="4"/>
    <x v="2"/>
    <x v="609"/>
    <n v="9148"/>
    <n v="0"/>
    <s v="Y"/>
    <x v="1"/>
    <n v="12"/>
    <n v="3"/>
    <n v="2"/>
    <n v="80"/>
    <n v="1"/>
    <n v="4"/>
    <n v="2"/>
    <n v="3"/>
    <n v="3"/>
    <n v="0"/>
    <n v="0"/>
    <n v="2"/>
  </r>
  <r>
    <n v="25"/>
    <x v="2"/>
    <x v="1"/>
    <n v="0"/>
    <x v="0"/>
    <n v="583"/>
    <x v="0"/>
    <x v="18"/>
    <n v="1"/>
    <x v="1"/>
    <x v="3"/>
    <n v="3"/>
    <x v="1"/>
    <n v="87"/>
    <x v="1"/>
    <n v="2"/>
    <x v="0"/>
    <n v="1"/>
    <x v="1"/>
    <x v="610"/>
    <n v="18154"/>
    <n v="1"/>
    <s v="Y"/>
    <x v="1"/>
    <n v="12"/>
    <n v="3"/>
    <n v="1"/>
    <n v="80"/>
    <n v="0"/>
    <n v="5"/>
    <n v="1"/>
    <n v="4"/>
    <n v="5"/>
    <n v="2"/>
    <n v="0"/>
    <n v="3"/>
  </r>
  <r>
    <n v="49"/>
    <x v="1"/>
    <x v="1"/>
    <n v="0"/>
    <x v="0"/>
    <n v="1418"/>
    <x v="1"/>
    <x v="0"/>
    <n v="3"/>
    <x v="3"/>
    <x v="4"/>
    <n v="3"/>
    <x v="0"/>
    <n v="36"/>
    <x v="0"/>
    <n v="1"/>
    <x v="1"/>
    <n v="1"/>
    <x v="1"/>
    <x v="611"/>
    <n v="10554"/>
    <n v="2"/>
    <s v="Y"/>
    <x v="1"/>
    <n v="16"/>
    <n v="3"/>
    <n v="2"/>
    <n v="80"/>
    <n v="1"/>
    <n v="7"/>
    <n v="2"/>
    <n v="3"/>
    <n v="4"/>
    <n v="2"/>
    <n v="0"/>
    <n v="2"/>
  </r>
  <r>
    <n v="24"/>
    <x v="4"/>
    <x v="1"/>
    <n v="0"/>
    <x v="2"/>
    <n v="1269"/>
    <x v="1"/>
    <x v="18"/>
    <n v="1"/>
    <x v="1"/>
    <x v="0"/>
    <n v="1"/>
    <x v="1"/>
    <n v="46"/>
    <x v="1"/>
    <n v="1"/>
    <x v="2"/>
    <n v="4"/>
    <x v="1"/>
    <x v="612"/>
    <n v="10778"/>
    <n v="0"/>
    <s v="Y"/>
    <x v="1"/>
    <n v="17"/>
    <n v="3"/>
    <n v="4"/>
    <n v="80"/>
    <n v="0"/>
    <n v="6"/>
    <n v="2"/>
    <n v="2"/>
    <n v="5"/>
    <n v="2"/>
    <n v="3"/>
    <n v="4"/>
  </r>
  <r>
    <n v="32"/>
    <x v="2"/>
    <x v="1"/>
    <n v="0"/>
    <x v="1"/>
    <n v="379"/>
    <x v="0"/>
    <x v="12"/>
    <n v="2"/>
    <x v="0"/>
    <x v="0"/>
    <n v="2"/>
    <x v="1"/>
    <n v="48"/>
    <x v="0"/>
    <n v="2"/>
    <x v="0"/>
    <n v="2"/>
    <x v="1"/>
    <x v="613"/>
    <n v="8891"/>
    <n v="1"/>
    <s v="Y"/>
    <x v="1"/>
    <n v="14"/>
    <n v="3"/>
    <n v="4"/>
    <n v="80"/>
    <n v="1"/>
    <n v="10"/>
    <n v="3"/>
    <n v="3"/>
    <n v="10"/>
    <n v="8"/>
    <n v="5"/>
    <n v="3"/>
  </r>
  <r>
    <n v="38"/>
    <x v="0"/>
    <x v="1"/>
    <n v="0"/>
    <x v="0"/>
    <n v="395"/>
    <x v="0"/>
    <x v="14"/>
    <n v="3"/>
    <x v="3"/>
    <x v="3"/>
    <n v="2"/>
    <x v="1"/>
    <n v="98"/>
    <x v="1"/>
    <n v="1"/>
    <x v="6"/>
    <n v="2"/>
    <x v="1"/>
    <x v="614"/>
    <n v="12102"/>
    <n v="0"/>
    <s v="Y"/>
    <x v="1"/>
    <n v="19"/>
    <n v="3"/>
    <n v="4"/>
    <n v="80"/>
    <n v="1"/>
    <n v="3"/>
    <n v="3"/>
    <n v="3"/>
    <n v="2"/>
    <n v="2"/>
    <n v="1"/>
    <n v="2"/>
  </r>
  <r>
    <n v="42"/>
    <x v="0"/>
    <x v="1"/>
    <n v="0"/>
    <x v="0"/>
    <n v="1265"/>
    <x v="1"/>
    <x v="3"/>
    <n v="3"/>
    <x v="3"/>
    <x v="0"/>
    <n v="3"/>
    <x v="0"/>
    <n v="95"/>
    <x v="2"/>
    <n v="2"/>
    <x v="2"/>
    <n v="4"/>
    <x v="1"/>
    <x v="615"/>
    <n v="23726"/>
    <n v="2"/>
    <s v="Y"/>
    <x v="0"/>
    <n v="13"/>
    <n v="3"/>
    <n v="2"/>
    <n v="80"/>
    <n v="1"/>
    <n v="17"/>
    <n v="1"/>
    <n v="2"/>
    <n v="5"/>
    <n v="3"/>
    <n v="1"/>
    <n v="3"/>
  </r>
  <r>
    <n v="31"/>
    <x v="2"/>
    <x v="1"/>
    <n v="0"/>
    <x v="0"/>
    <n v="1222"/>
    <x v="1"/>
    <x v="13"/>
    <n v="4"/>
    <x v="2"/>
    <x v="0"/>
    <n v="4"/>
    <x v="1"/>
    <n v="48"/>
    <x v="0"/>
    <n v="1"/>
    <x v="1"/>
    <n v="4"/>
    <x v="1"/>
    <x v="616"/>
    <n v="14871"/>
    <n v="3"/>
    <s v="Y"/>
    <x v="0"/>
    <n v="19"/>
    <n v="3"/>
    <n v="2"/>
    <n v="80"/>
    <n v="1"/>
    <n v="8"/>
    <n v="2"/>
    <n v="3"/>
    <n v="6"/>
    <n v="4"/>
    <n v="0"/>
    <n v="2"/>
  </r>
  <r>
    <n v="29"/>
    <x v="2"/>
    <x v="0"/>
    <n v="1"/>
    <x v="0"/>
    <n v="341"/>
    <x v="0"/>
    <x v="0"/>
    <n v="3"/>
    <x v="3"/>
    <x v="2"/>
    <n v="2"/>
    <x v="0"/>
    <n v="48"/>
    <x v="1"/>
    <n v="1"/>
    <x v="6"/>
    <n v="3"/>
    <x v="2"/>
    <x v="617"/>
    <n v="23522"/>
    <n v="6"/>
    <s v="Y"/>
    <x v="0"/>
    <n v="19"/>
    <n v="3"/>
    <n v="3"/>
    <n v="80"/>
    <n v="3"/>
    <n v="5"/>
    <n v="3"/>
    <n v="3"/>
    <n v="3"/>
    <n v="2"/>
    <n v="0"/>
    <n v="2"/>
  </r>
  <r>
    <n v="53"/>
    <x v="1"/>
    <x v="1"/>
    <n v="0"/>
    <x v="0"/>
    <n v="868"/>
    <x v="0"/>
    <x v="1"/>
    <n v="3"/>
    <x v="3"/>
    <x v="3"/>
    <n v="1"/>
    <x v="1"/>
    <n v="73"/>
    <x v="0"/>
    <n v="4"/>
    <x v="0"/>
    <n v="4"/>
    <x v="1"/>
    <x v="618"/>
    <n v="22789"/>
    <n v="5"/>
    <s v="Y"/>
    <x v="1"/>
    <n v="14"/>
    <n v="3"/>
    <n v="3"/>
    <n v="80"/>
    <n v="1"/>
    <n v="28"/>
    <n v="3"/>
    <n v="3"/>
    <n v="2"/>
    <n v="0"/>
    <n v="2"/>
    <n v="2"/>
  </r>
  <r>
    <n v="35"/>
    <x v="0"/>
    <x v="1"/>
    <n v="0"/>
    <x v="0"/>
    <n v="672"/>
    <x v="1"/>
    <x v="19"/>
    <n v="3"/>
    <x v="3"/>
    <x v="4"/>
    <n v="4"/>
    <x v="1"/>
    <n v="78"/>
    <x v="1"/>
    <n v="3"/>
    <x v="3"/>
    <n v="2"/>
    <x v="1"/>
    <x v="619"/>
    <n v="9129"/>
    <n v="3"/>
    <s v="Y"/>
    <x v="1"/>
    <n v="16"/>
    <n v="3"/>
    <n v="1"/>
    <n v="80"/>
    <n v="0"/>
    <n v="16"/>
    <n v="2"/>
    <n v="3"/>
    <n v="13"/>
    <n v="10"/>
    <n v="4"/>
    <n v="8"/>
  </r>
  <r>
    <n v="37"/>
    <x v="0"/>
    <x v="1"/>
    <n v="0"/>
    <x v="1"/>
    <n v="1231"/>
    <x v="0"/>
    <x v="11"/>
    <n v="2"/>
    <x v="0"/>
    <x v="2"/>
    <n v="3"/>
    <x v="0"/>
    <n v="54"/>
    <x v="0"/>
    <n v="1"/>
    <x v="6"/>
    <n v="4"/>
    <x v="1"/>
    <x v="620"/>
    <n v="21222"/>
    <n v="5"/>
    <s v="Y"/>
    <x v="1"/>
    <n v="15"/>
    <n v="3"/>
    <n v="2"/>
    <n v="80"/>
    <n v="1"/>
    <n v="10"/>
    <n v="3"/>
    <n v="3"/>
    <n v="5"/>
    <n v="4"/>
    <n v="0"/>
    <n v="0"/>
  </r>
  <r>
    <n v="53"/>
    <x v="1"/>
    <x v="1"/>
    <n v="0"/>
    <x v="0"/>
    <n v="102"/>
    <x v="1"/>
    <x v="5"/>
    <n v="4"/>
    <x v="2"/>
    <x v="0"/>
    <n v="4"/>
    <x v="0"/>
    <n v="72"/>
    <x v="0"/>
    <n v="4"/>
    <x v="7"/>
    <n v="4"/>
    <x v="0"/>
    <x v="621"/>
    <n v="20206"/>
    <n v="6"/>
    <s v="Y"/>
    <x v="1"/>
    <n v="18"/>
    <n v="3"/>
    <n v="3"/>
    <n v="80"/>
    <n v="0"/>
    <n v="33"/>
    <n v="0"/>
    <n v="3"/>
    <n v="12"/>
    <n v="9"/>
    <n v="3"/>
    <n v="8"/>
  </r>
  <r>
    <n v="43"/>
    <x v="0"/>
    <x v="1"/>
    <n v="0"/>
    <x v="1"/>
    <n v="422"/>
    <x v="1"/>
    <x v="0"/>
    <n v="3"/>
    <x v="3"/>
    <x v="0"/>
    <n v="4"/>
    <x v="0"/>
    <n v="33"/>
    <x v="0"/>
    <n v="2"/>
    <x v="4"/>
    <n v="4"/>
    <x v="1"/>
    <x v="622"/>
    <n v="21782"/>
    <n v="4"/>
    <s v="Y"/>
    <x v="1"/>
    <n v="13"/>
    <n v="3"/>
    <n v="2"/>
    <n v="80"/>
    <n v="1"/>
    <n v="12"/>
    <n v="2"/>
    <n v="2"/>
    <n v="5"/>
    <n v="2"/>
    <n v="2"/>
    <n v="2"/>
  </r>
  <r>
    <n v="47"/>
    <x v="1"/>
    <x v="1"/>
    <n v="0"/>
    <x v="0"/>
    <n v="249"/>
    <x v="0"/>
    <x v="2"/>
    <n v="2"/>
    <x v="0"/>
    <x v="3"/>
    <n v="3"/>
    <x v="0"/>
    <n v="35"/>
    <x v="0"/>
    <n v="2"/>
    <x v="0"/>
    <n v="4"/>
    <x v="1"/>
    <x v="623"/>
    <n v="17783"/>
    <n v="0"/>
    <s v="Y"/>
    <x v="0"/>
    <n v="22"/>
    <n v="4"/>
    <n v="1"/>
    <n v="80"/>
    <n v="1"/>
    <n v="8"/>
    <n v="2"/>
    <n v="3"/>
    <n v="7"/>
    <n v="6"/>
    <n v="7"/>
    <n v="7"/>
  </r>
  <r>
    <n v="37"/>
    <x v="0"/>
    <x v="1"/>
    <n v="0"/>
    <x v="2"/>
    <n v="1252"/>
    <x v="0"/>
    <x v="10"/>
    <n v="2"/>
    <x v="0"/>
    <x v="2"/>
    <n v="1"/>
    <x v="1"/>
    <n v="32"/>
    <x v="0"/>
    <n v="3"/>
    <x v="0"/>
    <n v="2"/>
    <x v="0"/>
    <x v="624"/>
    <n v="4814"/>
    <n v="1"/>
    <s v="Y"/>
    <x v="0"/>
    <n v="13"/>
    <n v="3"/>
    <n v="4"/>
    <n v="80"/>
    <n v="0"/>
    <n v="10"/>
    <n v="2"/>
    <n v="3"/>
    <n v="10"/>
    <n v="0"/>
    <n v="0"/>
    <n v="9"/>
  </r>
  <r>
    <n v="50"/>
    <x v="1"/>
    <x v="1"/>
    <n v="0"/>
    <x v="2"/>
    <n v="881"/>
    <x v="1"/>
    <x v="2"/>
    <n v="4"/>
    <x v="2"/>
    <x v="0"/>
    <n v="1"/>
    <x v="1"/>
    <n v="98"/>
    <x v="0"/>
    <n v="4"/>
    <x v="5"/>
    <n v="1"/>
    <x v="2"/>
    <x v="625"/>
    <n v="4544"/>
    <n v="1"/>
    <s v="Y"/>
    <x v="1"/>
    <n v="11"/>
    <n v="3"/>
    <n v="4"/>
    <n v="80"/>
    <n v="1"/>
    <n v="31"/>
    <n v="3"/>
    <n v="3"/>
    <n v="31"/>
    <n v="6"/>
    <n v="14"/>
    <n v="7"/>
  </r>
  <r>
    <n v="39"/>
    <x v="0"/>
    <x v="1"/>
    <n v="0"/>
    <x v="0"/>
    <n v="1383"/>
    <x v="2"/>
    <x v="2"/>
    <n v="3"/>
    <x v="3"/>
    <x v="0"/>
    <n v="4"/>
    <x v="0"/>
    <n v="42"/>
    <x v="1"/>
    <n v="2"/>
    <x v="8"/>
    <n v="4"/>
    <x v="1"/>
    <x v="626"/>
    <n v="7790"/>
    <n v="8"/>
    <s v="Y"/>
    <x v="1"/>
    <n v="11"/>
    <n v="3"/>
    <n v="3"/>
    <n v="80"/>
    <n v="2"/>
    <n v="13"/>
    <n v="2"/>
    <n v="3"/>
    <n v="5"/>
    <n v="4"/>
    <n v="0"/>
    <n v="4"/>
  </r>
  <r>
    <n v="33"/>
    <x v="2"/>
    <x v="1"/>
    <n v="0"/>
    <x v="0"/>
    <n v="1075"/>
    <x v="2"/>
    <x v="3"/>
    <n v="2"/>
    <x v="0"/>
    <x v="5"/>
    <n v="4"/>
    <x v="1"/>
    <n v="57"/>
    <x v="0"/>
    <n v="1"/>
    <x v="8"/>
    <n v="2"/>
    <x v="2"/>
    <x v="627"/>
    <n v="22650"/>
    <n v="3"/>
    <s v="Y"/>
    <x v="0"/>
    <n v="11"/>
    <n v="3"/>
    <n v="3"/>
    <n v="80"/>
    <n v="1"/>
    <n v="7"/>
    <n v="4"/>
    <n v="4"/>
    <n v="4"/>
    <n v="3"/>
    <n v="0"/>
    <n v="3"/>
  </r>
  <r>
    <n v="32"/>
    <x v="2"/>
    <x v="0"/>
    <n v="1"/>
    <x v="0"/>
    <n v="374"/>
    <x v="1"/>
    <x v="19"/>
    <n v="4"/>
    <x v="2"/>
    <x v="0"/>
    <n v="1"/>
    <x v="1"/>
    <n v="87"/>
    <x v="0"/>
    <n v="1"/>
    <x v="2"/>
    <n v="4"/>
    <x v="0"/>
    <x v="628"/>
    <n v="18016"/>
    <n v="1"/>
    <s v="Y"/>
    <x v="0"/>
    <n v="24"/>
    <n v="4"/>
    <n v="3"/>
    <n v="80"/>
    <n v="0"/>
    <n v="1"/>
    <n v="2"/>
    <n v="1"/>
    <n v="1"/>
    <n v="0"/>
    <n v="0"/>
    <n v="1"/>
  </r>
  <r>
    <n v="29"/>
    <x v="2"/>
    <x v="1"/>
    <n v="0"/>
    <x v="0"/>
    <n v="1086"/>
    <x v="1"/>
    <x v="15"/>
    <n v="1"/>
    <x v="1"/>
    <x v="2"/>
    <n v="1"/>
    <x v="0"/>
    <n v="62"/>
    <x v="1"/>
    <n v="1"/>
    <x v="2"/>
    <n v="4"/>
    <x v="2"/>
    <x v="629"/>
    <n v="6054"/>
    <n v="6"/>
    <s v="Y"/>
    <x v="1"/>
    <n v="14"/>
    <n v="3"/>
    <n v="3"/>
    <n v="80"/>
    <n v="3"/>
    <n v="8"/>
    <n v="5"/>
    <n v="3"/>
    <n v="4"/>
    <n v="3"/>
    <n v="0"/>
    <n v="3"/>
  </r>
  <r>
    <n v="44"/>
    <x v="0"/>
    <x v="1"/>
    <n v="0"/>
    <x v="0"/>
    <n v="661"/>
    <x v="1"/>
    <x v="14"/>
    <n v="2"/>
    <x v="0"/>
    <x v="0"/>
    <n v="2"/>
    <x v="1"/>
    <n v="61"/>
    <x v="0"/>
    <n v="1"/>
    <x v="1"/>
    <n v="1"/>
    <x v="1"/>
    <x v="594"/>
    <n v="7508"/>
    <n v="1"/>
    <s v="Y"/>
    <x v="0"/>
    <n v="13"/>
    <n v="3"/>
    <n v="4"/>
    <n v="80"/>
    <n v="0"/>
    <n v="8"/>
    <n v="0"/>
    <n v="3"/>
    <n v="8"/>
    <n v="7"/>
    <n v="7"/>
    <n v="1"/>
  </r>
  <r>
    <n v="28"/>
    <x v="2"/>
    <x v="1"/>
    <n v="0"/>
    <x v="0"/>
    <n v="821"/>
    <x v="0"/>
    <x v="12"/>
    <n v="4"/>
    <x v="2"/>
    <x v="2"/>
    <n v="1"/>
    <x v="1"/>
    <n v="98"/>
    <x v="0"/>
    <n v="2"/>
    <x v="0"/>
    <n v="4"/>
    <x v="0"/>
    <x v="630"/>
    <n v="24252"/>
    <n v="1"/>
    <s v="Y"/>
    <x v="1"/>
    <n v="14"/>
    <n v="3"/>
    <n v="2"/>
    <n v="80"/>
    <n v="0"/>
    <n v="4"/>
    <n v="3"/>
    <n v="3"/>
    <n v="4"/>
    <n v="2"/>
    <n v="0"/>
    <n v="2"/>
  </r>
  <r>
    <n v="58"/>
    <x v="3"/>
    <x v="0"/>
    <n v="1"/>
    <x v="1"/>
    <n v="781"/>
    <x v="1"/>
    <x v="2"/>
    <n v="1"/>
    <x v="1"/>
    <x v="0"/>
    <n v="4"/>
    <x v="1"/>
    <n v="57"/>
    <x v="1"/>
    <n v="1"/>
    <x v="2"/>
    <n v="4"/>
    <x v="2"/>
    <x v="631"/>
    <n v="13384"/>
    <n v="9"/>
    <s v="Y"/>
    <x v="0"/>
    <n v="14"/>
    <n v="3"/>
    <n v="4"/>
    <n v="80"/>
    <n v="1"/>
    <n v="3"/>
    <n v="3"/>
    <n v="2"/>
    <n v="1"/>
    <n v="0"/>
    <n v="0"/>
    <n v="0"/>
  </r>
  <r>
    <n v="43"/>
    <x v="0"/>
    <x v="1"/>
    <n v="0"/>
    <x v="0"/>
    <n v="177"/>
    <x v="1"/>
    <x v="1"/>
    <n v="3"/>
    <x v="3"/>
    <x v="0"/>
    <n v="1"/>
    <x v="0"/>
    <n v="55"/>
    <x v="0"/>
    <n v="2"/>
    <x v="3"/>
    <n v="2"/>
    <x v="2"/>
    <x v="632"/>
    <n v="23814"/>
    <n v="4"/>
    <s v="Y"/>
    <x v="1"/>
    <n v="21"/>
    <n v="4"/>
    <n v="3"/>
    <n v="80"/>
    <n v="1"/>
    <n v="4"/>
    <n v="2"/>
    <n v="4"/>
    <n v="1"/>
    <n v="0"/>
    <n v="0"/>
    <n v="0"/>
  </r>
  <r>
    <n v="20"/>
    <x v="4"/>
    <x v="0"/>
    <n v="1"/>
    <x v="0"/>
    <n v="500"/>
    <x v="0"/>
    <x v="2"/>
    <n v="3"/>
    <x v="3"/>
    <x v="2"/>
    <n v="3"/>
    <x v="0"/>
    <n v="49"/>
    <x v="1"/>
    <n v="1"/>
    <x v="6"/>
    <n v="3"/>
    <x v="0"/>
    <x v="633"/>
    <n v="22052"/>
    <n v="1"/>
    <s v="Y"/>
    <x v="1"/>
    <n v="13"/>
    <n v="3"/>
    <n v="4"/>
    <n v="80"/>
    <n v="0"/>
    <n v="2"/>
    <n v="3"/>
    <n v="2"/>
    <n v="2"/>
    <n v="2"/>
    <n v="0"/>
    <n v="2"/>
  </r>
  <r>
    <n v="21"/>
    <x v="4"/>
    <x v="0"/>
    <n v="1"/>
    <x v="0"/>
    <n v="1427"/>
    <x v="1"/>
    <x v="21"/>
    <n v="1"/>
    <x v="1"/>
    <x v="1"/>
    <n v="4"/>
    <x v="0"/>
    <n v="65"/>
    <x v="0"/>
    <n v="1"/>
    <x v="1"/>
    <n v="4"/>
    <x v="0"/>
    <x v="7"/>
    <n v="8870"/>
    <n v="1"/>
    <s v="Y"/>
    <x v="1"/>
    <n v="19"/>
    <n v="3"/>
    <n v="1"/>
    <n v="80"/>
    <n v="0"/>
    <n v="1"/>
    <n v="3"/>
    <n v="2"/>
    <n v="1"/>
    <n v="0"/>
    <n v="0"/>
    <n v="0"/>
  </r>
  <r>
    <n v="36"/>
    <x v="0"/>
    <x v="1"/>
    <n v="0"/>
    <x v="0"/>
    <n v="1425"/>
    <x v="1"/>
    <x v="24"/>
    <n v="1"/>
    <x v="1"/>
    <x v="0"/>
    <n v="3"/>
    <x v="1"/>
    <n v="68"/>
    <x v="0"/>
    <n v="2"/>
    <x v="4"/>
    <n v="4"/>
    <x v="1"/>
    <x v="634"/>
    <n v="4821"/>
    <n v="0"/>
    <s v="Y"/>
    <x v="0"/>
    <n v="17"/>
    <n v="3"/>
    <n v="1"/>
    <n v="80"/>
    <n v="1"/>
    <n v="17"/>
    <n v="2"/>
    <n v="2"/>
    <n v="16"/>
    <n v="8"/>
    <n v="4"/>
    <n v="11"/>
  </r>
  <r>
    <n v="47"/>
    <x v="1"/>
    <x v="1"/>
    <n v="0"/>
    <x v="0"/>
    <n v="1454"/>
    <x v="0"/>
    <x v="2"/>
    <n v="4"/>
    <x v="2"/>
    <x v="0"/>
    <n v="4"/>
    <x v="0"/>
    <n v="65"/>
    <x v="1"/>
    <n v="1"/>
    <x v="6"/>
    <n v="4"/>
    <x v="0"/>
    <x v="635"/>
    <n v="13137"/>
    <n v="1"/>
    <s v="Y"/>
    <x v="0"/>
    <n v="18"/>
    <n v="3"/>
    <n v="1"/>
    <n v="80"/>
    <n v="0"/>
    <n v="3"/>
    <n v="3"/>
    <n v="2"/>
    <n v="3"/>
    <n v="2"/>
    <n v="1"/>
    <n v="2"/>
  </r>
  <r>
    <n v="22"/>
    <x v="4"/>
    <x v="0"/>
    <n v="1"/>
    <x v="0"/>
    <n v="617"/>
    <x v="1"/>
    <x v="3"/>
    <n v="1"/>
    <x v="1"/>
    <x v="0"/>
    <n v="2"/>
    <x v="0"/>
    <n v="34"/>
    <x v="0"/>
    <n v="2"/>
    <x v="3"/>
    <n v="3"/>
    <x v="1"/>
    <x v="636"/>
    <n v="10022"/>
    <n v="0"/>
    <s v="Y"/>
    <x v="0"/>
    <n v="19"/>
    <n v="3"/>
    <n v="1"/>
    <n v="80"/>
    <n v="1"/>
    <n v="4"/>
    <n v="3"/>
    <n v="4"/>
    <n v="3"/>
    <n v="2"/>
    <n v="0"/>
    <n v="2"/>
  </r>
  <r>
    <n v="41"/>
    <x v="0"/>
    <x v="0"/>
    <n v="1"/>
    <x v="0"/>
    <n v="1085"/>
    <x v="1"/>
    <x v="2"/>
    <n v="4"/>
    <x v="2"/>
    <x v="0"/>
    <n v="2"/>
    <x v="0"/>
    <n v="57"/>
    <x v="3"/>
    <n v="1"/>
    <x v="2"/>
    <n v="4"/>
    <x v="2"/>
    <x v="637"/>
    <n v="17725"/>
    <n v="4"/>
    <s v="Y"/>
    <x v="0"/>
    <n v="13"/>
    <n v="3"/>
    <n v="3"/>
    <n v="80"/>
    <n v="1"/>
    <n v="10"/>
    <n v="1"/>
    <n v="2"/>
    <n v="7"/>
    <n v="7"/>
    <n v="1"/>
    <n v="0"/>
  </r>
  <r>
    <n v="28"/>
    <x v="2"/>
    <x v="1"/>
    <n v="0"/>
    <x v="0"/>
    <n v="995"/>
    <x v="1"/>
    <x v="14"/>
    <n v="3"/>
    <x v="3"/>
    <x v="2"/>
    <n v="3"/>
    <x v="0"/>
    <n v="77"/>
    <x v="0"/>
    <n v="1"/>
    <x v="1"/>
    <n v="3"/>
    <x v="2"/>
    <x v="638"/>
    <n v="9834"/>
    <n v="5"/>
    <s v="Y"/>
    <x v="1"/>
    <n v="18"/>
    <n v="3"/>
    <n v="2"/>
    <n v="80"/>
    <n v="1"/>
    <n v="6"/>
    <n v="2"/>
    <n v="3"/>
    <n v="2"/>
    <n v="2"/>
    <n v="2"/>
    <n v="2"/>
  </r>
  <r>
    <n v="39"/>
    <x v="0"/>
    <x v="0"/>
    <n v="1"/>
    <x v="0"/>
    <n v="1122"/>
    <x v="1"/>
    <x v="16"/>
    <n v="3"/>
    <x v="3"/>
    <x v="2"/>
    <n v="4"/>
    <x v="1"/>
    <n v="70"/>
    <x v="0"/>
    <n v="1"/>
    <x v="2"/>
    <n v="1"/>
    <x v="1"/>
    <x v="639"/>
    <n v="4303"/>
    <n v="7"/>
    <s v="Y"/>
    <x v="0"/>
    <n v="21"/>
    <n v="4"/>
    <n v="4"/>
    <n v="80"/>
    <n v="0"/>
    <n v="8"/>
    <n v="2"/>
    <n v="1"/>
    <n v="2"/>
    <n v="2"/>
    <n v="2"/>
    <n v="2"/>
  </r>
  <r>
    <n v="27"/>
    <x v="2"/>
    <x v="1"/>
    <n v="0"/>
    <x v="0"/>
    <n v="618"/>
    <x v="1"/>
    <x v="18"/>
    <n v="3"/>
    <x v="3"/>
    <x v="0"/>
    <n v="2"/>
    <x v="0"/>
    <n v="76"/>
    <x v="0"/>
    <n v="1"/>
    <x v="1"/>
    <n v="3"/>
    <x v="0"/>
    <x v="640"/>
    <n v="17808"/>
    <n v="1"/>
    <s v="Y"/>
    <x v="1"/>
    <n v="19"/>
    <n v="3"/>
    <n v="3"/>
    <n v="80"/>
    <n v="0"/>
    <n v="1"/>
    <n v="2"/>
    <n v="3"/>
    <n v="1"/>
    <n v="1"/>
    <n v="0"/>
    <n v="0"/>
  </r>
  <r>
    <n v="34"/>
    <x v="2"/>
    <x v="1"/>
    <n v="0"/>
    <x v="0"/>
    <n v="546"/>
    <x v="1"/>
    <x v="17"/>
    <n v="3"/>
    <x v="3"/>
    <x v="0"/>
    <n v="2"/>
    <x v="1"/>
    <n v="83"/>
    <x v="0"/>
    <n v="1"/>
    <x v="2"/>
    <n v="2"/>
    <x v="2"/>
    <x v="641"/>
    <n v="6896"/>
    <n v="1"/>
    <s v="Y"/>
    <x v="1"/>
    <n v="14"/>
    <n v="3"/>
    <n v="2"/>
    <n v="80"/>
    <n v="2"/>
    <n v="1"/>
    <n v="3"/>
    <n v="3"/>
    <n v="1"/>
    <n v="0"/>
    <n v="1"/>
    <n v="0"/>
  </r>
  <r>
    <n v="42"/>
    <x v="0"/>
    <x v="1"/>
    <n v="0"/>
    <x v="0"/>
    <n v="462"/>
    <x v="0"/>
    <x v="24"/>
    <n v="2"/>
    <x v="0"/>
    <x v="2"/>
    <n v="3"/>
    <x v="0"/>
    <n v="68"/>
    <x v="1"/>
    <n v="2"/>
    <x v="0"/>
    <n v="3"/>
    <x v="0"/>
    <x v="642"/>
    <n v="7824"/>
    <n v="7"/>
    <s v="Y"/>
    <x v="1"/>
    <n v="17"/>
    <n v="3"/>
    <n v="1"/>
    <n v="80"/>
    <n v="0"/>
    <n v="10"/>
    <n v="6"/>
    <n v="3"/>
    <n v="5"/>
    <n v="4"/>
    <n v="0"/>
    <n v="3"/>
  </r>
  <r>
    <n v="33"/>
    <x v="2"/>
    <x v="1"/>
    <n v="0"/>
    <x v="0"/>
    <n v="1198"/>
    <x v="1"/>
    <x v="0"/>
    <n v="4"/>
    <x v="2"/>
    <x v="1"/>
    <n v="3"/>
    <x v="1"/>
    <n v="100"/>
    <x v="1"/>
    <n v="1"/>
    <x v="1"/>
    <n v="1"/>
    <x v="0"/>
    <x v="643"/>
    <n v="3339"/>
    <n v="3"/>
    <s v="Y"/>
    <x v="0"/>
    <n v="11"/>
    <n v="3"/>
    <n v="2"/>
    <n v="80"/>
    <n v="0"/>
    <n v="6"/>
    <n v="1"/>
    <n v="3"/>
    <n v="3"/>
    <n v="2"/>
    <n v="0"/>
    <n v="2"/>
  </r>
  <r>
    <n v="58"/>
    <x v="3"/>
    <x v="1"/>
    <n v="0"/>
    <x v="0"/>
    <n v="1272"/>
    <x v="1"/>
    <x v="12"/>
    <n v="3"/>
    <x v="3"/>
    <x v="4"/>
    <n v="3"/>
    <x v="0"/>
    <n v="37"/>
    <x v="1"/>
    <n v="3"/>
    <x v="4"/>
    <n v="2"/>
    <x v="2"/>
    <x v="644"/>
    <n v="9255"/>
    <n v="2"/>
    <s v="Y"/>
    <x v="0"/>
    <n v="13"/>
    <n v="3"/>
    <n v="4"/>
    <n v="80"/>
    <n v="1"/>
    <n v="24"/>
    <n v="3"/>
    <n v="3"/>
    <n v="6"/>
    <n v="0"/>
    <n v="0"/>
    <n v="4"/>
  </r>
  <r>
    <n v="31"/>
    <x v="2"/>
    <x v="1"/>
    <n v="0"/>
    <x v="0"/>
    <n v="154"/>
    <x v="0"/>
    <x v="15"/>
    <n v="4"/>
    <x v="2"/>
    <x v="0"/>
    <n v="2"/>
    <x v="1"/>
    <n v="41"/>
    <x v="1"/>
    <n v="1"/>
    <x v="6"/>
    <n v="3"/>
    <x v="1"/>
    <x v="645"/>
    <n v="11737"/>
    <n v="3"/>
    <s v="Y"/>
    <x v="1"/>
    <n v="15"/>
    <n v="3"/>
    <n v="2"/>
    <n v="80"/>
    <n v="0"/>
    <n v="13"/>
    <n v="2"/>
    <n v="4"/>
    <n v="7"/>
    <n v="7"/>
    <n v="5"/>
    <n v="2"/>
  </r>
  <r>
    <n v="35"/>
    <x v="0"/>
    <x v="1"/>
    <n v="0"/>
    <x v="0"/>
    <n v="1137"/>
    <x v="1"/>
    <x v="11"/>
    <n v="1"/>
    <x v="1"/>
    <x v="0"/>
    <n v="4"/>
    <x v="0"/>
    <n v="51"/>
    <x v="0"/>
    <n v="2"/>
    <x v="4"/>
    <n v="4"/>
    <x v="1"/>
    <x v="55"/>
    <n v="19170"/>
    <n v="1"/>
    <s v="Y"/>
    <x v="0"/>
    <n v="25"/>
    <n v="4"/>
    <n v="4"/>
    <n v="80"/>
    <n v="1"/>
    <n v="10"/>
    <n v="2"/>
    <n v="1"/>
    <n v="10"/>
    <n v="6"/>
    <n v="0"/>
    <n v="7"/>
  </r>
  <r>
    <n v="49"/>
    <x v="1"/>
    <x v="1"/>
    <n v="0"/>
    <x v="0"/>
    <n v="527"/>
    <x v="1"/>
    <x v="1"/>
    <n v="2"/>
    <x v="0"/>
    <x v="1"/>
    <n v="1"/>
    <x v="0"/>
    <n v="51"/>
    <x v="0"/>
    <n v="3"/>
    <x v="2"/>
    <n v="2"/>
    <x v="1"/>
    <x v="646"/>
    <n v="22477"/>
    <n v="4"/>
    <s v="Y"/>
    <x v="1"/>
    <n v="11"/>
    <n v="3"/>
    <n v="3"/>
    <n v="80"/>
    <n v="1"/>
    <n v="29"/>
    <n v="3"/>
    <n v="2"/>
    <n v="26"/>
    <n v="9"/>
    <n v="1"/>
    <n v="7"/>
  </r>
  <r>
    <n v="48"/>
    <x v="1"/>
    <x v="1"/>
    <n v="0"/>
    <x v="0"/>
    <n v="1469"/>
    <x v="1"/>
    <x v="25"/>
    <n v="4"/>
    <x v="2"/>
    <x v="2"/>
    <n v="4"/>
    <x v="1"/>
    <n v="51"/>
    <x v="0"/>
    <n v="1"/>
    <x v="1"/>
    <n v="3"/>
    <x v="1"/>
    <x v="647"/>
    <n v="5543"/>
    <n v="4"/>
    <s v="Y"/>
    <x v="1"/>
    <n v="17"/>
    <n v="3"/>
    <n v="1"/>
    <n v="80"/>
    <n v="2"/>
    <n v="13"/>
    <n v="2"/>
    <n v="2"/>
    <n v="0"/>
    <n v="0"/>
    <n v="0"/>
    <n v="0"/>
  </r>
  <r>
    <n v="31"/>
    <x v="2"/>
    <x v="1"/>
    <n v="0"/>
    <x v="2"/>
    <n v="1188"/>
    <x v="0"/>
    <x v="25"/>
    <n v="2"/>
    <x v="0"/>
    <x v="3"/>
    <n v="4"/>
    <x v="0"/>
    <n v="45"/>
    <x v="0"/>
    <n v="2"/>
    <x v="0"/>
    <n v="3"/>
    <x v="1"/>
    <x v="648"/>
    <n v="24406"/>
    <n v="1"/>
    <s v="Y"/>
    <x v="1"/>
    <n v="13"/>
    <n v="3"/>
    <n v="4"/>
    <n v="80"/>
    <n v="1"/>
    <n v="9"/>
    <n v="2"/>
    <n v="2"/>
    <n v="9"/>
    <n v="8"/>
    <n v="0"/>
    <n v="0"/>
  </r>
  <r>
    <n v="36"/>
    <x v="0"/>
    <x v="1"/>
    <n v="0"/>
    <x v="0"/>
    <n v="188"/>
    <x v="1"/>
    <x v="15"/>
    <n v="4"/>
    <x v="2"/>
    <x v="1"/>
    <n v="2"/>
    <x v="1"/>
    <n v="65"/>
    <x v="0"/>
    <n v="1"/>
    <x v="1"/>
    <n v="4"/>
    <x v="0"/>
    <x v="649"/>
    <n v="23293"/>
    <n v="2"/>
    <s v="Y"/>
    <x v="1"/>
    <n v="18"/>
    <n v="3"/>
    <n v="3"/>
    <n v="80"/>
    <n v="0"/>
    <n v="8"/>
    <n v="6"/>
    <n v="3"/>
    <n v="6"/>
    <n v="2"/>
    <n v="0"/>
    <n v="1"/>
  </r>
  <r>
    <n v="38"/>
    <x v="0"/>
    <x v="1"/>
    <n v="0"/>
    <x v="0"/>
    <n v="1333"/>
    <x v="1"/>
    <x v="0"/>
    <n v="3"/>
    <x v="3"/>
    <x v="4"/>
    <n v="4"/>
    <x v="0"/>
    <n v="80"/>
    <x v="0"/>
    <n v="3"/>
    <x v="7"/>
    <n v="1"/>
    <x v="1"/>
    <x v="650"/>
    <n v="16292"/>
    <n v="1"/>
    <s v="Y"/>
    <x v="1"/>
    <n v="13"/>
    <n v="3"/>
    <n v="2"/>
    <n v="80"/>
    <n v="1"/>
    <n v="15"/>
    <n v="3"/>
    <n v="3"/>
    <n v="15"/>
    <n v="12"/>
    <n v="5"/>
    <n v="11"/>
  </r>
  <r>
    <n v="32"/>
    <x v="2"/>
    <x v="1"/>
    <n v="0"/>
    <x v="2"/>
    <n v="1184"/>
    <x v="1"/>
    <x v="0"/>
    <n v="3"/>
    <x v="3"/>
    <x v="0"/>
    <n v="3"/>
    <x v="0"/>
    <n v="70"/>
    <x v="1"/>
    <n v="1"/>
    <x v="2"/>
    <n v="2"/>
    <x v="1"/>
    <x v="651"/>
    <n v="3974"/>
    <n v="6"/>
    <s v="Y"/>
    <x v="1"/>
    <n v="20"/>
    <n v="4"/>
    <n v="3"/>
    <n v="80"/>
    <n v="0"/>
    <n v="5"/>
    <n v="3"/>
    <n v="3"/>
    <n v="3"/>
    <n v="0"/>
    <n v="0"/>
    <n v="2"/>
  </r>
  <r>
    <n v="25"/>
    <x v="2"/>
    <x v="0"/>
    <n v="1"/>
    <x v="0"/>
    <n v="867"/>
    <x v="0"/>
    <x v="10"/>
    <n v="2"/>
    <x v="0"/>
    <x v="3"/>
    <n v="3"/>
    <x v="1"/>
    <n v="36"/>
    <x v="1"/>
    <n v="1"/>
    <x v="6"/>
    <n v="2"/>
    <x v="1"/>
    <x v="652"/>
    <n v="18798"/>
    <n v="1"/>
    <s v="Y"/>
    <x v="0"/>
    <n v="18"/>
    <n v="3"/>
    <n v="3"/>
    <n v="80"/>
    <n v="3"/>
    <n v="1"/>
    <n v="2"/>
    <n v="3"/>
    <n v="1"/>
    <n v="0"/>
    <n v="0"/>
    <n v="0"/>
  </r>
  <r>
    <n v="40"/>
    <x v="0"/>
    <x v="1"/>
    <n v="0"/>
    <x v="0"/>
    <n v="658"/>
    <x v="0"/>
    <x v="17"/>
    <n v="4"/>
    <x v="2"/>
    <x v="3"/>
    <n v="1"/>
    <x v="1"/>
    <n v="67"/>
    <x v="1"/>
    <n v="3"/>
    <x v="0"/>
    <n v="2"/>
    <x v="2"/>
    <x v="653"/>
    <n v="20652"/>
    <n v="2"/>
    <s v="Y"/>
    <x v="1"/>
    <n v="12"/>
    <n v="3"/>
    <n v="2"/>
    <n v="80"/>
    <n v="1"/>
    <n v="11"/>
    <n v="2"/>
    <n v="2"/>
    <n v="1"/>
    <n v="0"/>
    <n v="0"/>
    <n v="0"/>
  </r>
  <r>
    <n v="26"/>
    <x v="2"/>
    <x v="1"/>
    <n v="0"/>
    <x v="1"/>
    <n v="1283"/>
    <x v="0"/>
    <x v="0"/>
    <n v="3"/>
    <x v="3"/>
    <x v="2"/>
    <n v="3"/>
    <x v="1"/>
    <n v="52"/>
    <x v="1"/>
    <n v="2"/>
    <x v="0"/>
    <n v="1"/>
    <x v="0"/>
    <x v="654"/>
    <n v="11148"/>
    <n v="1"/>
    <s v="Y"/>
    <x v="1"/>
    <n v="12"/>
    <n v="3"/>
    <n v="2"/>
    <n v="80"/>
    <n v="0"/>
    <n v="7"/>
    <n v="2"/>
    <n v="3"/>
    <n v="7"/>
    <n v="7"/>
    <n v="0"/>
    <n v="7"/>
  </r>
  <r>
    <n v="41"/>
    <x v="0"/>
    <x v="1"/>
    <n v="0"/>
    <x v="0"/>
    <n v="263"/>
    <x v="1"/>
    <x v="16"/>
    <n v="3"/>
    <x v="3"/>
    <x v="2"/>
    <n v="4"/>
    <x v="1"/>
    <n v="59"/>
    <x v="0"/>
    <n v="1"/>
    <x v="2"/>
    <n v="1"/>
    <x v="0"/>
    <x v="655"/>
    <n v="3119"/>
    <n v="2"/>
    <s v="Y"/>
    <x v="0"/>
    <n v="13"/>
    <n v="3"/>
    <n v="3"/>
    <n v="80"/>
    <n v="0"/>
    <n v="20"/>
    <n v="3"/>
    <n v="3"/>
    <n v="18"/>
    <n v="13"/>
    <n v="2"/>
    <n v="17"/>
  </r>
  <r>
    <n v="36"/>
    <x v="0"/>
    <x v="1"/>
    <n v="0"/>
    <x v="0"/>
    <n v="938"/>
    <x v="1"/>
    <x v="2"/>
    <n v="4"/>
    <x v="2"/>
    <x v="2"/>
    <n v="3"/>
    <x v="1"/>
    <n v="79"/>
    <x v="0"/>
    <n v="1"/>
    <x v="2"/>
    <n v="3"/>
    <x v="0"/>
    <x v="656"/>
    <n v="12287"/>
    <n v="4"/>
    <s v="Y"/>
    <x v="1"/>
    <n v="21"/>
    <n v="4"/>
    <n v="3"/>
    <n v="80"/>
    <n v="0"/>
    <n v="16"/>
    <n v="6"/>
    <n v="3"/>
    <n v="11"/>
    <n v="8"/>
    <n v="3"/>
    <n v="9"/>
  </r>
  <r>
    <n v="19"/>
    <x v="4"/>
    <x v="0"/>
    <n v="1"/>
    <x v="0"/>
    <n v="419"/>
    <x v="0"/>
    <x v="11"/>
    <n v="3"/>
    <x v="3"/>
    <x v="1"/>
    <n v="4"/>
    <x v="1"/>
    <n v="37"/>
    <x v="1"/>
    <n v="1"/>
    <x v="6"/>
    <n v="2"/>
    <x v="0"/>
    <x v="657"/>
    <n v="9947"/>
    <n v="1"/>
    <s v="Y"/>
    <x v="0"/>
    <n v="13"/>
    <n v="3"/>
    <n v="2"/>
    <n v="80"/>
    <n v="0"/>
    <n v="1"/>
    <n v="3"/>
    <n v="4"/>
    <n v="1"/>
    <n v="0"/>
    <n v="0"/>
    <n v="0"/>
  </r>
  <r>
    <n v="20"/>
    <x v="4"/>
    <x v="0"/>
    <n v="1"/>
    <x v="0"/>
    <n v="129"/>
    <x v="1"/>
    <x v="18"/>
    <n v="3"/>
    <x v="3"/>
    <x v="4"/>
    <n v="1"/>
    <x v="1"/>
    <n v="84"/>
    <x v="0"/>
    <n v="1"/>
    <x v="2"/>
    <n v="1"/>
    <x v="0"/>
    <x v="620"/>
    <n v="13008"/>
    <n v="1"/>
    <s v="Y"/>
    <x v="1"/>
    <n v="19"/>
    <n v="3"/>
    <n v="2"/>
    <n v="80"/>
    <n v="0"/>
    <n v="1"/>
    <n v="2"/>
    <n v="3"/>
    <n v="1"/>
    <n v="0"/>
    <n v="0"/>
    <n v="0"/>
  </r>
  <r>
    <n v="31"/>
    <x v="2"/>
    <x v="1"/>
    <n v="0"/>
    <x v="0"/>
    <n v="616"/>
    <x v="1"/>
    <x v="20"/>
    <n v="3"/>
    <x v="3"/>
    <x v="2"/>
    <n v="4"/>
    <x v="0"/>
    <n v="41"/>
    <x v="0"/>
    <n v="2"/>
    <x v="4"/>
    <n v="4"/>
    <x v="1"/>
    <x v="658"/>
    <n v="17369"/>
    <n v="0"/>
    <s v="Y"/>
    <x v="0"/>
    <n v="11"/>
    <n v="3"/>
    <n v="3"/>
    <n v="80"/>
    <n v="2"/>
    <n v="10"/>
    <n v="2"/>
    <n v="1"/>
    <n v="9"/>
    <n v="7"/>
    <n v="8"/>
    <n v="5"/>
  </r>
  <r>
    <n v="40"/>
    <x v="0"/>
    <x v="1"/>
    <n v="0"/>
    <x v="1"/>
    <n v="1469"/>
    <x v="1"/>
    <x v="14"/>
    <n v="4"/>
    <x v="2"/>
    <x v="2"/>
    <n v="4"/>
    <x v="1"/>
    <n v="35"/>
    <x v="0"/>
    <n v="1"/>
    <x v="1"/>
    <n v="2"/>
    <x v="2"/>
    <x v="659"/>
    <n v="25063"/>
    <n v="8"/>
    <s v="Y"/>
    <x v="0"/>
    <n v="14"/>
    <n v="3"/>
    <n v="4"/>
    <n v="80"/>
    <n v="1"/>
    <n v="3"/>
    <n v="2"/>
    <n v="3"/>
    <n v="1"/>
    <n v="1"/>
    <n v="0"/>
    <n v="0"/>
  </r>
  <r>
    <n v="32"/>
    <x v="2"/>
    <x v="1"/>
    <n v="0"/>
    <x v="0"/>
    <n v="498"/>
    <x v="1"/>
    <x v="3"/>
    <n v="4"/>
    <x v="2"/>
    <x v="2"/>
    <n v="3"/>
    <x v="0"/>
    <n v="93"/>
    <x v="0"/>
    <n v="2"/>
    <x v="3"/>
    <n v="1"/>
    <x v="1"/>
    <x v="660"/>
    <n v="13554"/>
    <n v="1"/>
    <s v="Y"/>
    <x v="1"/>
    <n v="12"/>
    <n v="3"/>
    <n v="3"/>
    <n v="80"/>
    <n v="1"/>
    <n v="8"/>
    <n v="2"/>
    <n v="4"/>
    <n v="8"/>
    <n v="7"/>
    <n v="6"/>
    <n v="3"/>
  </r>
  <r>
    <n v="36"/>
    <x v="0"/>
    <x v="0"/>
    <n v="1"/>
    <x v="0"/>
    <n v="530"/>
    <x v="0"/>
    <x v="3"/>
    <n v="1"/>
    <x v="1"/>
    <x v="0"/>
    <n v="3"/>
    <x v="1"/>
    <n v="51"/>
    <x v="1"/>
    <n v="3"/>
    <x v="0"/>
    <n v="4"/>
    <x v="1"/>
    <x v="661"/>
    <n v="5518"/>
    <n v="1"/>
    <s v="Y"/>
    <x v="0"/>
    <n v="11"/>
    <n v="3"/>
    <n v="1"/>
    <n v="80"/>
    <n v="1"/>
    <n v="16"/>
    <n v="6"/>
    <n v="3"/>
    <n v="16"/>
    <n v="7"/>
    <n v="3"/>
    <n v="7"/>
  </r>
  <r>
    <n v="33"/>
    <x v="2"/>
    <x v="1"/>
    <n v="0"/>
    <x v="0"/>
    <n v="1069"/>
    <x v="1"/>
    <x v="0"/>
    <n v="3"/>
    <x v="3"/>
    <x v="0"/>
    <n v="2"/>
    <x v="0"/>
    <n v="42"/>
    <x v="1"/>
    <n v="2"/>
    <x v="4"/>
    <n v="4"/>
    <x v="0"/>
    <x v="662"/>
    <n v="12291"/>
    <n v="0"/>
    <s v="Y"/>
    <x v="1"/>
    <n v="14"/>
    <n v="3"/>
    <n v="1"/>
    <n v="80"/>
    <n v="0"/>
    <n v="6"/>
    <n v="3"/>
    <n v="3"/>
    <n v="5"/>
    <n v="0"/>
    <n v="1"/>
    <n v="4"/>
  </r>
  <r>
    <n v="37"/>
    <x v="0"/>
    <x v="0"/>
    <n v="1"/>
    <x v="0"/>
    <n v="625"/>
    <x v="0"/>
    <x v="0"/>
    <n v="4"/>
    <x v="2"/>
    <x v="0"/>
    <n v="1"/>
    <x v="1"/>
    <n v="46"/>
    <x v="1"/>
    <n v="3"/>
    <x v="0"/>
    <n v="3"/>
    <x v="1"/>
    <x v="219"/>
    <n v="14922"/>
    <n v="5"/>
    <s v="Y"/>
    <x v="1"/>
    <n v="11"/>
    <n v="3"/>
    <n v="3"/>
    <n v="80"/>
    <n v="0"/>
    <n v="17"/>
    <n v="2"/>
    <n v="1"/>
    <n v="14"/>
    <n v="1"/>
    <n v="11"/>
    <n v="7"/>
  </r>
  <r>
    <n v="45"/>
    <x v="1"/>
    <x v="1"/>
    <n v="0"/>
    <x v="2"/>
    <n v="805"/>
    <x v="1"/>
    <x v="18"/>
    <n v="2"/>
    <x v="0"/>
    <x v="0"/>
    <n v="3"/>
    <x v="1"/>
    <n v="57"/>
    <x v="0"/>
    <n v="2"/>
    <x v="2"/>
    <n v="2"/>
    <x v="1"/>
    <x v="663"/>
    <n v="23163"/>
    <n v="1"/>
    <s v="Y"/>
    <x v="1"/>
    <n v="12"/>
    <n v="3"/>
    <n v="2"/>
    <n v="80"/>
    <n v="0"/>
    <n v="9"/>
    <n v="5"/>
    <n v="2"/>
    <n v="9"/>
    <n v="7"/>
    <n v="0"/>
    <n v="8"/>
  </r>
  <r>
    <n v="29"/>
    <x v="2"/>
    <x v="1"/>
    <n v="0"/>
    <x v="1"/>
    <n v="1404"/>
    <x v="0"/>
    <x v="25"/>
    <n v="3"/>
    <x v="3"/>
    <x v="4"/>
    <n v="3"/>
    <x v="0"/>
    <n v="84"/>
    <x v="0"/>
    <n v="1"/>
    <x v="6"/>
    <n v="4"/>
    <x v="1"/>
    <x v="664"/>
    <n v="18203"/>
    <n v="1"/>
    <s v="Y"/>
    <x v="1"/>
    <n v="15"/>
    <n v="3"/>
    <n v="2"/>
    <n v="80"/>
    <n v="1"/>
    <n v="3"/>
    <n v="5"/>
    <n v="3"/>
    <n v="3"/>
    <n v="1"/>
    <n v="0"/>
    <n v="2"/>
  </r>
  <r>
    <n v="35"/>
    <x v="0"/>
    <x v="1"/>
    <n v="0"/>
    <x v="0"/>
    <n v="1219"/>
    <x v="0"/>
    <x v="21"/>
    <n v="3"/>
    <x v="3"/>
    <x v="2"/>
    <n v="3"/>
    <x v="0"/>
    <n v="86"/>
    <x v="0"/>
    <n v="2"/>
    <x v="0"/>
    <n v="3"/>
    <x v="1"/>
    <x v="665"/>
    <n v="6179"/>
    <n v="1"/>
    <s v="Y"/>
    <x v="1"/>
    <n v="16"/>
    <n v="3"/>
    <n v="2"/>
    <n v="80"/>
    <n v="0"/>
    <n v="5"/>
    <n v="3"/>
    <n v="3"/>
    <n v="5"/>
    <n v="2"/>
    <n v="1"/>
    <n v="0"/>
  </r>
  <r>
    <n v="52"/>
    <x v="1"/>
    <x v="1"/>
    <n v="0"/>
    <x v="0"/>
    <n v="1053"/>
    <x v="1"/>
    <x v="0"/>
    <n v="2"/>
    <x v="0"/>
    <x v="0"/>
    <n v="4"/>
    <x v="1"/>
    <n v="70"/>
    <x v="0"/>
    <n v="4"/>
    <x v="5"/>
    <n v="4"/>
    <x v="1"/>
    <x v="666"/>
    <n v="13829"/>
    <n v="2"/>
    <s v="Y"/>
    <x v="1"/>
    <n v="15"/>
    <n v="3"/>
    <n v="2"/>
    <n v="80"/>
    <n v="1"/>
    <n v="26"/>
    <n v="2"/>
    <n v="2"/>
    <n v="9"/>
    <n v="8"/>
    <n v="7"/>
    <n v="8"/>
  </r>
  <r>
    <n v="58"/>
    <x v="3"/>
    <x v="0"/>
    <n v="1"/>
    <x v="0"/>
    <n v="289"/>
    <x v="1"/>
    <x v="2"/>
    <n v="3"/>
    <x v="3"/>
    <x v="4"/>
    <n v="4"/>
    <x v="1"/>
    <n v="51"/>
    <x v="0"/>
    <n v="1"/>
    <x v="1"/>
    <n v="3"/>
    <x v="0"/>
    <x v="667"/>
    <n v="26227"/>
    <n v="4"/>
    <s v="Y"/>
    <x v="1"/>
    <n v="24"/>
    <n v="4"/>
    <n v="1"/>
    <n v="80"/>
    <n v="0"/>
    <n v="7"/>
    <n v="4"/>
    <n v="3"/>
    <n v="1"/>
    <n v="0"/>
    <n v="0"/>
    <n v="0"/>
  </r>
  <r>
    <n v="53"/>
    <x v="1"/>
    <x v="1"/>
    <n v="0"/>
    <x v="0"/>
    <n v="1376"/>
    <x v="0"/>
    <x v="2"/>
    <n v="2"/>
    <x v="0"/>
    <x v="2"/>
    <n v="3"/>
    <x v="1"/>
    <n v="45"/>
    <x v="0"/>
    <n v="4"/>
    <x v="5"/>
    <n v="3"/>
    <x v="2"/>
    <x v="668"/>
    <n v="13938"/>
    <n v="6"/>
    <s v="Y"/>
    <x v="1"/>
    <n v="13"/>
    <n v="3"/>
    <n v="3"/>
    <n v="80"/>
    <n v="1"/>
    <n v="22"/>
    <n v="3"/>
    <n v="4"/>
    <n v="17"/>
    <n v="13"/>
    <n v="15"/>
    <n v="2"/>
  </r>
  <r>
    <n v="30"/>
    <x v="2"/>
    <x v="1"/>
    <n v="0"/>
    <x v="0"/>
    <n v="231"/>
    <x v="0"/>
    <x v="1"/>
    <n v="2"/>
    <x v="0"/>
    <x v="1"/>
    <n v="3"/>
    <x v="1"/>
    <n v="62"/>
    <x v="0"/>
    <n v="3"/>
    <x v="0"/>
    <n v="3"/>
    <x v="2"/>
    <x v="669"/>
    <n v="9977"/>
    <n v="5"/>
    <s v="Y"/>
    <x v="1"/>
    <n v="11"/>
    <n v="3"/>
    <n v="1"/>
    <n v="80"/>
    <n v="1"/>
    <n v="10"/>
    <n v="2"/>
    <n v="4"/>
    <n v="8"/>
    <n v="4"/>
    <n v="7"/>
    <n v="7"/>
  </r>
  <r>
    <n v="38"/>
    <x v="0"/>
    <x v="1"/>
    <n v="0"/>
    <x v="2"/>
    <n v="152"/>
    <x v="0"/>
    <x v="17"/>
    <n v="3"/>
    <x v="3"/>
    <x v="4"/>
    <n v="3"/>
    <x v="0"/>
    <n v="85"/>
    <x v="0"/>
    <n v="2"/>
    <x v="0"/>
    <n v="4"/>
    <x v="0"/>
    <x v="670"/>
    <n v="19899"/>
    <n v="1"/>
    <s v="Y"/>
    <x v="0"/>
    <n v="13"/>
    <n v="3"/>
    <n v="2"/>
    <n v="80"/>
    <n v="0"/>
    <n v="6"/>
    <n v="1"/>
    <n v="3"/>
    <n v="5"/>
    <n v="3"/>
    <n v="1"/>
    <n v="3"/>
  </r>
  <r>
    <n v="35"/>
    <x v="0"/>
    <x v="1"/>
    <n v="0"/>
    <x v="0"/>
    <n v="882"/>
    <x v="0"/>
    <x v="3"/>
    <n v="4"/>
    <x v="2"/>
    <x v="0"/>
    <n v="4"/>
    <x v="1"/>
    <n v="92"/>
    <x v="0"/>
    <n v="3"/>
    <x v="0"/>
    <n v="4"/>
    <x v="2"/>
    <x v="671"/>
    <n v="6812"/>
    <n v="6"/>
    <s v="Y"/>
    <x v="1"/>
    <n v="13"/>
    <n v="3"/>
    <n v="2"/>
    <n v="80"/>
    <n v="1"/>
    <n v="12"/>
    <n v="2"/>
    <n v="3"/>
    <n v="10"/>
    <n v="9"/>
    <n v="0"/>
    <n v="8"/>
  </r>
  <r>
    <n v="39"/>
    <x v="0"/>
    <x v="1"/>
    <n v="0"/>
    <x v="0"/>
    <n v="903"/>
    <x v="0"/>
    <x v="2"/>
    <n v="5"/>
    <x v="4"/>
    <x v="0"/>
    <n v="1"/>
    <x v="1"/>
    <n v="41"/>
    <x v="2"/>
    <n v="3"/>
    <x v="0"/>
    <n v="3"/>
    <x v="0"/>
    <x v="672"/>
    <n v="2560"/>
    <n v="0"/>
    <s v="Y"/>
    <x v="1"/>
    <n v="18"/>
    <n v="3"/>
    <n v="4"/>
    <n v="80"/>
    <n v="0"/>
    <n v="9"/>
    <n v="3"/>
    <n v="3"/>
    <n v="8"/>
    <n v="7"/>
    <n v="0"/>
    <n v="7"/>
  </r>
  <r>
    <n v="40"/>
    <x v="0"/>
    <x v="0"/>
    <n v="1"/>
    <x v="2"/>
    <n v="1479"/>
    <x v="0"/>
    <x v="4"/>
    <n v="3"/>
    <x v="3"/>
    <x v="0"/>
    <n v="2"/>
    <x v="0"/>
    <n v="100"/>
    <x v="2"/>
    <n v="4"/>
    <x v="0"/>
    <n v="2"/>
    <x v="0"/>
    <x v="673"/>
    <n v="17071"/>
    <n v="4"/>
    <s v="Y"/>
    <x v="0"/>
    <n v="16"/>
    <n v="3"/>
    <n v="4"/>
    <n v="80"/>
    <n v="0"/>
    <n v="22"/>
    <n v="2"/>
    <n v="2"/>
    <n v="1"/>
    <n v="0"/>
    <n v="0"/>
    <n v="0"/>
  </r>
  <r>
    <n v="47"/>
    <x v="1"/>
    <x v="1"/>
    <n v="0"/>
    <x v="1"/>
    <n v="1379"/>
    <x v="1"/>
    <x v="7"/>
    <n v="4"/>
    <x v="2"/>
    <x v="2"/>
    <n v="3"/>
    <x v="1"/>
    <n v="64"/>
    <x v="2"/>
    <n v="2"/>
    <x v="3"/>
    <n v="3"/>
    <x v="2"/>
    <x v="674"/>
    <n v="6759"/>
    <n v="1"/>
    <s v="Y"/>
    <x v="0"/>
    <n v="19"/>
    <n v="3"/>
    <n v="3"/>
    <n v="80"/>
    <n v="0"/>
    <n v="20"/>
    <n v="3"/>
    <n v="4"/>
    <n v="19"/>
    <n v="10"/>
    <n v="2"/>
    <n v="7"/>
  </r>
  <r>
    <n v="36"/>
    <x v="0"/>
    <x v="1"/>
    <n v="0"/>
    <x v="2"/>
    <n v="1229"/>
    <x v="0"/>
    <x v="1"/>
    <n v="4"/>
    <x v="2"/>
    <x v="4"/>
    <n v="1"/>
    <x v="1"/>
    <n v="84"/>
    <x v="0"/>
    <n v="2"/>
    <x v="0"/>
    <n v="4"/>
    <x v="2"/>
    <x v="675"/>
    <n v="25952"/>
    <n v="4"/>
    <s v="Y"/>
    <x v="1"/>
    <n v="13"/>
    <n v="3"/>
    <n v="4"/>
    <n v="80"/>
    <n v="2"/>
    <n v="12"/>
    <n v="3"/>
    <n v="3"/>
    <n v="7"/>
    <n v="7"/>
    <n v="0"/>
    <n v="7"/>
  </r>
  <r>
    <n v="31"/>
    <x v="2"/>
    <x v="0"/>
    <n v="1"/>
    <x v="2"/>
    <n v="335"/>
    <x v="1"/>
    <x v="14"/>
    <n v="2"/>
    <x v="0"/>
    <x v="2"/>
    <n v="3"/>
    <x v="1"/>
    <n v="46"/>
    <x v="1"/>
    <n v="1"/>
    <x v="1"/>
    <n v="1"/>
    <x v="0"/>
    <x v="676"/>
    <n v="10322"/>
    <n v="0"/>
    <s v="Y"/>
    <x v="0"/>
    <n v="22"/>
    <n v="4"/>
    <n v="1"/>
    <n v="80"/>
    <n v="0"/>
    <n v="4"/>
    <n v="0"/>
    <n v="3"/>
    <n v="3"/>
    <n v="2"/>
    <n v="1"/>
    <n v="2"/>
  </r>
  <r>
    <n v="33"/>
    <x v="2"/>
    <x v="1"/>
    <n v="0"/>
    <x v="2"/>
    <n v="722"/>
    <x v="0"/>
    <x v="27"/>
    <n v="3"/>
    <x v="3"/>
    <x v="0"/>
    <n v="4"/>
    <x v="1"/>
    <n v="38"/>
    <x v="0"/>
    <n v="4"/>
    <x v="5"/>
    <n v="3"/>
    <x v="0"/>
    <x v="677"/>
    <n v="20489"/>
    <n v="1"/>
    <s v="Y"/>
    <x v="1"/>
    <n v="11"/>
    <n v="3"/>
    <n v="4"/>
    <n v="80"/>
    <n v="0"/>
    <n v="10"/>
    <n v="2"/>
    <n v="3"/>
    <n v="10"/>
    <n v="8"/>
    <n v="6"/>
    <n v="0"/>
  </r>
  <r>
    <n v="29"/>
    <x v="2"/>
    <x v="0"/>
    <n v="1"/>
    <x v="0"/>
    <n v="906"/>
    <x v="1"/>
    <x v="17"/>
    <n v="3"/>
    <x v="3"/>
    <x v="0"/>
    <n v="4"/>
    <x v="0"/>
    <n v="92"/>
    <x v="1"/>
    <n v="1"/>
    <x v="1"/>
    <n v="1"/>
    <x v="0"/>
    <x v="639"/>
    <n v="11479"/>
    <n v="6"/>
    <s v="Y"/>
    <x v="0"/>
    <n v="20"/>
    <n v="4"/>
    <n v="3"/>
    <n v="80"/>
    <n v="0"/>
    <n v="3"/>
    <n v="5"/>
    <n v="3"/>
    <n v="0"/>
    <n v="0"/>
    <n v="0"/>
    <n v="0"/>
  </r>
  <r>
    <n v="33"/>
    <x v="2"/>
    <x v="1"/>
    <n v="0"/>
    <x v="0"/>
    <n v="461"/>
    <x v="1"/>
    <x v="28"/>
    <n v="1"/>
    <x v="1"/>
    <x v="0"/>
    <n v="2"/>
    <x v="0"/>
    <n v="53"/>
    <x v="0"/>
    <n v="1"/>
    <x v="1"/>
    <n v="4"/>
    <x v="0"/>
    <x v="138"/>
    <n v="17241"/>
    <n v="3"/>
    <s v="Y"/>
    <x v="1"/>
    <n v="18"/>
    <n v="3"/>
    <n v="1"/>
    <n v="80"/>
    <n v="0"/>
    <n v="5"/>
    <n v="4"/>
    <n v="3"/>
    <n v="3"/>
    <n v="2"/>
    <n v="0"/>
    <n v="2"/>
  </r>
  <r>
    <n v="45"/>
    <x v="1"/>
    <x v="1"/>
    <n v="0"/>
    <x v="0"/>
    <n v="974"/>
    <x v="1"/>
    <x v="0"/>
    <n v="4"/>
    <x v="2"/>
    <x v="2"/>
    <n v="4"/>
    <x v="0"/>
    <n v="91"/>
    <x v="0"/>
    <n v="1"/>
    <x v="2"/>
    <n v="4"/>
    <x v="2"/>
    <x v="678"/>
    <n v="11005"/>
    <n v="3"/>
    <s v="Y"/>
    <x v="1"/>
    <n v="14"/>
    <n v="3"/>
    <n v="4"/>
    <n v="80"/>
    <n v="2"/>
    <n v="8"/>
    <n v="2"/>
    <n v="3"/>
    <n v="5"/>
    <n v="3"/>
    <n v="0"/>
    <n v="2"/>
  </r>
  <r>
    <n v="50"/>
    <x v="1"/>
    <x v="1"/>
    <n v="0"/>
    <x v="0"/>
    <n v="1126"/>
    <x v="1"/>
    <x v="0"/>
    <n v="2"/>
    <x v="0"/>
    <x v="2"/>
    <n v="4"/>
    <x v="1"/>
    <n v="66"/>
    <x v="0"/>
    <n v="4"/>
    <x v="7"/>
    <n v="4"/>
    <x v="2"/>
    <x v="679"/>
    <n v="6615"/>
    <n v="9"/>
    <s v="Y"/>
    <x v="1"/>
    <n v="22"/>
    <n v="4"/>
    <n v="3"/>
    <n v="80"/>
    <n v="1"/>
    <n v="32"/>
    <n v="1"/>
    <n v="2"/>
    <n v="5"/>
    <n v="4"/>
    <n v="1"/>
    <n v="3"/>
  </r>
  <r>
    <n v="33"/>
    <x v="2"/>
    <x v="1"/>
    <n v="0"/>
    <x v="1"/>
    <n v="827"/>
    <x v="1"/>
    <x v="0"/>
    <n v="4"/>
    <x v="2"/>
    <x v="1"/>
    <n v="3"/>
    <x v="0"/>
    <n v="84"/>
    <x v="2"/>
    <n v="2"/>
    <x v="4"/>
    <n v="2"/>
    <x v="1"/>
    <x v="680"/>
    <n v="20161"/>
    <n v="1"/>
    <s v="Y"/>
    <x v="0"/>
    <n v="13"/>
    <n v="3"/>
    <n v="1"/>
    <n v="80"/>
    <n v="1"/>
    <n v="6"/>
    <n v="2"/>
    <n v="3"/>
    <n v="6"/>
    <n v="5"/>
    <n v="1"/>
    <n v="2"/>
  </r>
  <r>
    <n v="41"/>
    <x v="0"/>
    <x v="1"/>
    <n v="0"/>
    <x v="1"/>
    <n v="840"/>
    <x v="1"/>
    <x v="14"/>
    <n v="3"/>
    <x v="3"/>
    <x v="2"/>
    <n v="1"/>
    <x v="1"/>
    <n v="64"/>
    <x v="0"/>
    <n v="5"/>
    <x v="7"/>
    <n v="3"/>
    <x v="2"/>
    <x v="681"/>
    <n v="3735"/>
    <n v="2"/>
    <s v="Y"/>
    <x v="1"/>
    <n v="17"/>
    <n v="3"/>
    <n v="2"/>
    <n v="80"/>
    <n v="1"/>
    <n v="21"/>
    <n v="2"/>
    <n v="4"/>
    <n v="18"/>
    <n v="16"/>
    <n v="0"/>
    <n v="11"/>
  </r>
  <r>
    <n v="27"/>
    <x v="2"/>
    <x v="1"/>
    <n v="0"/>
    <x v="0"/>
    <n v="1134"/>
    <x v="1"/>
    <x v="7"/>
    <n v="4"/>
    <x v="2"/>
    <x v="4"/>
    <n v="3"/>
    <x v="0"/>
    <n v="37"/>
    <x v="0"/>
    <n v="1"/>
    <x v="2"/>
    <n v="2"/>
    <x v="1"/>
    <x v="682"/>
    <n v="12086"/>
    <n v="9"/>
    <s v="Y"/>
    <x v="1"/>
    <n v="14"/>
    <n v="3"/>
    <n v="2"/>
    <n v="80"/>
    <n v="1"/>
    <n v="4"/>
    <n v="2"/>
    <n v="3"/>
    <n v="2"/>
    <n v="2"/>
    <n v="2"/>
    <n v="2"/>
  </r>
  <r>
    <n v="45"/>
    <x v="1"/>
    <x v="1"/>
    <n v="0"/>
    <x v="2"/>
    <n v="248"/>
    <x v="1"/>
    <x v="5"/>
    <n v="2"/>
    <x v="0"/>
    <x v="0"/>
    <n v="4"/>
    <x v="1"/>
    <n v="42"/>
    <x v="0"/>
    <n v="2"/>
    <x v="2"/>
    <n v="1"/>
    <x v="1"/>
    <x v="683"/>
    <n v="14039"/>
    <n v="1"/>
    <s v="Y"/>
    <x v="0"/>
    <n v="15"/>
    <n v="3"/>
    <n v="3"/>
    <n v="80"/>
    <n v="1"/>
    <n v="9"/>
    <n v="2"/>
    <n v="3"/>
    <n v="9"/>
    <n v="8"/>
    <n v="0"/>
    <n v="8"/>
  </r>
  <r>
    <n v="47"/>
    <x v="1"/>
    <x v="1"/>
    <n v="0"/>
    <x v="0"/>
    <n v="955"/>
    <x v="0"/>
    <x v="18"/>
    <n v="2"/>
    <x v="0"/>
    <x v="0"/>
    <n v="4"/>
    <x v="0"/>
    <n v="83"/>
    <x v="0"/>
    <n v="2"/>
    <x v="0"/>
    <n v="4"/>
    <x v="0"/>
    <x v="684"/>
    <n v="8571"/>
    <n v="1"/>
    <s v="Y"/>
    <x v="0"/>
    <n v="17"/>
    <n v="3"/>
    <n v="3"/>
    <n v="80"/>
    <n v="0"/>
    <n v="9"/>
    <n v="0"/>
    <n v="3"/>
    <n v="9"/>
    <n v="0"/>
    <n v="0"/>
    <n v="7"/>
  </r>
  <r>
    <n v="30"/>
    <x v="2"/>
    <x v="0"/>
    <n v="1"/>
    <x v="0"/>
    <n v="138"/>
    <x v="1"/>
    <x v="23"/>
    <n v="3"/>
    <x v="3"/>
    <x v="0"/>
    <n v="1"/>
    <x v="0"/>
    <n v="48"/>
    <x v="0"/>
    <n v="1"/>
    <x v="1"/>
    <n v="3"/>
    <x v="1"/>
    <x v="685"/>
    <n v="11539"/>
    <n v="4"/>
    <s v="Y"/>
    <x v="0"/>
    <n v="11"/>
    <n v="3"/>
    <n v="2"/>
    <n v="80"/>
    <n v="0"/>
    <n v="7"/>
    <n v="2"/>
    <n v="3"/>
    <n v="5"/>
    <n v="2"/>
    <n v="0"/>
    <n v="1"/>
  </r>
  <r>
    <n v="50"/>
    <x v="1"/>
    <x v="1"/>
    <n v="0"/>
    <x v="0"/>
    <n v="939"/>
    <x v="1"/>
    <x v="4"/>
    <n v="3"/>
    <x v="3"/>
    <x v="0"/>
    <n v="4"/>
    <x v="1"/>
    <n v="95"/>
    <x v="0"/>
    <n v="4"/>
    <x v="3"/>
    <n v="3"/>
    <x v="1"/>
    <x v="686"/>
    <n v="4161"/>
    <n v="3"/>
    <s v="Y"/>
    <x v="0"/>
    <n v="18"/>
    <n v="3"/>
    <n v="4"/>
    <n v="80"/>
    <n v="1"/>
    <n v="22"/>
    <n v="2"/>
    <n v="3"/>
    <n v="12"/>
    <n v="11"/>
    <n v="1"/>
    <n v="5"/>
  </r>
  <r>
    <n v="38"/>
    <x v="0"/>
    <x v="1"/>
    <n v="0"/>
    <x v="1"/>
    <n v="1391"/>
    <x v="1"/>
    <x v="17"/>
    <n v="1"/>
    <x v="1"/>
    <x v="2"/>
    <n v="3"/>
    <x v="1"/>
    <n v="66"/>
    <x v="0"/>
    <n v="1"/>
    <x v="1"/>
    <n v="3"/>
    <x v="1"/>
    <x v="687"/>
    <n v="12127"/>
    <n v="0"/>
    <s v="Y"/>
    <x v="1"/>
    <n v="17"/>
    <n v="3"/>
    <n v="2"/>
    <n v="80"/>
    <n v="1"/>
    <n v="3"/>
    <n v="0"/>
    <n v="2"/>
    <n v="2"/>
    <n v="1"/>
    <n v="0"/>
    <n v="2"/>
  </r>
  <r>
    <n v="46"/>
    <x v="1"/>
    <x v="1"/>
    <n v="0"/>
    <x v="0"/>
    <n v="566"/>
    <x v="1"/>
    <x v="15"/>
    <n v="2"/>
    <x v="0"/>
    <x v="2"/>
    <n v="4"/>
    <x v="1"/>
    <n v="75"/>
    <x v="0"/>
    <n v="3"/>
    <x v="3"/>
    <n v="3"/>
    <x v="2"/>
    <x v="688"/>
    <n v="24208"/>
    <n v="6"/>
    <s v="Y"/>
    <x v="1"/>
    <n v="13"/>
    <n v="3"/>
    <n v="2"/>
    <n v="80"/>
    <n v="1"/>
    <n v="13"/>
    <n v="3"/>
    <n v="3"/>
    <n v="8"/>
    <n v="7"/>
    <n v="0"/>
    <n v="7"/>
  </r>
  <r>
    <n v="24"/>
    <x v="4"/>
    <x v="1"/>
    <n v="0"/>
    <x v="0"/>
    <n v="1206"/>
    <x v="1"/>
    <x v="27"/>
    <n v="1"/>
    <x v="1"/>
    <x v="2"/>
    <n v="4"/>
    <x v="0"/>
    <n v="41"/>
    <x v="1"/>
    <n v="2"/>
    <x v="3"/>
    <n v="3"/>
    <x v="2"/>
    <x v="689"/>
    <n v="24117"/>
    <n v="1"/>
    <s v="Y"/>
    <x v="1"/>
    <n v="15"/>
    <n v="3"/>
    <n v="2"/>
    <n v="80"/>
    <n v="2"/>
    <n v="5"/>
    <n v="6"/>
    <n v="3"/>
    <n v="4"/>
    <n v="2"/>
    <n v="3"/>
    <n v="2"/>
  </r>
  <r>
    <n v="35"/>
    <x v="0"/>
    <x v="0"/>
    <n v="1"/>
    <x v="0"/>
    <n v="622"/>
    <x v="1"/>
    <x v="24"/>
    <n v="4"/>
    <x v="2"/>
    <x v="1"/>
    <n v="3"/>
    <x v="1"/>
    <n v="39"/>
    <x v="1"/>
    <n v="1"/>
    <x v="2"/>
    <n v="2"/>
    <x v="2"/>
    <x v="690"/>
    <n v="10074"/>
    <n v="1"/>
    <s v="Y"/>
    <x v="0"/>
    <n v="24"/>
    <n v="4"/>
    <n v="4"/>
    <n v="80"/>
    <n v="1"/>
    <n v="5"/>
    <n v="2"/>
    <n v="1"/>
    <n v="4"/>
    <n v="2"/>
    <n v="0"/>
    <n v="2"/>
  </r>
  <r>
    <n v="31"/>
    <x v="2"/>
    <x v="1"/>
    <n v="0"/>
    <x v="1"/>
    <n v="853"/>
    <x v="1"/>
    <x v="0"/>
    <n v="1"/>
    <x v="1"/>
    <x v="0"/>
    <n v="3"/>
    <x v="0"/>
    <n v="96"/>
    <x v="0"/>
    <n v="2"/>
    <x v="3"/>
    <n v="1"/>
    <x v="1"/>
    <x v="691"/>
    <n v="11275"/>
    <n v="1"/>
    <s v="Y"/>
    <x v="1"/>
    <n v="12"/>
    <n v="3"/>
    <n v="3"/>
    <n v="80"/>
    <n v="1"/>
    <n v="4"/>
    <n v="1"/>
    <n v="3"/>
    <n v="4"/>
    <n v="3"/>
    <n v="0"/>
    <n v="3"/>
  </r>
  <r>
    <n v="18"/>
    <x v="4"/>
    <x v="1"/>
    <n v="0"/>
    <x v="2"/>
    <n v="287"/>
    <x v="1"/>
    <x v="12"/>
    <n v="2"/>
    <x v="0"/>
    <x v="0"/>
    <n v="2"/>
    <x v="1"/>
    <n v="73"/>
    <x v="0"/>
    <n v="1"/>
    <x v="1"/>
    <n v="4"/>
    <x v="0"/>
    <x v="692"/>
    <n v="13493"/>
    <n v="1"/>
    <s v="Y"/>
    <x v="1"/>
    <n v="15"/>
    <n v="3"/>
    <n v="4"/>
    <n v="80"/>
    <n v="0"/>
    <n v="0"/>
    <n v="2"/>
    <n v="3"/>
    <n v="0"/>
    <n v="0"/>
    <n v="0"/>
    <n v="0"/>
  </r>
  <r>
    <n v="54"/>
    <x v="1"/>
    <x v="1"/>
    <n v="0"/>
    <x v="0"/>
    <n v="1441"/>
    <x v="1"/>
    <x v="27"/>
    <n v="3"/>
    <x v="3"/>
    <x v="4"/>
    <n v="3"/>
    <x v="0"/>
    <n v="56"/>
    <x v="0"/>
    <n v="3"/>
    <x v="3"/>
    <n v="3"/>
    <x v="1"/>
    <x v="693"/>
    <n v="13943"/>
    <n v="8"/>
    <s v="Y"/>
    <x v="1"/>
    <n v="11"/>
    <n v="3"/>
    <n v="3"/>
    <n v="80"/>
    <n v="1"/>
    <n v="22"/>
    <n v="2"/>
    <n v="3"/>
    <n v="10"/>
    <n v="7"/>
    <n v="0"/>
    <n v="8"/>
  </r>
  <r>
    <n v="35"/>
    <x v="0"/>
    <x v="1"/>
    <n v="0"/>
    <x v="0"/>
    <n v="583"/>
    <x v="1"/>
    <x v="19"/>
    <n v="4"/>
    <x v="2"/>
    <x v="2"/>
    <n v="3"/>
    <x v="0"/>
    <n v="57"/>
    <x v="0"/>
    <n v="3"/>
    <x v="4"/>
    <n v="3"/>
    <x v="2"/>
    <x v="694"/>
    <n v="6975"/>
    <n v="1"/>
    <s v="Y"/>
    <x v="0"/>
    <n v="11"/>
    <n v="3"/>
    <n v="3"/>
    <n v="80"/>
    <n v="1"/>
    <n v="16"/>
    <n v="3"/>
    <n v="2"/>
    <n v="16"/>
    <n v="10"/>
    <n v="10"/>
    <n v="1"/>
  </r>
  <r>
    <n v="30"/>
    <x v="2"/>
    <x v="1"/>
    <n v="0"/>
    <x v="0"/>
    <n v="153"/>
    <x v="1"/>
    <x v="1"/>
    <n v="2"/>
    <x v="0"/>
    <x v="0"/>
    <n v="2"/>
    <x v="0"/>
    <n v="73"/>
    <x v="2"/>
    <n v="3"/>
    <x v="7"/>
    <n v="1"/>
    <x v="1"/>
    <x v="695"/>
    <n v="17802"/>
    <n v="0"/>
    <s v="Y"/>
    <x v="0"/>
    <n v="12"/>
    <n v="3"/>
    <n v="3"/>
    <n v="80"/>
    <n v="3"/>
    <n v="9"/>
    <n v="4"/>
    <n v="2"/>
    <n v="8"/>
    <n v="7"/>
    <n v="1"/>
    <n v="7"/>
  </r>
  <r>
    <n v="20"/>
    <x v="4"/>
    <x v="0"/>
    <n v="1"/>
    <x v="0"/>
    <n v="1097"/>
    <x v="1"/>
    <x v="13"/>
    <n v="3"/>
    <x v="3"/>
    <x v="2"/>
    <n v="4"/>
    <x v="0"/>
    <n v="98"/>
    <x v="1"/>
    <n v="1"/>
    <x v="1"/>
    <n v="1"/>
    <x v="0"/>
    <x v="696"/>
    <n v="18275"/>
    <n v="1"/>
    <s v="Y"/>
    <x v="0"/>
    <n v="15"/>
    <n v="3"/>
    <n v="1"/>
    <n v="80"/>
    <n v="0"/>
    <n v="1"/>
    <n v="2"/>
    <n v="3"/>
    <n v="1"/>
    <n v="0"/>
    <n v="0"/>
    <n v="0"/>
  </r>
  <r>
    <n v="30"/>
    <x v="2"/>
    <x v="0"/>
    <n v="1"/>
    <x v="1"/>
    <n v="109"/>
    <x v="1"/>
    <x v="12"/>
    <n v="3"/>
    <x v="3"/>
    <x v="2"/>
    <n v="2"/>
    <x v="0"/>
    <n v="60"/>
    <x v="0"/>
    <n v="1"/>
    <x v="2"/>
    <n v="2"/>
    <x v="0"/>
    <x v="697"/>
    <n v="25725"/>
    <n v="0"/>
    <s v="Y"/>
    <x v="1"/>
    <n v="17"/>
    <n v="3"/>
    <n v="1"/>
    <n v="80"/>
    <n v="0"/>
    <n v="4"/>
    <n v="3"/>
    <n v="3"/>
    <n v="3"/>
    <n v="2"/>
    <n v="1"/>
    <n v="2"/>
  </r>
  <r>
    <n v="26"/>
    <x v="2"/>
    <x v="1"/>
    <n v="0"/>
    <x v="0"/>
    <n v="1066"/>
    <x v="1"/>
    <x v="2"/>
    <n v="2"/>
    <x v="0"/>
    <x v="2"/>
    <n v="4"/>
    <x v="1"/>
    <n v="32"/>
    <x v="2"/>
    <n v="2"/>
    <x v="3"/>
    <n v="4"/>
    <x v="1"/>
    <x v="698"/>
    <n v="3334"/>
    <n v="1"/>
    <s v="Y"/>
    <x v="1"/>
    <n v="12"/>
    <n v="3"/>
    <n v="2"/>
    <n v="80"/>
    <n v="0"/>
    <n v="8"/>
    <n v="2"/>
    <n v="3"/>
    <n v="8"/>
    <n v="7"/>
    <n v="1"/>
    <n v="3"/>
  </r>
  <r>
    <n v="22"/>
    <x v="4"/>
    <x v="1"/>
    <n v="0"/>
    <x v="0"/>
    <n v="217"/>
    <x v="1"/>
    <x v="1"/>
    <n v="1"/>
    <x v="1"/>
    <x v="0"/>
    <n v="2"/>
    <x v="1"/>
    <n v="94"/>
    <x v="3"/>
    <n v="1"/>
    <x v="2"/>
    <n v="1"/>
    <x v="1"/>
    <x v="163"/>
    <n v="6881"/>
    <n v="1"/>
    <s v="Y"/>
    <x v="1"/>
    <n v="15"/>
    <n v="3"/>
    <n v="1"/>
    <n v="80"/>
    <n v="1"/>
    <n v="4"/>
    <n v="3"/>
    <n v="2"/>
    <n v="4"/>
    <n v="3"/>
    <n v="1"/>
    <n v="1"/>
  </r>
  <r>
    <n v="48"/>
    <x v="1"/>
    <x v="1"/>
    <n v="0"/>
    <x v="0"/>
    <n v="277"/>
    <x v="1"/>
    <x v="16"/>
    <n v="3"/>
    <x v="3"/>
    <x v="0"/>
    <n v="1"/>
    <x v="1"/>
    <n v="97"/>
    <x v="1"/>
    <n v="2"/>
    <x v="4"/>
    <n v="3"/>
    <x v="0"/>
    <x v="699"/>
    <n v="13119"/>
    <n v="2"/>
    <s v="Y"/>
    <x v="1"/>
    <n v="13"/>
    <n v="3"/>
    <n v="4"/>
    <n v="80"/>
    <n v="0"/>
    <n v="19"/>
    <n v="0"/>
    <n v="3"/>
    <n v="2"/>
    <n v="2"/>
    <n v="2"/>
    <n v="2"/>
  </r>
  <r>
    <n v="48"/>
    <x v="1"/>
    <x v="1"/>
    <n v="0"/>
    <x v="0"/>
    <n v="1355"/>
    <x v="1"/>
    <x v="18"/>
    <n v="4"/>
    <x v="2"/>
    <x v="0"/>
    <n v="3"/>
    <x v="1"/>
    <n v="78"/>
    <x v="1"/>
    <n v="3"/>
    <x v="4"/>
    <n v="3"/>
    <x v="0"/>
    <x v="700"/>
    <n v="22245"/>
    <n v="7"/>
    <s v="Y"/>
    <x v="1"/>
    <n v="14"/>
    <n v="3"/>
    <n v="2"/>
    <n v="80"/>
    <n v="0"/>
    <n v="27"/>
    <n v="3"/>
    <n v="3"/>
    <n v="15"/>
    <n v="11"/>
    <n v="4"/>
    <n v="8"/>
  </r>
  <r>
    <n v="41"/>
    <x v="0"/>
    <x v="1"/>
    <n v="0"/>
    <x v="0"/>
    <n v="549"/>
    <x v="1"/>
    <x v="15"/>
    <n v="2"/>
    <x v="0"/>
    <x v="2"/>
    <n v="4"/>
    <x v="0"/>
    <n v="42"/>
    <x v="0"/>
    <n v="2"/>
    <x v="3"/>
    <n v="3"/>
    <x v="0"/>
    <x v="701"/>
    <n v="23371"/>
    <n v="6"/>
    <s v="Y"/>
    <x v="1"/>
    <n v="14"/>
    <n v="3"/>
    <n v="2"/>
    <n v="80"/>
    <n v="0"/>
    <n v="8"/>
    <n v="6"/>
    <n v="3"/>
    <n v="2"/>
    <n v="2"/>
    <n v="2"/>
    <n v="1"/>
  </r>
  <r>
    <n v="39"/>
    <x v="0"/>
    <x v="1"/>
    <n v="0"/>
    <x v="0"/>
    <n v="466"/>
    <x v="1"/>
    <x v="0"/>
    <n v="1"/>
    <x v="1"/>
    <x v="0"/>
    <n v="4"/>
    <x v="0"/>
    <n v="65"/>
    <x v="1"/>
    <n v="4"/>
    <x v="3"/>
    <n v="4"/>
    <x v="1"/>
    <x v="702"/>
    <n v="7060"/>
    <n v="1"/>
    <s v="Y"/>
    <x v="1"/>
    <n v="16"/>
    <n v="3"/>
    <n v="3"/>
    <n v="80"/>
    <n v="1"/>
    <n v="21"/>
    <n v="3"/>
    <n v="3"/>
    <n v="21"/>
    <n v="6"/>
    <n v="11"/>
    <n v="8"/>
  </r>
  <r>
    <n v="27"/>
    <x v="2"/>
    <x v="1"/>
    <n v="0"/>
    <x v="0"/>
    <n v="1055"/>
    <x v="1"/>
    <x v="2"/>
    <n v="4"/>
    <x v="2"/>
    <x v="0"/>
    <n v="1"/>
    <x v="0"/>
    <n v="47"/>
    <x v="0"/>
    <n v="2"/>
    <x v="3"/>
    <n v="4"/>
    <x v="1"/>
    <x v="703"/>
    <n v="4658"/>
    <n v="0"/>
    <s v="Y"/>
    <x v="1"/>
    <n v="18"/>
    <n v="3"/>
    <n v="2"/>
    <n v="80"/>
    <n v="1"/>
    <n v="4"/>
    <n v="2"/>
    <n v="3"/>
    <n v="3"/>
    <n v="2"/>
    <n v="2"/>
    <n v="2"/>
  </r>
  <r>
    <n v="35"/>
    <x v="0"/>
    <x v="1"/>
    <n v="0"/>
    <x v="0"/>
    <n v="802"/>
    <x v="1"/>
    <x v="17"/>
    <n v="3"/>
    <x v="3"/>
    <x v="1"/>
    <n v="2"/>
    <x v="1"/>
    <n v="45"/>
    <x v="0"/>
    <n v="1"/>
    <x v="2"/>
    <n v="4"/>
    <x v="2"/>
    <x v="704"/>
    <n v="9541"/>
    <n v="1"/>
    <s v="Y"/>
    <x v="1"/>
    <n v="20"/>
    <n v="4"/>
    <n v="1"/>
    <n v="80"/>
    <n v="1"/>
    <n v="3"/>
    <n v="4"/>
    <n v="2"/>
    <n v="3"/>
    <n v="2"/>
    <n v="1"/>
    <n v="2"/>
  </r>
  <r>
    <n v="42"/>
    <x v="0"/>
    <x v="1"/>
    <n v="0"/>
    <x v="0"/>
    <n v="265"/>
    <x v="0"/>
    <x v="12"/>
    <n v="2"/>
    <x v="0"/>
    <x v="3"/>
    <n v="4"/>
    <x v="1"/>
    <n v="90"/>
    <x v="0"/>
    <n v="5"/>
    <x v="5"/>
    <n v="3"/>
    <x v="1"/>
    <x v="705"/>
    <n v="7770"/>
    <n v="6"/>
    <s v="Y"/>
    <x v="1"/>
    <n v="13"/>
    <n v="3"/>
    <n v="2"/>
    <n v="80"/>
    <n v="0"/>
    <n v="21"/>
    <n v="3"/>
    <n v="4"/>
    <n v="1"/>
    <n v="0"/>
    <n v="0"/>
    <n v="0"/>
  </r>
  <r>
    <n v="50"/>
    <x v="1"/>
    <x v="1"/>
    <n v="0"/>
    <x v="0"/>
    <n v="804"/>
    <x v="1"/>
    <x v="14"/>
    <n v="3"/>
    <x v="3"/>
    <x v="0"/>
    <n v="1"/>
    <x v="1"/>
    <n v="64"/>
    <x v="0"/>
    <n v="1"/>
    <x v="2"/>
    <n v="4"/>
    <x v="1"/>
    <x v="631"/>
    <n v="20165"/>
    <n v="4"/>
    <s v="Y"/>
    <x v="1"/>
    <n v="18"/>
    <n v="3"/>
    <n v="2"/>
    <n v="80"/>
    <n v="0"/>
    <n v="8"/>
    <n v="5"/>
    <n v="3"/>
    <n v="1"/>
    <n v="0"/>
    <n v="0"/>
    <n v="0"/>
  </r>
  <r>
    <n v="59"/>
    <x v="3"/>
    <x v="1"/>
    <n v="0"/>
    <x v="0"/>
    <n v="715"/>
    <x v="1"/>
    <x v="2"/>
    <n v="3"/>
    <x v="3"/>
    <x v="0"/>
    <n v="3"/>
    <x v="0"/>
    <n v="69"/>
    <x v="1"/>
    <n v="4"/>
    <x v="3"/>
    <n v="4"/>
    <x v="0"/>
    <x v="706"/>
    <n v="21829"/>
    <n v="3"/>
    <s v="Y"/>
    <x v="0"/>
    <n v="13"/>
    <n v="3"/>
    <n v="1"/>
    <n v="80"/>
    <n v="0"/>
    <n v="30"/>
    <n v="4"/>
    <n v="3"/>
    <n v="5"/>
    <n v="3"/>
    <n v="4"/>
    <n v="3"/>
  </r>
  <r>
    <n v="37"/>
    <x v="0"/>
    <x v="0"/>
    <n v="1"/>
    <x v="0"/>
    <n v="1141"/>
    <x v="1"/>
    <x v="13"/>
    <n v="2"/>
    <x v="0"/>
    <x v="2"/>
    <n v="1"/>
    <x v="0"/>
    <n v="61"/>
    <x v="3"/>
    <n v="2"/>
    <x v="4"/>
    <n v="2"/>
    <x v="1"/>
    <x v="707"/>
    <n v="14382"/>
    <n v="5"/>
    <s v="Y"/>
    <x v="1"/>
    <n v="15"/>
    <n v="3"/>
    <n v="1"/>
    <n v="80"/>
    <n v="0"/>
    <n v="15"/>
    <n v="2"/>
    <n v="1"/>
    <n v="1"/>
    <n v="0"/>
    <n v="0"/>
    <n v="0"/>
  </r>
  <r>
    <n v="55"/>
    <x v="3"/>
    <x v="1"/>
    <n v="0"/>
    <x v="1"/>
    <n v="135"/>
    <x v="1"/>
    <x v="21"/>
    <n v="4"/>
    <x v="2"/>
    <x v="2"/>
    <n v="3"/>
    <x v="1"/>
    <n v="62"/>
    <x v="0"/>
    <n v="2"/>
    <x v="4"/>
    <n v="2"/>
    <x v="1"/>
    <x v="708"/>
    <n v="12992"/>
    <n v="3"/>
    <s v="Y"/>
    <x v="0"/>
    <n v="14"/>
    <n v="3"/>
    <n v="4"/>
    <n v="80"/>
    <n v="2"/>
    <n v="17"/>
    <n v="3"/>
    <n v="3"/>
    <n v="8"/>
    <n v="7"/>
    <n v="6"/>
    <n v="7"/>
  </r>
  <r>
    <n v="41"/>
    <x v="0"/>
    <x v="1"/>
    <n v="0"/>
    <x v="2"/>
    <n v="247"/>
    <x v="1"/>
    <x v="15"/>
    <n v="1"/>
    <x v="1"/>
    <x v="0"/>
    <n v="2"/>
    <x v="0"/>
    <n v="55"/>
    <x v="3"/>
    <n v="5"/>
    <x v="7"/>
    <n v="3"/>
    <x v="2"/>
    <x v="709"/>
    <n v="20284"/>
    <n v="1"/>
    <s v="Y"/>
    <x v="1"/>
    <n v="22"/>
    <n v="4"/>
    <n v="2"/>
    <n v="80"/>
    <n v="2"/>
    <n v="21"/>
    <n v="3"/>
    <n v="3"/>
    <n v="21"/>
    <n v="16"/>
    <n v="5"/>
    <n v="10"/>
  </r>
  <r>
    <n v="38"/>
    <x v="0"/>
    <x v="1"/>
    <n v="0"/>
    <x v="0"/>
    <n v="1035"/>
    <x v="0"/>
    <x v="3"/>
    <n v="4"/>
    <x v="2"/>
    <x v="0"/>
    <n v="2"/>
    <x v="1"/>
    <n v="42"/>
    <x v="0"/>
    <n v="2"/>
    <x v="0"/>
    <n v="4"/>
    <x v="0"/>
    <x v="710"/>
    <n v="4981"/>
    <n v="8"/>
    <s v="Y"/>
    <x v="0"/>
    <n v="12"/>
    <n v="3"/>
    <n v="3"/>
    <n v="80"/>
    <n v="0"/>
    <n v="19"/>
    <n v="1"/>
    <n v="3"/>
    <n v="1"/>
    <n v="0"/>
    <n v="0"/>
    <n v="0"/>
  </r>
  <r>
    <n v="26"/>
    <x v="2"/>
    <x v="0"/>
    <n v="1"/>
    <x v="2"/>
    <n v="265"/>
    <x v="0"/>
    <x v="22"/>
    <n v="2"/>
    <x v="0"/>
    <x v="2"/>
    <n v="2"/>
    <x v="1"/>
    <n v="79"/>
    <x v="3"/>
    <n v="2"/>
    <x v="0"/>
    <n v="1"/>
    <x v="0"/>
    <x v="711"/>
    <n v="21813"/>
    <n v="8"/>
    <s v="Y"/>
    <x v="1"/>
    <n v="18"/>
    <n v="3"/>
    <n v="4"/>
    <n v="80"/>
    <n v="0"/>
    <n v="7"/>
    <n v="6"/>
    <n v="3"/>
    <n v="2"/>
    <n v="2"/>
    <n v="2"/>
    <n v="2"/>
  </r>
  <r>
    <n v="52"/>
    <x v="1"/>
    <x v="0"/>
    <n v="1"/>
    <x v="0"/>
    <n v="266"/>
    <x v="0"/>
    <x v="2"/>
    <n v="1"/>
    <x v="1"/>
    <x v="3"/>
    <n v="1"/>
    <x v="0"/>
    <n v="57"/>
    <x v="3"/>
    <n v="5"/>
    <x v="5"/>
    <n v="4"/>
    <x v="1"/>
    <x v="712"/>
    <n v="25846"/>
    <n v="1"/>
    <s v="Y"/>
    <x v="1"/>
    <n v="15"/>
    <n v="3"/>
    <n v="4"/>
    <n v="80"/>
    <n v="1"/>
    <n v="33"/>
    <n v="3"/>
    <n v="3"/>
    <n v="32"/>
    <n v="14"/>
    <n v="6"/>
    <n v="9"/>
  </r>
  <r>
    <n v="44"/>
    <x v="0"/>
    <x v="1"/>
    <n v="0"/>
    <x v="0"/>
    <n v="1448"/>
    <x v="0"/>
    <x v="26"/>
    <n v="3"/>
    <x v="3"/>
    <x v="2"/>
    <n v="4"/>
    <x v="0"/>
    <n v="53"/>
    <x v="2"/>
    <n v="4"/>
    <x v="0"/>
    <n v="4"/>
    <x v="1"/>
    <x v="713"/>
    <n v="11737"/>
    <n v="3"/>
    <s v="Y"/>
    <x v="0"/>
    <n v="18"/>
    <n v="3"/>
    <n v="3"/>
    <n v="80"/>
    <n v="1"/>
    <n v="23"/>
    <n v="2"/>
    <n v="3"/>
    <n v="12"/>
    <n v="11"/>
    <n v="11"/>
    <n v="11"/>
  </r>
  <r>
    <n v="50"/>
    <x v="1"/>
    <x v="1"/>
    <n v="0"/>
    <x v="2"/>
    <n v="145"/>
    <x v="0"/>
    <x v="0"/>
    <n v="3"/>
    <x v="3"/>
    <x v="0"/>
    <n v="4"/>
    <x v="0"/>
    <n v="95"/>
    <x v="0"/>
    <n v="2"/>
    <x v="0"/>
    <n v="3"/>
    <x v="1"/>
    <x v="136"/>
    <n v="24920"/>
    <n v="0"/>
    <s v="Y"/>
    <x v="1"/>
    <n v="12"/>
    <n v="3"/>
    <n v="1"/>
    <n v="80"/>
    <n v="1"/>
    <n v="19"/>
    <n v="3"/>
    <n v="3"/>
    <n v="18"/>
    <n v="7"/>
    <n v="0"/>
    <n v="13"/>
  </r>
  <r>
    <n v="36"/>
    <x v="0"/>
    <x v="0"/>
    <n v="1"/>
    <x v="0"/>
    <n v="885"/>
    <x v="1"/>
    <x v="7"/>
    <n v="4"/>
    <x v="2"/>
    <x v="0"/>
    <n v="3"/>
    <x v="0"/>
    <n v="43"/>
    <x v="2"/>
    <n v="1"/>
    <x v="2"/>
    <n v="1"/>
    <x v="0"/>
    <x v="714"/>
    <n v="8269"/>
    <n v="1"/>
    <s v="Y"/>
    <x v="1"/>
    <n v="16"/>
    <n v="3"/>
    <n v="3"/>
    <n v="80"/>
    <n v="0"/>
    <n v="18"/>
    <n v="1"/>
    <n v="3"/>
    <n v="17"/>
    <n v="13"/>
    <n v="15"/>
    <n v="14"/>
  </r>
  <r>
    <n v="39"/>
    <x v="0"/>
    <x v="1"/>
    <n v="0"/>
    <x v="1"/>
    <n v="945"/>
    <x v="1"/>
    <x v="23"/>
    <n v="3"/>
    <x v="3"/>
    <x v="2"/>
    <n v="4"/>
    <x v="0"/>
    <n v="82"/>
    <x v="0"/>
    <n v="3"/>
    <x v="3"/>
    <n v="1"/>
    <x v="0"/>
    <x v="715"/>
    <n v="5083"/>
    <n v="1"/>
    <s v="Y"/>
    <x v="0"/>
    <n v="13"/>
    <n v="3"/>
    <n v="3"/>
    <n v="80"/>
    <n v="0"/>
    <n v="21"/>
    <n v="2"/>
    <n v="3"/>
    <n v="21"/>
    <n v="6"/>
    <n v="2"/>
    <n v="8"/>
  </r>
  <r>
    <n v="33"/>
    <x v="2"/>
    <x v="1"/>
    <n v="0"/>
    <x v="2"/>
    <n v="1038"/>
    <x v="0"/>
    <x v="1"/>
    <n v="1"/>
    <x v="1"/>
    <x v="0"/>
    <n v="2"/>
    <x v="0"/>
    <n v="88"/>
    <x v="1"/>
    <n v="1"/>
    <x v="6"/>
    <n v="4"/>
    <x v="0"/>
    <x v="531"/>
    <n v="21437"/>
    <n v="0"/>
    <s v="Y"/>
    <x v="1"/>
    <n v="19"/>
    <n v="3"/>
    <n v="4"/>
    <n v="80"/>
    <n v="0"/>
    <n v="3"/>
    <n v="2"/>
    <n v="2"/>
    <n v="2"/>
    <n v="2"/>
    <n v="2"/>
    <n v="2"/>
  </r>
  <r>
    <n v="45"/>
    <x v="1"/>
    <x v="1"/>
    <n v="0"/>
    <x v="0"/>
    <n v="1234"/>
    <x v="0"/>
    <x v="13"/>
    <n v="2"/>
    <x v="0"/>
    <x v="0"/>
    <n v="4"/>
    <x v="0"/>
    <n v="90"/>
    <x v="0"/>
    <n v="4"/>
    <x v="5"/>
    <n v="4"/>
    <x v="1"/>
    <x v="716"/>
    <n v="5404"/>
    <n v="3"/>
    <s v="Y"/>
    <x v="1"/>
    <n v="13"/>
    <n v="3"/>
    <n v="2"/>
    <n v="80"/>
    <n v="1"/>
    <n v="26"/>
    <n v="4"/>
    <n v="4"/>
    <n v="9"/>
    <n v="3"/>
    <n v="1"/>
    <n v="1"/>
  </r>
  <r>
    <n v="32"/>
    <x v="2"/>
    <x v="1"/>
    <n v="0"/>
    <x v="2"/>
    <n v="1109"/>
    <x v="1"/>
    <x v="22"/>
    <n v="4"/>
    <x v="2"/>
    <x v="2"/>
    <n v="4"/>
    <x v="0"/>
    <n v="69"/>
    <x v="0"/>
    <n v="1"/>
    <x v="2"/>
    <n v="3"/>
    <x v="0"/>
    <x v="717"/>
    <n v="11135"/>
    <n v="9"/>
    <s v="Y"/>
    <x v="1"/>
    <n v="12"/>
    <n v="3"/>
    <n v="2"/>
    <n v="80"/>
    <n v="0"/>
    <n v="10"/>
    <n v="2"/>
    <n v="3"/>
    <n v="8"/>
    <n v="7"/>
    <n v="7"/>
    <n v="7"/>
  </r>
  <r>
    <n v="34"/>
    <x v="2"/>
    <x v="1"/>
    <n v="0"/>
    <x v="0"/>
    <n v="216"/>
    <x v="0"/>
    <x v="0"/>
    <n v="4"/>
    <x v="2"/>
    <x v="3"/>
    <n v="2"/>
    <x v="1"/>
    <n v="75"/>
    <x v="2"/>
    <n v="2"/>
    <x v="0"/>
    <n v="4"/>
    <x v="2"/>
    <x v="718"/>
    <n v="12278"/>
    <n v="0"/>
    <s v="Y"/>
    <x v="1"/>
    <n v="11"/>
    <n v="3"/>
    <n v="4"/>
    <n v="80"/>
    <n v="1"/>
    <n v="16"/>
    <n v="2"/>
    <n v="2"/>
    <n v="15"/>
    <n v="1"/>
    <n v="0"/>
    <n v="9"/>
  </r>
  <r>
    <n v="59"/>
    <x v="3"/>
    <x v="1"/>
    <n v="0"/>
    <x v="0"/>
    <n v="1089"/>
    <x v="0"/>
    <x v="0"/>
    <n v="2"/>
    <x v="0"/>
    <x v="4"/>
    <n v="2"/>
    <x v="1"/>
    <n v="66"/>
    <x v="0"/>
    <n v="3"/>
    <x v="5"/>
    <n v="4"/>
    <x v="1"/>
    <x v="719"/>
    <n v="11038"/>
    <n v="3"/>
    <s v="Y"/>
    <x v="0"/>
    <n v="14"/>
    <n v="3"/>
    <n v="3"/>
    <n v="80"/>
    <n v="1"/>
    <n v="14"/>
    <n v="1"/>
    <n v="1"/>
    <n v="6"/>
    <n v="4"/>
    <n v="0"/>
    <n v="4"/>
  </r>
  <r>
    <n v="45"/>
    <x v="1"/>
    <x v="1"/>
    <n v="0"/>
    <x v="0"/>
    <n v="788"/>
    <x v="2"/>
    <x v="4"/>
    <n v="4"/>
    <x v="2"/>
    <x v="2"/>
    <n v="2"/>
    <x v="1"/>
    <n v="36"/>
    <x v="0"/>
    <n v="1"/>
    <x v="8"/>
    <n v="2"/>
    <x v="0"/>
    <x v="221"/>
    <n v="8318"/>
    <n v="1"/>
    <s v="Y"/>
    <x v="1"/>
    <n v="16"/>
    <n v="3"/>
    <n v="1"/>
    <n v="80"/>
    <n v="0"/>
    <n v="6"/>
    <n v="3"/>
    <n v="3"/>
    <n v="6"/>
    <n v="3"/>
    <n v="0"/>
    <n v="4"/>
  </r>
  <r>
    <n v="53"/>
    <x v="1"/>
    <x v="1"/>
    <n v="0"/>
    <x v="1"/>
    <n v="124"/>
    <x v="0"/>
    <x v="2"/>
    <n v="3"/>
    <x v="3"/>
    <x v="3"/>
    <n v="3"/>
    <x v="0"/>
    <n v="38"/>
    <x v="1"/>
    <n v="3"/>
    <x v="0"/>
    <n v="2"/>
    <x v="1"/>
    <x v="720"/>
    <n v="23537"/>
    <n v="2"/>
    <s v="Y"/>
    <x v="1"/>
    <n v="12"/>
    <n v="3"/>
    <n v="1"/>
    <n v="80"/>
    <n v="1"/>
    <n v="30"/>
    <n v="2"/>
    <n v="3"/>
    <n v="15"/>
    <n v="7"/>
    <n v="6"/>
    <n v="12"/>
  </r>
  <r>
    <n v="36"/>
    <x v="0"/>
    <x v="0"/>
    <n v="1"/>
    <x v="0"/>
    <n v="660"/>
    <x v="1"/>
    <x v="8"/>
    <n v="3"/>
    <x v="3"/>
    <x v="1"/>
    <n v="1"/>
    <x v="1"/>
    <n v="81"/>
    <x v="0"/>
    <n v="2"/>
    <x v="2"/>
    <n v="3"/>
    <x v="2"/>
    <x v="721"/>
    <n v="7858"/>
    <n v="7"/>
    <s v="Y"/>
    <x v="1"/>
    <n v="14"/>
    <n v="3"/>
    <n v="2"/>
    <n v="80"/>
    <n v="1"/>
    <n v="9"/>
    <n v="3"/>
    <n v="2"/>
    <n v="1"/>
    <n v="0"/>
    <n v="0"/>
    <n v="0"/>
  </r>
  <r>
    <n v="26"/>
    <x v="2"/>
    <x v="0"/>
    <n v="1"/>
    <x v="1"/>
    <n v="342"/>
    <x v="1"/>
    <x v="2"/>
    <n v="3"/>
    <x v="3"/>
    <x v="0"/>
    <n v="1"/>
    <x v="1"/>
    <n v="57"/>
    <x v="0"/>
    <n v="1"/>
    <x v="1"/>
    <n v="1"/>
    <x v="1"/>
    <x v="96"/>
    <n v="15346"/>
    <n v="6"/>
    <s v="Y"/>
    <x v="0"/>
    <n v="14"/>
    <n v="3"/>
    <n v="2"/>
    <n v="80"/>
    <n v="1"/>
    <n v="6"/>
    <n v="2"/>
    <n v="3"/>
    <n v="3"/>
    <n v="2"/>
    <n v="1"/>
    <n v="2"/>
  </r>
  <r>
    <n v="34"/>
    <x v="2"/>
    <x v="1"/>
    <n v="0"/>
    <x v="0"/>
    <n v="1333"/>
    <x v="0"/>
    <x v="17"/>
    <n v="4"/>
    <x v="2"/>
    <x v="0"/>
    <n v="3"/>
    <x v="0"/>
    <n v="87"/>
    <x v="0"/>
    <n v="1"/>
    <x v="6"/>
    <n v="3"/>
    <x v="1"/>
    <x v="722"/>
    <n v="18410"/>
    <n v="1"/>
    <s v="Y"/>
    <x v="0"/>
    <n v="19"/>
    <n v="3"/>
    <n v="4"/>
    <n v="80"/>
    <n v="1"/>
    <n v="1"/>
    <n v="2"/>
    <n v="3"/>
    <n v="1"/>
    <n v="1"/>
    <n v="0"/>
    <n v="0"/>
  </r>
  <r>
    <n v="28"/>
    <x v="2"/>
    <x v="1"/>
    <n v="0"/>
    <x v="0"/>
    <n v="1144"/>
    <x v="0"/>
    <x v="17"/>
    <n v="1"/>
    <x v="1"/>
    <x v="2"/>
    <n v="4"/>
    <x v="1"/>
    <n v="74"/>
    <x v="0"/>
    <n v="1"/>
    <x v="6"/>
    <n v="2"/>
    <x v="1"/>
    <x v="723"/>
    <n v="23384"/>
    <n v="1"/>
    <s v="Y"/>
    <x v="1"/>
    <n v="22"/>
    <n v="4"/>
    <n v="2"/>
    <n v="80"/>
    <n v="0"/>
    <n v="1"/>
    <n v="5"/>
    <n v="3"/>
    <n v="1"/>
    <n v="0"/>
    <n v="0"/>
    <n v="0"/>
  </r>
  <r>
    <n v="38"/>
    <x v="0"/>
    <x v="1"/>
    <n v="0"/>
    <x v="1"/>
    <n v="1186"/>
    <x v="1"/>
    <x v="3"/>
    <n v="4"/>
    <x v="2"/>
    <x v="1"/>
    <n v="3"/>
    <x v="1"/>
    <n v="44"/>
    <x v="0"/>
    <n v="1"/>
    <x v="1"/>
    <n v="3"/>
    <x v="1"/>
    <x v="724"/>
    <n v="2997"/>
    <n v="3"/>
    <s v="Y"/>
    <x v="1"/>
    <n v="16"/>
    <n v="3"/>
    <n v="1"/>
    <n v="80"/>
    <n v="1"/>
    <n v="8"/>
    <n v="2"/>
    <n v="3"/>
    <n v="2"/>
    <n v="2"/>
    <n v="2"/>
    <n v="2"/>
  </r>
  <r>
    <n v="50"/>
    <x v="1"/>
    <x v="1"/>
    <n v="0"/>
    <x v="0"/>
    <n v="1464"/>
    <x v="1"/>
    <x v="2"/>
    <n v="4"/>
    <x v="2"/>
    <x v="2"/>
    <n v="2"/>
    <x v="1"/>
    <n v="62"/>
    <x v="0"/>
    <n v="5"/>
    <x v="7"/>
    <n v="3"/>
    <x v="1"/>
    <x v="725"/>
    <n v="12853"/>
    <n v="2"/>
    <s v="Y"/>
    <x v="0"/>
    <n v="11"/>
    <n v="3"/>
    <n v="4"/>
    <n v="80"/>
    <n v="1"/>
    <n v="29"/>
    <n v="2"/>
    <n v="2"/>
    <n v="8"/>
    <n v="1"/>
    <n v="7"/>
    <n v="7"/>
  </r>
  <r>
    <n v="37"/>
    <x v="0"/>
    <x v="1"/>
    <n v="0"/>
    <x v="0"/>
    <n v="124"/>
    <x v="1"/>
    <x v="3"/>
    <n v="3"/>
    <x v="3"/>
    <x v="1"/>
    <n v="4"/>
    <x v="0"/>
    <n v="35"/>
    <x v="0"/>
    <n v="2"/>
    <x v="4"/>
    <n v="2"/>
    <x v="0"/>
    <x v="726"/>
    <n v="13848"/>
    <n v="3"/>
    <s v="Y"/>
    <x v="1"/>
    <n v="15"/>
    <n v="3"/>
    <n v="1"/>
    <n v="80"/>
    <n v="0"/>
    <n v="8"/>
    <n v="3"/>
    <n v="2"/>
    <n v="4"/>
    <n v="3"/>
    <n v="0"/>
    <n v="1"/>
  </r>
  <r>
    <n v="40"/>
    <x v="0"/>
    <x v="1"/>
    <n v="0"/>
    <x v="0"/>
    <n v="300"/>
    <x v="0"/>
    <x v="9"/>
    <n v="3"/>
    <x v="3"/>
    <x v="3"/>
    <n v="3"/>
    <x v="1"/>
    <n v="74"/>
    <x v="0"/>
    <n v="2"/>
    <x v="0"/>
    <n v="1"/>
    <x v="1"/>
    <x v="727"/>
    <n v="22217"/>
    <n v="1"/>
    <s v="Y"/>
    <x v="1"/>
    <n v="14"/>
    <n v="3"/>
    <n v="2"/>
    <n v="80"/>
    <n v="1"/>
    <n v="8"/>
    <n v="3"/>
    <n v="2"/>
    <n v="7"/>
    <n v="7"/>
    <n v="7"/>
    <n v="5"/>
  </r>
  <r>
    <n v="26"/>
    <x v="2"/>
    <x v="1"/>
    <n v="0"/>
    <x v="1"/>
    <n v="921"/>
    <x v="1"/>
    <x v="0"/>
    <n v="1"/>
    <x v="1"/>
    <x v="2"/>
    <n v="1"/>
    <x v="0"/>
    <n v="66"/>
    <x v="1"/>
    <n v="1"/>
    <x v="1"/>
    <n v="3"/>
    <x v="2"/>
    <x v="728"/>
    <n v="25265"/>
    <n v="1"/>
    <s v="Y"/>
    <x v="1"/>
    <n v="13"/>
    <n v="3"/>
    <n v="3"/>
    <n v="80"/>
    <n v="2"/>
    <n v="5"/>
    <n v="5"/>
    <n v="3"/>
    <n v="5"/>
    <n v="3"/>
    <n v="1"/>
    <n v="3"/>
  </r>
  <r>
    <n v="46"/>
    <x v="1"/>
    <x v="1"/>
    <n v="0"/>
    <x v="0"/>
    <n v="430"/>
    <x v="1"/>
    <x v="0"/>
    <n v="4"/>
    <x v="2"/>
    <x v="2"/>
    <n v="4"/>
    <x v="1"/>
    <n v="40"/>
    <x v="0"/>
    <n v="5"/>
    <x v="7"/>
    <n v="4"/>
    <x v="2"/>
    <x v="729"/>
    <n v="21445"/>
    <n v="9"/>
    <s v="Y"/>
    <x v="1"/>
    <n v="17"/>
    <n v="3"/>
    <n v="4"/>
    <n v="80"/>
    <n v="2"/>
    <n v="23"/>
    <n v="0"/>
    <n v="3"/>
    <n v="2"/>
    <n v="2"/>
    <n v="2"/>
    <n v="2"/>
  </r>
  <r>
    <n v="54"/>
    <x v="1"/>
    <x v="1"/>
    <n v="0"/>
    <x v="0"/>
    <n v="1082"/>
    <x v="0"/>
    <x v="2"/>
    <n v="4"/>
    <x v="2"/>
    <x v="0"/>
    <n v="3"/>
    <x v="0"/>
    <n v="41"/>
    <x v="1"/>
    <n v="3"/>
    <x v="0"/>
    <n v="3"/>
    <x v="1"/>
    <x v="730"/>
    <n v="8392"/>
    <n v="6"/>
    <s v="Y"/>
    <x v="1"/>
    <n v="11"/>
    <n v="3"/>
    <n v="2"/>
    <n v="80"/>
    <n v="1"/>
    <n v="13"/>
    <n v="4"/>
    <n v="3"/>
    <n v="9"/>
    <n v="4"/>
    <n v="7"/>
    <n v="0"/>
  </r>
  <r>
    <n v="56"/>
    <x v="3"/>
    <x v="1"/>
    <n v="0"/>
    <x v="1"/>
    <n v="1240"/>
    <x v="1"/>
    <x v="14"/>
    <n v="3"/>
    <x v="3"/>
    <x v="2"/>
    <n v="1"/>
    <x v="0"/>
    <n v="63"/>
    <x v="0"/>
    <n v="1"/>
    <x v="1"/>
    <n v="3"/>
    <x v="1"/>
    <x v="131"/>
    <n v="12154"/>
    <n v="2"/>
    <s v="Y"/>
    <x v="1"/>
    <n v="19"/>
    <n v="3"/>
    <n v="2"/>
    <n v="80"/>
    <n v="1"/>
    <n v="18"/>
    <n v="4"/>
    <n v="3"/>
    <n v="5"/>
    <n v="4"/>
    <n v="0"/>
    <n v="3"/>
  </r>
  <r>
    <n v="36"/>
    <x v="0"/>
    <x v="1"/>
    <n v="0"/>
    <x v="0"/>
    <n v="796"/>
    <x v="1"/>
    <x v="20"/>
    <n v="5"/>
    <x v="4"/>
    <x v="2"/>
    <n v="4"/>
    <x v="0"/>
    <n v="51"/>
    <x v="1"/>
    <n v="3"/>
    <x v="3"/>
    <n v="4"/>
    <x v="0"/>
    <x v="731"/>
    <n v="15669"/>
    <n v="0"/>
    <s v="Y"/>
    <x v="1"/>
    <n v="11"/>
    <n v="3"/>
    <n v="2"/>
    <n v="80"/>
    <n v="0"/>
    <n v="15"/>
    <n v="2"/>
    <n v="2"/>
    <n v="14"/>
    <n v="8"/>
    <n v="7"/>
    <n v="8"/>
  </r>
  <r>
    <n v="55"/>
    <x v="3"/>
    <x v="1"/>
    <n v="0"/>
    <x v="2"/>
    <n v="444"/>
    <x v="1"/>
    <x v="2"/>
    <n v="1"/>
    <x v="1"/>
    <x v="2"/>
    <n v="3"/>
    <x v="1"/>
    <n v="40"/>
    <x v="1"/>
    <n v="4"/>
    <x v="5"/>
    <n v="1"/>
    <x v="0"/>
    <x v="732"/>
    <n v="17323"/>
    <n v="7"/>
    <s v="Y"/>
    <x v="1"/>
    <n v="15"/>
    <n v="3"/>
    <n v="2"/>
    <n v="80"/>
    <n v="0"/>
    <n v="31"/>
    <n v="3"/>
    <n v="4"/>
    <n v="9"/>
    <n v="7"/>
    <n v="6"/>
    <n v="2"/>
  </r>
  <r>
    <n v="43"/>
    <x v="0"/>
    <x v="1"/>
    <n v="0"/>
    <x v="0"/>
    <n v="415"/>
    <x v="0"/>
    <x v="19"/>
    <n v="3"/>
    <x v="3"/>
    <x v="2"/>
    <n v="3"/>
    <x v="1"/>
    <n v="79"/>
    <x v="1"/>
    <n v="3"/>
    <x v="0"/>
    <n v="4"/>
    <x v="2"/>
    <x v="733"/>
    <n v="5268"/>
    <n v="5"/>
    <s v="Y"/>
    <x v="1"/>
    <n v="13"/>
    <n v="3"/>
    <n v="3"/>
    <n v="80"/>
    <n v="1"/>
    <n v="18"/>
    <n v="5"/>
    <n v="3"/>
    <n v="1"/>
    <n v="0"/>
    <n v="0"/>
    <n v="0"/>
  </r>
  <r>
    <n v="20"/>
    <x v="4"/>
    <x v="0"/>
    <n v="1"/>
    <x v="1"/>
    <n v="769"/>
    <x v="0"/>
    <x v="14"/>
    <n v="3"/>
    <x v="3"/>
    <x v="3"/>
    <n v="4"/>
    <x v="0"/>
    <n v="54"/>
    <x v="0"/>
    <n v="1"/>
    <x v="6"/>
    <n v="4"/>
    <x v="0"/>
    <x v="157"/>
    <n v="17205"/>
    <n v="1"/>
    <s v="Y"/>
    <x v="0"/>
    <n v="14"/>
    <n v="3"/>
    <n v="2"/>
    <n v="80"/>
    <n v="0"/>
    <n v="2"/>
    <n v="3"/>
    <n v="3"/>
    <n v="2"/>
    <n v="2"/>
    <n v="0"/>
    <n v="2"/>
  </r>
  <r>
    <n v="21"/>
    <x v="4"/>
    <x v="0"/>
    <n v="1"/>
    <x v="0"/>
    <n v="1334"/>
    <x v="1"/>
    <x v="17"/>
    <n v="3"/>
    <x v="3"/>
    <x v="0"/>
    <n v="3"/>
    <x v="0"/>
    <n v="36"/>
    <x v="1"/>
    <n v="1"/>
    <x v="2"/>
    <n v="1"/>
    <x v="0"/>
    <x v="734"/>
    <n v="17258"/>
    <n v="1"/>
    <s v="Y"/>
    <x v="1"/>
    <n v="13"/>
    <n v="3"/>
    <n v="1"/>
    <n v="80"/>
    <n v="0"/>
    <n v="1"/>
    <n v="6"/>
    <n v="2"/>
    <n v="1"/>
    <n v="0"/>
    <n v="1"/>
    <n v="0"/>
  </r>
  <r>
    <n v="46"/>
    <x v="1"/>
    <x v="1"/>
    <n v="0"/>
    <x v="0"/>
    <n v="1003"/>
    <x v="1"/>
    <x v="1"/>
    <n v="4"/>
    <x v="2"/>
    <x v="0"/>
    <n v="4"/>
    <x v="0"/>
    <n v="74"/>
    <x v="1"/>
    <n v="2"/>
    <x v="1"/>
    <n v="1"/>
    <x v="2"/>
    <x v="735"/>
    <n v="21029"/>
    <n v="8"/>
    <s v="Y"/>
    <x v="0"/>
    <n v="23"/>
    <n v="4"/>
    <n v="1"/>
    <n v="80"/>
    <n v="3"/>
    <n v="19"/>
    <n v="2"/>
    <n v="3"/>
    <n v="16"/>
    <n v="13"/>
    <n v="1"/>
    <n v="7"/>
  </r>
  <r>
    <n v="51"/>
    <x v="1"/>
    <x v="0"/>
    <n v="1"/>
    <x v="0"/>
    <n v="1323"/>
    <x v="1"/>
    <x v="18"/>
    <n v="4"/>
    <x v="2"/>
    <x v="0"/>
    <n v="1"/>
    <x v="1"/>
    <n v="34"/>
    <x v="0"/>
    <n v="1"/>
    <x v="1"/>
    <n v="3"/>
    <x v="1"/>
    <x v="736"/>
    <n v="10332"/>
    <n v="9"/>
    <s v="Y"/>
    <x v="0"/>
    <n v="12"/>
    <n v="3"/>
    <n v="3"/>
    <n v="80"/>
    <n v="3"/>
    <n v="18"/>
    <n v="2"/>
    <n v="4"/>
    <n v="10"/>
    <n v="0"/>
    <n v="2"/>
    <n v="7"/>
  </r>
  <r>
    <n v="28"/>
    <x v="2"/>
    <x v="0"/>
    <n v="1"/>
    <x v="2"/>
    <n v="1366"/>
    <x v="1"/>
    <x v="4"/>
    <n v="2"/>
    <x v="0"/>
    <x v="4"/>
    <n v="2"/>
    <x v="1"/>
    <n v="72"/>
    <x v="1"/>
    <n v="3"/>
    <x v="4"/>
    <n v="1"/>
    <x v="0"/>
    <x v="737"/>
    <n v="12355"/>
    <n v="1"/>
    <s v="Y"/>
    <x v="1"/>
    <n v="12"/>
    <n v="3"/>
    <n v="1"/>
    <n v="80"/>
    <n v="0"/>
    <n v="10"/>
    <n v="2"/>
    <n v="2"/>
    <n v="10"/>
    <n v="7"/>
    <n v="1"/>
    <n v="9"/>
  </r>
  <r>
    <n v="26"/>
    <x v="2"/>
    <x v="1"/>
    <n v="0"/>
    <x v="0"/>
    <n v="192"/>
    <x v="1"/>
    <x v="0"/>
    <n v="2"/>
    <x v="0"/>
    <x v="2"/>
    <n v="1"/>
    <x v="1"/>
    <n v="59"/>
    <x v="1"/>
    <n v="1"/>
    <x v="2"/>
    <n v="1"/>
    <x v="1"/>
    <x v="738"/>
    <n v="11141"/>
    <n v="1"/>
    <s v="Y"/>
    <x v="1"/>
    <n v="16"/>
    <n v="3"/>
    <n v="1"/>
    <n v="80"/>
    <n v="2"/>
    <n v="6"/>
    <n v="2"/>
    <n v="3"/>
    <n v="5"/>
    <n v="3"/>
    <n v="1"/>
    <n v="3"/>
  </r>
  <r>
    <n v="30"/>
    <x v="2"/>
    <x v="1"/>
    <n v="0"/>
    <x v="0"/>
    <n v="1176"/>
    <x v="1"/>
    <x v="25"/>
    <n v="3"/>
    <x v="3"/>
    <x v="1"/>
    <n v="3"/>
    <x v="1"/>
    <n v="85"/>
    <x v="0"/>
    <n v="2"/>
    <x v="3"/>
    <n v="1"/>
    <x v="1"/>
    <x v="739"/>
    <n v="9096"/>
    <n v="0"/>
    <s v="Y"/>
    <x v="1"/>
    <n v="15"/>
    <n v="3"/>
    <n v="3"/>
    <n v="80"/>
    <n v="1"/>
    <n v="7"/>
    <n v="1"/>
    <n v="2"/>
    <n v="6"/>
    <n v="2"/>
    <n v="0"/>
    <n v="2"/>
  </r>
  <r>
    <n v="41"/>
    <x v="0"/>
    <x v="1"/>
    <n v="0"/>
    <x v="0"/>
    <n v="509"/>
    <x v="1"/>
    <x v="15"/>
    <n v="2"/>
    <x v="0"/>
    <x v="4"/>
    <n v="2"/>
    <x v="0"/>
    <n v="43"/>
    <x v="2"/>
    <n v="1"/>
    <x v="1"/>
    <n v="3"/>
    <x v="1"/>
    <x v="740"/>
    <n v="18863"/>
    <n v="1"/>
    <s v="Y"/>
    <x v="1"/>
    <n v="13"/>
    <n v="3"/>
    <n v="3"/>
    <n v="80"/>
    <n v="0"/>
    <n v="10"/>
    <n v="3"/>
    <n v="3"/>
    <n v="10"/>
    <n v="6"/>
    <n v="0"/>
    <n v="8"/>
  </r>
  <r>
    <n v="38"/>
    <x v="0"/>
    <x v="1"/>
    <n v="0"/>
    <x v="0"/>
    <n v="330"/>
    <x v="1"/>
    <x v="27"/>
    <n v="1"/>
    <x v="1"/>
    <x v="0"/>
    <n v="3"/>
    <x v="0"/>
    <n v="65"/>
    <x v="1"/>
    <n v="3"/>
    <x v="4"/>
    <n v="3"/>
    <x v="1"/>
    <x v="741"/>
    <n v="24608"/>
    <n v="0"/>
    <s v="Y"/>
    <x v="1"/>
    <n v="18"/>
    <n v="3"/>
    <n v="1"/>
    <n v="80"/>
    <n v="1"/>
    <n v="20"/>
    <n v="4"/>
    <n v="2"/>
    <n v="19"/>
    <n v="9"/>
    <n v="1"/>
    <n v="9"/>
  </r>
  <r>
    <n v="40"/>
    <x v="0"/>
    <x v="1"/>
    <n v="0"/>
    <x v="0"/>
    <n v="1492"/>
    <x v="1"/>
    <x v="25"/>
    <n v="4"/>
    <x v="2"/>
    <x v="4"/>
    <n v="1"/>
    <x v="1"/>
    <n v="61"/>
    <x v="0"/>
    <n v="3"/>
    <x v="4"/>
    <n v="4"/>
    <x v="1"/>
    <x v="742"/>
    <n v="26542"/>
    <n v="4"/>
    <s v="Y"/>
    <x v="1"/>
    <n v="20"/>
    <n v="4"/>
    <n v="4"/>
    <n v="80"/>
    <n v="1"/>
    <n v="14"/>
    <n v="6"/>
    <n v="3"/>
    <n v="11"/>
    <n v="10"/>
    <n v="11"/>
    <n v="1"/>
  </r>
  <r>
    <n v="27"/>
    <x v="2"/>
    <x v="1"/>
    <n v="0"/>
    <x v="2"/>
    <n v="1277"/>
    <x v="1"/>
    <x v="1"/>
    <n v="5"/>
    <x v="4"/>
    <x v="0"/>
    <n v="1"/>
    <x v="1"/>
    <n v="87"/>
    <x v="3"/>
    <n v="1"/>
    <x v="2"/>
    <n v="3"/>
    <x v="1"/>
    <x v="743"/>
    <n v="5869"/>
    <n v="1"/>
    <s v="Y"/>
    <x v="1"/>
    <n v="19"/>
    <n v="3"/>
    <n v="4"/>
    <n v="80"/>
    <n v="3"/>
    <n v="3"/>
    <n v="4"/>
    <n v="3"/>
    <n v="3"/>
    <n v="2"/>
    <n v="1"/>
    <n v="2"/>
  </r>
  <r>
    <n v="55"/>
    <x v="3"/>
    <x v="1"/>
    <n v="0"/>
    <x v="1"/>
    <n v="1091"/>
    <x v="1"/>
    <x v="2"/>
    <n v="1"/>
    <x v="1"/>
    <x v="0"/>
    <n v="4"/>
    <x v="1"/>
    <n v="65"/>
    <x v="0"/>
    <n v="3"/>
    <x v="3"/>
    <n v="2"/>
    <x v="1"/>
    <x v="744"/>
    <n v="15813"/>
    <n v="3"/>
    <s v="Y"/>
    <x v="1"/>
    <n v="18"/>
    <n v="3"/>
    <n v="2"/>
    <n v="80"/>
    <n v="1"/>
    <n v="23"/>
    <n v="4"/>
    <n v="3"/>
    <n v="3"/>
    <n v="2"/>
    <n v="1"/>
    <n v="2"/>
  </r>
  <r>
    <n v="28"/>
    <x v="2"/>
    <x v="1"/>
    <n v="0"/>
    <x v="0"/>
    <n v="857"/>
    <x v="1"/>
    <x v="17"/>
    <n v="3"/>
    <x v="3"/>
    <x v="1"/>
    <n v="3"/>
    <x v="0"/>
    <n v="59"/>
    <x v="0"/>
    <n v="2"/>
    <x v="1"/>
    <n v="3"/>
    <x v="0"/>
    <x v="745"/>
    <n v="7909"/>
    <n v="3"/>
    <s v="Y"/>
    <x v="1"/>
    <n v="13"/>
    <n v="3"/>
    <n v="4"/>
    <n v="80"/>
    <n v="0"/>
    <n v="10"/>
    <n v="4"/>
    <n v="4"/>
    <n v="8"/>
    <n v="7"/>
    <n v="1"/>
    <n v="7"/>
  </r>
  <r>
    <n v="44"/>
    <x v="0"/>
    <x v="0"/>
    <n v="1"/>
    <x v="0"/>
    <n v="1376"/>
    <x v="2"/>
    <x v="0"/>
    <n v="2"/>
    <x v="0"/>
    <x v="2"/>
    <n v="2"/>
    <x v="1"/>
    <n v="91"/>
    <x v="1"/>
    <n v="3"/>
    <x v="8"/>
    <n v="1"/>
    <x v="1"/>
    <x v="746"/>
    <n v="2326"/>
    <n v="9"/>
    <s v="Y"/>
    <x v="1"/>
    <n v="14"/>
    <n v="3"/>
    <n v="4"/>
    <n v="80"/>
    <n v="1"/>
    <n v="24"/>
    <n v="1"/>
    <n v="3"/>
    <n v="20"/>
    <n v="6"/>
    <n v="3"/>
    <n v="6"/>
  </r>
  <r>
    <n v="33"/>
    <x v="2"/>
    <x v="1"/>
    <n v="0"/>
    <x v="0"/>
    <n v="654"/>
    <x v="1"/>
    <x v="12"/>
    <n v="3"/>
    <x v="3"/>
    <x v="0"/>
    <n v="4"/>
    <x v="1"/>
    <n v="34"/>
    <x v="1"/>
    <n v="3"/>
    <x v="4"/>
    <n v="4"/>
    <x v="2"/>
    <x v="747"/>
    <n v="21214"/>
    <n v="4"/>
    <s v="Y"/>
    <x v="1"/>
    <n v="15"/>
    <n v="3"/>
    <n v="3"/>
    <n v="80"/>
    <n v="1"/>
    <n v="9"/>
    <n v="2"/>
    <n v="3"/>
    <n v="3"/>
    <n v="2"/>
    <n v="1"/>
    <n v="2"/>
  </r>
  <r>
    <n v="35"/>
    <x v="0"/>
    <x v="0"/>
    <n v="1"/>
    <x v="0"/>
    <n v="1204"/>
    <x v="0"/>
    <x v="18"/>
    <n v="3"/>
    <x v="3"/>
    <x v="4"/>
    <n v="4"/>
    <x v="1"/>
    <n v="86"/>
    <x v="0"/>
    <n v="3"/>
    <x v="0"/>
    <n v="1"/>
    <x v="0"/>
    <x v="748"/>
    <n v="10333"/>
    <n v="0"/>
    <s v="Y"/>
    <x v="0"/>
    <n v="22"/>
    <n v="4"/>
    <n v="1"/>
    <n v="80"/>
    <n v="0"/>
    <n v="9"/>
    <n v="2"/>
    <n v="3"/>
    <n v="8"/>
    <n v="7"/>
    <n v="4"/>
    <n v="7"/>
  </r>
  <r>
    <n v="33"/>
    <x v="2"/>
    <x v="0"/>
    <n v="1"/>
    <x v="1"/>
    <n v="827"/>
    <x v="1"/>
    <x v="22"/>
    <n v="4"/>
    <x v="2"/>
    <x v="2"/>
    <n v="1"/>
    <x v="0"/>
    <n v="54"/>
    <x v="1"/>
    <n v="2"/>
    <x v="1"/>
    <n v="3"/>
    <x v="0"/>
    <x v="749"/>
    <n v="3129"/>
    <n v="1"/>
    <s v="Y"/>
    <x v="1"/>
    <n v="22"/>
    <n v="4"/>
    <n v="2"/>
    <n v="80"/>
    <n v="0"/>
    <n v="14"/>
    <n v="4"/>
    <n v="3"/>
    <n v="13"/>
    <n v="7"/>
    <n v="3"/>
    <n v="8"/>
  </r>
  <r>
    <n v="28"/>
    <x v="2"/>
    <x v="1"/>
    <n v="0"/>
    <x v="0"/>
    <n v="895"/>
    <x v="1"/>
    <x v="8"/>
    <n v="2"/>
    <x v="0"/>
    <x v="0"/>
    <n v="1"/>
    <x v="1"/>
    <n v="50"/>
    <x v="0"/>
    <n v="1"/>
    <x v="2"/>
    <n v="3"/>
    <x v="2"/>
    <x v="750"/>
    <n v="22482"/>
    <n v="1"/>
    <s v="Y"/>
    <x v="1"/>
    <n v="16"/>
    <n v="3"/>
    <n v="4"/>
    <n v="80"/>
    <n v="1"/>
    <n v="4"/>
    <n v="5"/>
    <n v="2"/>
    <n v="4"/>
    <n v="2"/>
    <n v="2"/>
    <n v="2"/>
  </r>
  <r>
    <n v="34"/>
    <x v="2"/>
    <x v="1"/>
    <n v="0"/>
    <x v="1"/>
    <n v="618"/>
    <x v="1"/>
    <x v="3"/>
    <n v="1"/>
    <x v="1"/>
    <x v="0"/>
    <n v="1"/>
    <x v="1"/>
    <n v="45"/>
    <x v="0"/>
    <n v="2"/>
    <x v="4"/>
    <n v="4"/>
    <x v="0"/>
    <x v="751"/>
    <n v="22266"/>
    <n v="0"/>
    <s v="Y"/>
    <x v="1"/>
    <n v="17"/>
    <n v="3"/>
    <n v="3"/>
    <n v="80"/>
    <n v="0"/>
    <n v="7"/>
    <n v="1"/>
    <n v="2"/>
    <n v="6"/>
    <n v="2"/>
    <n v="0"/>
    <n v="4"/>
  </r>
  <r>
    <n v="37"/>
    <x v="0"/>
    <x v="1"/>
    <n v="0"/>
    <x v="0"/>
    <n v="309"/>
    <x v="0"/>
    <x v="17"/>
    <n v="4"/>
    <x v="2"/>
    <x v="0"/>
    <n v="4"/>
    <x v="0"/>
    <n v="88"/>
    <x v="1"/>
    <n v="2"/>
    <x v="0"/>
    <n v="4"/>
    <x v="2"/>
    <x v="752"/>
    <n v="24223"/>
    <n v="2"/>
    <s v="Y"/>
    <x v="0"/>
    <n v="14"/>
    <n v="3"/>
    <n v="3"/>
    <n v="80"/>
    <n v="3"/>
    <n v="8"/>
    <n v="5"/>
    <n v="3"/>
    <n v="1"/>
    <n v="0"/>
    <n v="0"/>
    <n v="0"/>
  </r>
  <r>
    <n v="25"/>
    <x v="2"/>
    <x v="0"/>
    <n v="1"/>
    <x v="0"/>
    <n v="1219"/>
    <x v="1"/>
    <x v="18"/>
    <n v="1"/>
    <x v="1"/>
    <x v="4"/>
    <n v="4"/>
    <x v="1"/>
    <n v="32"/>
    <x v="0"/>
    <n v="1"/>
    <x v="2"/>
    <n v="4"/>
    <x v="1"/>
    <x v="753"/>
    <n v="4605"/>
    <n v="1"/>
    <s v="Y"/>
    <x v="0"/>
    <n v="15"/>
    <n v="3"/>
    <n v="2"/>
    <n v="80"/>
    <n v="1"/>
    <n v="7"/>
    <n v="3"/>
    <n v="4"/>
    <n v="7"/>
    <n v="7"/>
    <n v="5"/>
    <n v="6"/>
  </r>
  <r>
    <n v="26"/>
    <x v="2"/>
    <x v="0"/>
    <n v="1"/>
    <x v="0"/>
    <n v="1330"/>
    <x v="1"/>
    <x v="11"/>
    <n v="3"/>
    <x v="3"/>
    <x v="2"/>
    <n v="1"/>
    <x v="1"/>
    <n v="37"/>
    <x v="0"/>
    <n v="1"/>
    <x v="2"/>
    <n v="3"/>
    <x v="2"/>
    <x v="638"/>
    <n v="19373"/>
    <n v="1"/>
    <s v="Y"/>
    <x v="1"/>
    <n v="20"/>
    <n v="4"/>
    <n v="3"/>
    <n v="80"/>
    <n v="1"/>
    <n v="1"/>
    <n v="0"/>
    <n v="2"/>
    <n v="1"/>
    <n v="1"/>
    <n v="0"/>
    <n v="0"/>
  </r>
  <r>
    <n v="33"/>
    <x v="2"/>
    <x v="0"/>
    <n v="1"/>
    <x v="0"/>
    <n v="1017"/>
    <x v="1"/>
    <x v="19"/>
    <n v="3"/>
    <x v="3"/>
    <x v="2"/>
    <n v="1"/>
    <x v="1"/>
    <n v="55"/>
    <x v="1"/>
    <n v="1"/>
    <x v="1"/>
    <n v="2"/>
    <x v="0"/>
    <x v="754"/>
    <n v="2993"/>
    <n v="4"/>
    <s v="Y"/>
    <x v="0"/>
    <n v="20"/>
    <n v="4"/>
    <n v="2"/>
    <n v="80"/>
    <n v="0"/>
    <n v="5"/>
    <n v="0"/>
    <n v="3"/>
    <n v="2"/>
    <n v="2"/>
    <n v="2"/>
    <n v="2"/>
  </r>
  <r>
    <n v="42"/>
    <x v="0"/>
    <x v="1"/>
    <n v="0"/>
    <x v="0"/>
    <n v="469"/>
    <x v="1"/>
    <x v="2"/>
    <n v="2"/>
    <x v="0"/>
    <x v="2"/>
    <n v="4"/>
    <x v="1"/>
    <n v="35"/>
    <x v="0"/>
    <n v="4"/>
    <x v="5"/>
    <n v="1"/>
    <x v="1"/>
    <x v="755"/>
    <n v="14399"/>
    <n v="0"/>
    <s v="Y"/>
    <x v="1"/>
    <n v="17"/>
    <n v="3"/>
    <n v="4"/>
    <n v="80"/>
    <n v="1"/>
    <n v="23"/>
    <n v="3"/>
    <n v="3"/>
    <n v="22"/>
    <n v="6"/>
    <n v="13"/>
    <n v="7"/>
  </r>
  <r>
    <n v="28"/>
    <x v="2"/>
    <x v="0"/>
    <n v="1"/>
    <x v="1"/>
    <n v="1009"/>
    <x v="1"/>
    <x v="0"/>
    <n v="3"/>
    <x v="3"/>
    <x v="2"/>
    <n v="1"/>
    <x v="1"/>
    <n v="45"/>
    <x v="1"/>
    <n v="1"/>
    <x v="2"/>
    <n v="2"/>
    <x v="2"/>
    <x v="756"/>
    <n v="7160"/>
    <n v="1"/>
    <s v="Y"/>
    <x v="1"/>
    <n v="15"/>
    <n v="3"/>
    <n v="1"/>
    <n v="80"/>
    <n v="2"/>
    <n v="1"/>
    <n v="2"/>
    <n v="3"/>
    <n v="1"/>
    <n v="0"/>
    <n v="0"/>
    <n v="0"/>
  </r>
  <r>
    <n v="50"/>
    <x v="1"/>
    <x v="0"/>
    <n v="1"/>
    <x v="1"/>
    <n v="959"/>
    <x v="0"/>
    <x v="0"/>
    <n v="4"/>
    <x v="2"/>
    <x v="1"/>
    <n v="4"/>
    <x v="1"/>
    <n v="81"/>
    <x v="0"/>
    <n v="2"/>
    <x v="0"/>
    <n v="3"/>
    <x v="0"/>
    <x v="757"/>
    <n v="17251"/>
    <n v="3"/>
    <s v="Y"/>
    <x v="0"/>
    <n v="14"/>
    <n v="3"/>
    <n v="4"/>
    <n v="80"/>
    <n v="0"/>
    <n v="5"/>
    <n v="4"/>
    <n v="3"/>
    <n v="0"/>
    <n v="0"/>
    <n v="0"/>
    <n v="0"/>
  </r>
  <r>
    <n v="33"/>
    <x v="2"/>
    <x v="1"/>
    <n v="0"/>
    <x v="1"/>
    <n v="970"/>
    <x v="0"/>
    <x v="15"/>
    <n v="3"/>
    <x v="3"/>
    <x v="0"/>
    <n v="4"/>
    <x v="0"/>
    <n v="30"/>
    <x v="0"/>
    <n v="2"/>
    <x v="0"/>
    <n v="2"/>
    <x v="1"/>
    <x v="758"/>
    <n v="13401"/>
    <n v="0"/>
    <s v="Y"/>
    <x v="1"/>
    <n v="17"/>
    <n v="3"/>
    <n v="3"/>
    <n v="80"/>
    <n v="1"/>
    <n v="4"/>
    <n v="3"/>
    <n v="3"/>
    <n v="3"/>
    <n v="2"/>
    <n v="0"/>
    <n v="2"/>
  </r>
  <r>
    <n v="34"/>
    <x v="2"/>
    <x v="1"/>
    <n v="0"/>
    <x v="2"/>
    <n v="697"/>
    <x v="1"/>
    <x v="3"/>
    <n v="4"/>
    <x v="2"/>
    <x v="0"/>
    <n v="3"/>
    <x v="1"/>
    <n v="40"/>
    <x v="1"/>
    <n v="1"/>
    <x v="1"/>
    <n v="4"/>
    <x v="1"/>
    <x v="759"/>
    <n v="22478"/>
    <n v="3"/>
    <s v="Y"/>
    <x v="1"/>
    <n v="17"/>
    <n v="3"/>
    <n v="4"/>
    <n v="80"/>
    <n v="3"/>
    <n v="6"/>
    <n v="2"/>
    <n v="3"/>
    <n v="0"/>
    <n v="0"/>
    <n v="0"/>
    <n v="0"/>
  </r>
  <r>
    <n v="48"/>
    <x v="1"/>
    <x v="1"/>
    <n v="0"/>
    <x v="2"/>
    <n v="1262"/>
    <x v="1"/>
    <x v="0"/>
    <n v="4"/>
    <x v="2"/>
    <x v="2"/>
    <n v="1"/>
    <x v="1"/>
    <n v="35"/>
    <x v="2"/>
    <n v="4"/>
    <x v="5"/>
    <n v="4"/>
    <x v="0"/>
    <x v="760"/>
    <n v="16154"/>
    <n v="2"/>
    <s v="Y"/>
    <x v="1"/>
    <n v="22"/>
    <n v="4"/>
    <n v="3"/>
    <n v="80"/>
    <n v="0"/>
    <n v="27"/>
    <n v="3"/>
    <n v="2"/>
    <n v="5"/>
    <n v="4"/>
    <n v="2"/>
    <n v="1"/>
  </r>
  <r>
    <n v="45"/>
    <x v="1"/>
    <x v="1"/>
    <n v="0"/>
    <x v="2"/>
    <n v="1050"/>
    <x v="0"/>
    <x v="14"/>
    <n v="4"/>
    <x v="2"/>
    <x v="0"/>
    <n v="2"/>
    <x v="0"/>
    <n v="65"/>
    <x v="1"/>
    <n v="2"/>
    <x v="0"/>
    <n v="3"/>
    <x v="1"/>
    <x v="761"/>
    <n v="17970"/>
    <n v="1"/>
    <s v="Y"/>
    <x v="1"/>
    <n v="13"/>
    <n v="3"/>
    <n v="4"/>
    <n v="80"/>
    <n v="1"/>
    <n v="15"/>
    <n v="2"/>
    <n v="3"/>
    <n v="15"/>
    <n v="10"/>
    <n v="4"/>
    <n v="12"/>
  </r>
  <r>
    <n v="52"/>
    <x v="1"/>
    <x v="1"/>
    <n v="0"/>
    <x v="0"/>
    <n v="994"/>
    <x v="1"/>
    <x v="15"/>
    <n v="4"/>
    <x v="2"/>
    <x v="0"/>
    <n v="2"/>
    <x v="1"/>
    <n v="87"/>
    <x v="0"/>
    <n v="3"/>
    <x v="4"/>
    <n v="2"/>
    <x v="0"/>
    <x v="762"/>
    <n v="15322"/>
    <n v="7"/>
    <s v="Y"/>
    <x v="1"/>
    <n v="19"/>
    <n v="3"/>
    <n v="4"/>
    <n v="80"/>
    <n v="0"/>
    <n v="18"/>
    <n v="4"/>
    <n v="3"/>
    <n v="8"/>
    <n v="6"/>
    <n v="4"/>
    <n v="0"/>
  </r>
  <r>
    <n v="38"/>
    <x v="0"/>
    <x v="1"/>
    <n v="0"/>
    <x v="0"/>
    <n v="770"/>
    <x v="0"/>
    <x v="17"/>
    <n v="4"/>
    <x v="2"/>
    <x v="3"/>
    <n v="3"/>
    <x v="1"/>
    <n v="73"/>
    <x v="1"/>
    <n v="3"/>
    <x v="0"/>
    <n v="3"/>
    <x v="2"/>
    <x v="763"/>
    <n v="5569"/>
    <n v="0"/>
    <s v="Y"/>
    <x v="0"/>
    <n v="14"/>
    <n v="3"/>
    <n v="2"/>
    <n v="80"/>
    <n v="2"/>
    <n v="9"/>
    <n v="2"/>
    <n v="3"/>
    <n v="8"/>
    <n v="7"/>
    <n v="2"/>
    <n v="7"/>
  </r>
  <r>
    <n v="29"/>
    <x v="2"/>
    <x v="1"/>
    <n v="0"/>
    <x v="0"/>
    <n v="1107"/>
    <x v="1"/>
    <x v="26"/>
    <n v="4"/>
    <x v="2"/>
    <x v="0"/>
    <n v="3"/>
    <x v="0"/>
    <n v="93"/>
    <x v="0"/>
    <n v="1"/>
    <x v="1"/>
    <n v="4"/>
    <x v="2"/>
    <x v="764"/>
    <n v="26968"/>
    <n v="4"/>
    <s v="Y"/>
    <x v="1"/>
    <n v="22"/>
    <n v="4"/>
    <n v="1"/>
    <n v="80"/>
    <n v="1"/>
    <n v="11"/>
    <n v="1"/>
    <n v="3"/>
    <n v="7"/>
    <n v="5"/>
    <n v="1"/>
    <n v="7"/>
  </r>
  <r>
    <n v="28"/>
    <x v="2"/>
    <x v="1"/>
    <n v="0"/>
    <x v="0"/>
    <n v="950"/>
    <x v="1"/>
    <x v="3"/>
    <n v="3"/>
    <x v="3"/>
    <x v="2"/>
    <n v="4"/>
    <x v="0"/>
    <n v="93"/>
    <x v="0"/>
    <n v="3"/>
    <x v="3"/>
    <n v="2"/>
    <x v="2"/>
    <x v="765"/>
    <n v="8039"/>
    <n v="0"/>
    <s v="Y"/>
    <x v="1"/>
    <n v="17"/>
    <n v="3"/>
    <n v="2"/>
    <n v="80"/>
    <n v="3"/>
    <n v="10"/>
    <n v="3"/>
    <n v="2"/>
    <n v="9"/>
    <n v="7"/>
    <n v="1"/>
    <n v="7"/>
  </r>
  <r>
    <n v="46"/>
    <x v="1"/>
    <x v="1"/>
    <n v="0"/>
    <x v="0"/>
    <n v="406"/>
    <x v="0"/>
    <x v="3"/>
    <n v="1"/>
    <x v="1"/>
    <x v="3"/>
    <n v="1"/>
    <x v="1"/>
    <n v="52"/>
    <x v="0"/>
    <n v="4"/>
    <x v="5"/>
    <n v="3"/>
    <x v="1"/>
    <x v="766"/>
    <n v="15596"/>
    <n v="3"/>
    <s v="Y"/>
    <x v="1"/>
    <n v="12"/>
    <n v="3"/>
    <n v="4"/>
    <n v="80"/>
    <n v="1"/>
    <n v="23"/>
    <n v="3"/>
    <n v="3"/>
    <n v="12"/>
    <n v="9"/>
    <n v="4"/>
    <n v="9"/>
  </r>
  <r>
    <n v="38"/>
    <x v="0"/>
    <x v="1"/>
    <n v="0"/>
    <x v="0"/>
    <n v="130"/>
    <x v="0"/>
    <x v="2"/>
    <n v="2"/>
    <x v="0"/>
    <x v="3"/>
    <n v="4"/>
    <x v="1"/>
    <n v="32"/>
    <x v="0"/>
    <n v="3"/>
    <x v="0"/>
    <n v="2"/>
    <x v="0"/>
    <x v="767"/>
    <n v="20619"/>
    <n v="7"/>
    <s v="Y"/>
    <x v="1"/>
    <n v="16"/>
    <n v="3"/>
    <n v="3"/>
    <n v="80"/>
    <n v="0"/>
    <n v="10"/>
    <n v="2"/>
    <n v="3"/>
    <n v="1"/>
    <n v="0"/>
    <n v="0"/>
    <n v="0"/>
  </r>
  <r>
    <n v="43"/>
    <x v="0"/>
    <x v="1"/>
    <n v="0"/>
    <x v="1"/>
    <n v="1082"/>
    <x v="1"/>
    <x v="6"/>
    <n v="3"/>
    <x v="3"/>
    <x v="0"/>
    <n v="3"/>
    <x v="0"/>
    <n v="83"/>
    <x v="0"/>
    <n v="3"/>
    <x v="3"/>
    <n v="1"/>
    <x v="1"/>
    <x v="768"/>
    <n v="11535"/>
    <n v="8"/>
    <s v="Y"/>
    <x v="1"/>
    <n v="11"/>
    <n v="3"/>
    <n v="3"/>
    <n v="80"/>
    <n v="1"/>
    <n v="18"/>
    <n v="1"/>
    <n v="3"/>
    <n v="8"/>
    <n v="7"/>
    <n v="0"/>
    <n v="1"/>
  </r>
  <r>
    <n v="39"/>
    <x v="0"/>
    <x v="0"/>
    <n v="1"/>
    <x v="1"/>
    <n v="203"/>
    <x v="1"/>
    <x v="2"/>
    <n v="3"/>
    <x v="3"/>
    <x v="0"/>
    <n v="1"/>
    <x v="1"/>
    <n v="84"/>
    <x v="0"/>
    <n v="4"/>
    <x v="4"/>
    <n v="4"/>
    <x v="2"/>
    <x v="769"/>
    <n v="13547"/>
    <n v="7"/>
    <s v="Y"/>
    <x v="1"/>
    <n v="11"/>
    <n v="3"/>
    <n v="4"/>
    <n v="80"/>
    <n v="3"/>
    <n v="21"/>
    <n v="4"/>
    <n v="3"/>
    <n v="18"/>
    <n v="7"/>
    <n v="11"/>
    <n v="5"/>
  </r>
  <r>
    <n v="40"/>
    <x v="0"/>
    <x v="1"/>
    <n v="0"/>
    <x v="0"/>
    <n v="1308"/>
    <x v="1"/>
    <x v="24"/>
    <n v="3"/>
    <x v="3"/>
    <x v="2"/>
    <n v="3"/>
    <x v="1"/>
    <n v="44"/>
    <x v="1"/>
    <n v="5"/>
    <x v="7"/>
    <n v="3"/>
    <x v="0"/>
    <x v="770"/>
    <n v="17544"/>
    <n v="1"/>
    <s v="Y"/>
    <x v="1"/>
    <n v="14"/>
    <n v="3"/>
    <n v="1"/>
    <n v="80"/>
    <n v="0"/>
    <n v="21"/>
    <n v="2"/>
    <n v="4"/>
    <n v="20"/>
    <n v="7"/>
    <n v="4"/>
    <n v="9"/>
  </r>
  <r>
    <n v="21"/>
    <x v="4"/>
    <x v="1"/>
    <n v="0"/>
    <x v="0"/>
    <n v="984"/>
    <x v="1"/>
    <x v="0"/>
    <n v="1"/>
    <x v="1"/>
    <x v="4"/>
    <n v="4"/>
    <x v="0"/>
    <n v="70"/>
    <x v="1"/>
    <n v="1"/>
    <x v="1"/>
    <n v="2"/>
    <x v="0"/>
    <x v="266"/>
    <n v="25326"/>
    <n v="1"/>
    <s v="Y"/>
    <x v="0"/>
    <n v="11"/>
    <n v="3"/>
    <n v="3"/>
    <n v="80"/>
    <n v="0"/>
    <n v="2"/>
    <n v="6"/>
    <n v="4"/>
    <n v="2"/>
    <n v="2"/>
    <n v="2"/>
    <n v="2"/>
  </r>
  <r>
    <n v="39"/>
    <x v="0"/>
    <x v="1"/>
    <n v="0"/>
    <x v="2"/>
    <n v="439"/>
    <x v="1"/>
    <x v="14"/>
    <n v="3"/>
    <x v="3"/>
    <x v="0"/>
    <n v="3"/>
    <x v="1"/>
    <n v="70"/>
    <x v="0"/>
    <n v="2"/>
    <x v="2"/>
    <n v="2"/>
    <x v="0"/>
    <x v="771"/>
    <n v="8770"/>
    <n v="9"/>
    <s v="Y"/>
    <x v="1"/>
    <n v="15"/>
    <n v="3"/>
    <n v="3"/>
    <n v="80"/>
    <n v="0"/>
    <n v="9"/>
    <n v="2"/>
    <n v="2"/>
    <n v="5"/>
    <n v="4"/>
    <n v="0"/>
    <n v="3"/>
  </r>
  <r>
    <n v="36"/>
    <x v="0"/>
    <x v="1"/>
    <n v="0"/>
    <x v="2"/>
    <n v="217"/>
    <x v="1"/>
    <x v="21"/>
    <n v="4"/>
    <x v="2"/>
    <x v="0"/>
    <n v="1"/>
    <x v="1"/>
    <n v="78"/>
    <x v="0"/>
    <n v="2"/>
    <x v="3"/>
    <n v="4"/>
    <x v="0"/>
    <x v="772"/>
    <n v="23238"/>
    <n v="2"/>
    <s v="Y"/>
    <x v="1"/>
    <n v="20"/>
    <n v="4"/>
    <n v="1"/>
    <n v="80"/>
    <n v="0"/>
    <n v="18"/>
    <n v="0"/>
    <n v="3"/>
    <n v="11"/>
    <n v="9"/>
    <n v="0"/>
    <n v="9"/>
  </r>
  <r>
    <n v="31"/>
    <x v="2"/>
    <x v="1"/>
    <n v="0"/>
    <x v="1"/>
    <n v="793"/>
    <x v="0"/>
    <x v="25"/>
    <n v="3"/>
    <x v="3"/>
    <x v="0"/>
    <n v="3"/>
    <x v="1"/>
    <n v="67"/>
    <x v="2"/>
    <n v="1"/>
    <x v="6"/>
    <n v="4"/>
    <x v="1"/>
    <x v="773"/>
    <n v="21981"/>
    <n v="0"/>
    <s v="Y"/>
    <x v="1"/>
    <n v="12"/>
    <n v="3"/>
    <n v="1"/>
    <n v="80"/>
    <n v="1"/>
    <n v="3"/>
    <n v="4"/>
    <n v="3"/>
    <n v="2"/>
    <n v="2"/>
    <n v="2"/>
    <n v="2"/>
  </r>
  <r>
    <n v="28"/>
    <x v="2"/>
    <x v="1"/>
    <n v="0"/>
    <x v="0"/>
    <n v="1451"/>
    <x v="1"/>
    <x v="2"/>
    <n v="1"/>
    <x v="1"/>
    <x v="0"/>
    <n v="1"/>
    <x v="1"/>
    <n v="67"/>
    <x v="1"/>
    <n v="1"/>
    <x v="1"/>
    <n v="2"/>
    <x v="1"/>
    <x v="774"/>
    <n v="19911"/>
    <n v="0"/>
    <s v="Y"/>
    <x v="1"/>
    <n v="17"/>
    <n v="3"/>
    <n v="1"/>
    <n v="80"/>
    <n v="0"/>
    <n v="6"/>
    <n v="2"/>
    <n v="1"/>
    <n v="5"/>
    <n v="3"/>
    <n v="0"/>
    <n v="4"/>
  </r>
  <r>
    <n v="35"/>
    <x v="0"/>
    <x v="1"/>
    <n v="0"/>
    <x v="1"/>
    <n v="1182"/>
    <x v="0"/>
    <x v="13"/>
    <n v="2"/>
    <x v="0"/>
    <x v="3"/>
    <n v="4"/>
    <x v="1"/>
    <n v="54"/>
    <x v="0"/>
    <n v="2"/>
    <x v="0"/>
    <n v="4"/>
    <x v="2"/>
    <x v="775"/>
    <n v="18500"/>
    <n v="1"/>
    <s v="Y"/>
    <x v="1"/>
    <n v="11"/>
    <n v="3"/>
    <n v="4"/>
    <n v="80"/>
    <n v="1"/>
    <n v="5"/>
    <n v="3"/>
    <n v="3"/>
    <n v="5"/>
    <n v="2"/>
    <n v="0"/>
    <n v="2"/>
  </r>
  <r>
    <n v="49"/>
    <x v="1"/>
    <x v="1"/>
    <n v="0"/>
    <x v="0"/>
    <n v="174"/>
    <x v="0"/>
    <x v="1"/>
    <n v="4"/>
    <x v="2"/>
    <x v="4"/>
    <n v="4"/>
    <x v="1"/>
    <n v="56"/>
    <x v="1"/>
    <n v="4"/>
    <x v="0"/>
    <n v="2"/>
    <x v="1"/>
    <x v="776"/>
    <n v="11879"/>
    <n v="6"/>
    <s v="Y"/>
    <x v="1"/>
    <n v="17"/>
    <n v="3"/>
    <n v="2"/>
    <n v="80"/>
    <n v="1"/>
    <n v="22"/>
    <n v="3"/>
    <n v="3"/>
    <n v="9"/>
    <n v="8"/>
    <n v="2"/>
    <n v="3"/>
  </r>
  <r>
    <n v="34"/>
    <x v="2"/>
    <x v="1"/>
    <n v="0"/>
    <x v="1"/>
    <n v="1003"/>
    <x v="1"/>
    <x v="2"/>
    <n v="2"/>
    <x v="0"/>
    <x v="0"/>
    <n v="4"/>
    <x v="1"/>
    <n v="95"/>
    <x v="0"/>
    <n v="2"/>
    <x v="3"/>
    <n v="3"/>
    <x v="0"/>
    <x v="777"/>
    <n v="15834"/>
    <n v="2"/>
    <s v="Y"/>
    <x v="1"/>
    <n v="11"/>
    <n v="3"/>
    <n v="4"/>
    <n v="80"/>
    <n v="0"/>
    <n v="5"/>
    <n v="3"/>
    <n v="2"/>
    <n v="3"/>
    <n v="2"/>
    <n v="0"/>
    <n v="2"/>
  </r>
  <r>
    <n v="29"/>
    <x v="2"/>
    <x v="1"/>
    <n v="0"/>
    <x v="1"/>
    <n v="490"/>
    <x v="1"/>
    <x v="17"/>
    <n v="3"/>
    <x v="3"/>
    <x v="0"/>
    <n v="4"/>
    <x v="0"/>
    <n v="61"/>
    <x v="0"/>
    <n v="1"/>
    <x v="1"/>
    <n v="2"/>
    <x v="2"/>
    <x v="778"/>
    <n v="17940"/>
    <n v="0"/>
    <s v="Y"/>
    <x v="1"/>
    <n v="14"/>
    <n v="3"/>
    <n v="4"/>
    <n v="80"/>
    <n v="2"/>
    <n v="8"/>
    <n v="2"/>
    <n v="2"/>
    <n v="7"/>
    <n v="5"/>
    <n v="1"/>
    <n v="1"/>
  </r>
  <r>
    <n v="42"/>
    <x v="0"/>
    <x v="1"/>
    <n v="0"/>
    <x v="0"/>
    <n v="188"/>
    <x v="1"/>
    <x v="22"/>
    <n v="3"/>
    <x v="3"/>
    <x v="2"/>
    <n v="2"/>
    <x v="1"/>
    <n v="56"/>
    <x v="3"/>
    <n v="2"/>
    <x v="2"/>
    <n v="4"/>
    <x v="0"/>
    <x v="779"/>
    <n v="9558"/>
    <n v="4"/>
    <s v="Y"/>
    <x v="1"/>
    <n v="19"/>
    <n v="3"/>
    <n v="1"/>
    <n v="80"/>
    <n v="0"/>
    <n v="16"/>
    <n v="3"/>
    <n v="3"/>
    <n v="1"/>
    <n v="0"/>
    <n v="0"/>
    <n v="0"/>
  </r>
  <r>
    <n v="29"/>
    <x v="2"/>
    <x v="1"/>
    <n v="0"/>
    <x v="0"/>
    <n v="718"/>
    <x v="1"/>
    <x v="1"/>
    <n v="1"/>
    <x v="1"/>
    <x v="2"/>
    <n v="2"/>
    <x v="1"/>
    <n v="79"/>
    <x v="1"/>
    <n v="2"/>
    <x v="3"/>
    <n v="4"/>
    <x v="1"/>
    <x v="780"/>
    <n v="17689"/>
    <n v="1"/>
    <s v="Y"/>
    <x v="0"/>
    <n v="15"/>
    <n v="3"/>
    <n v="3"/>
    <n v="80"/>
    <n v="1"/>
    <n v="10"/>
    <n v="2"/>
    <n v="2"/>
    <n v="10"/>
    <n v="7"/>
    <n v="1"/>
    <n v="2"/>
  </r>
  <r>
    <n v="38"/>
    <x v="0"/>
    <x v="1"/>
    <n v="0"/>
    <x v="0"/>
    <n v="433"/>
    <x v="2"/>
    <x v="0"/>
    <n v="3"/>
    <x v="3"/>
    <x v="5"/>
    <n v="3"/>
    <x v="1"/>
    <n v="37"/>
    <x v="2"/>
    <n v="1"/>
    <x v="8"/>
    <n v="3"/>
    <x v="1"/>
    <x v="781"/>
    <n v="6004"/>
    <n v="1"/>
    <s v="Y"/>
    <x v="1"/>
    <n v="13"/>
    <n v="3"/>
    <n v="4"/>
    <n v="80"/>
    <n v="1"/>
    <n v="7"/>
    <n v="2"/>
    <n v="4"/>
    <n v="7"/>
    <n v="6"/>
    <n v="5"/>
    <n v="0"/>
  </r>
  <r>
    <n v="28"/>
    <x v="2"/>
    <x v="1"/>
    <n v="0"/>
    <x v="1"/>
    <n v="773"/>
    <x v="1"/>
    <x v="16"/>
    <n v="3"/>
    <x v="3"/>
    <x v="0"/>
    <n v="3"/>
    <x v="1"/>
    <n v="39"/>
    <x v="1"/>
    <n v="1"/>
    <x v="1"/>
    <n v="3"/>
    <x v="2"/>
    <x v="68"/>
    <n v="22088"/>
    <n v="1"/>
    <s v="Y"/>
    <x v="0"/>
    <n v="14"/>
    <n v="3"/>
    <n v="4"/>
    <n v="80"/>
    <n v="1"/>
    <n v="3"/>
    <n v="2"/>
    <n v="3"/>
    <n v="3"/>
    <n v="1"/>
    <n v="0"/>
    <n v="2"/>
  </r>
  <r>
    <n v="18"/>
    <x v="4"/>
    <x v="0"/>
    <n v="1"/>
    <x v="2"/>
    <n v="247"/>
    <x v="1"/>
    <x v="1"/>
    <n v="1"/>
    <x v="1"/>
    <x v="2"/>
    <n v="3"/>
    <x v="1"/>
    <n v="80"/>
    <x v="0"/>
    <n v="1"/>
    <x v="2"/>
    <n v="3"/>
    <x v="0"/>
    <x v="782"/>
    <n v="13556"/>
    <n v="1"/>
    <s v="Y"/>
    <x v="1"/>
    <n v="12"/>
    <n v="3"/>
    <n v="4"/>
    <n v="80"/>
    <n v="0"/>
    <n v="0"/>
    <n v="0"/>
    <n v="3"/>
    <n v="0"/>
    <n v="0"/>
    <n v="0"/>
    <n v="0"/>
  </r>
  <r>
    <n v="33"/>
    <x v="2"/>
    <x v="0"/>
    <n v="1"/>
    <x v="0"/>
    <n v="603"/>
    <x v="0"/>
    <x v="14"/>
    <n v="4"/>
    <x v="2"/>
    <x v="3"/>
    <n v="1"/>
    <x v="0"/>
    <n v="77"/>
    <x v="0"/>
    <n v="2"/>
    <x v="0"/>
    <n v="1"/>
    <x v="0"/>
    <x v="783"/>
    <n v="18385"/>
    <n v="0"/>
    <s v="Y"/>
    <x v="0"/>
    <n v="17"/>
    <n v="3"/>
    <n v="1"/>
    <n v="80"/>
    <n v="0"/>
    <n v="6"/>
    <n v="3"/>
    <n v="3"/>
    <n v="5"/>
    <n v="2"/>
    <n v="0"/>
    <n v="3"/>
  </r>
  <r>
    <n v="41"/>
    <x v="0"/>
    <x v="1"/>
    <n v="0"/>
    <x v="0"/>
    <n v="167"/>
    <x v="1"/>
    <x v="20"/>
    <n v="4"/>
    <x v="2"/>
    <x v="0"/>
    <n v="2"/>
    <x v="1"/>
    <n v="46"/>
    <x v="0"/>
    <n v="1"/>
    <x v="2"/>
    <n v="4"/>
    <x v="1"/>
    <x v="784"/>
    <n v="9051"/>
    <n v="3"/>
    <s v="Y"/>
    <x v="0"/>
    <n v="11"/>
    <n v="3"/>
    <n v="1"/>
    <n v="80"/>
    <n v="1"/>
    <n v="6"/>
    <n v="4"/>
    <n v="3"/>
    <n v="1"/>
    <n v="0"/>
    <n v="0"/>
    <n v="0"/>
  </r>
  <r>
    <n v="31"/>
    <x v="2"/>
    <x v="0"/>
    <n v="1"/>
    <x v="1"/>
    <n v="874"/>
    <x v="1"/>
    <x v="8"/>
    <n v="3"/>
    <x v="3"/>
    <x v="2"/>
    <n v="3"/>
    <x v="1"/>
    <n v="72"/>
    <x v="0"/>
    <n v="1"/>
    <x v="2"/>
    <n v="3"/>
    <x v="1"/>
    <x v="353"/>
    <n v="6233"/>
    <n v="1"/>
    <s v="Y"/>
    <x v="1"/>
    <n v="12"/>
    <n v="3"/>
    <n v="3"/>
    <n v="80"/>
    <n v="1"/>
    <n v="2"/>
    <n v="5"/>
    <n v="2"/>
    <n v="2"/>
    <n v="2"/>
    <n v="2"/>
    <n v="2"/>
  </r>
  <r>
    <n v="37"/>
    <x v="0"/>
    <x v="1"/>
    <n v="0"/>
    <x v="0"/>
    <n v="367"/>
    <x v="1"/>
    <x v="19"/>
    <n v="2"/>
    <x v="0"/>
    <x v="2"/>
    <n v="3"/>
    <x v="0"/>
    <n v="52"/>
    <x v="1"/>
    <n v="2"/>
    <x v="4"/>
    <n v="4"/>
    <x v="2"/>
    <x v="785"/>
    <n v="17171"/>
    <n v="7"/>
    <s v="Y"/>
    <x v="1"/>
    <n v="13"/>
    <n v="3"/>
    <n v="3"/>
    <n v="80"/>
    <n v="2"/>
    <n v="9"/>
    <n v="2"/>
    <n v="3"/>
    <n v="6"/>
    <n v="2"/>
    <n v="1"/>
    <n v="3"/>
  </r>
  <r>
    <n v="27"/>
    <x v="2"/>
    <x v="1"/>
    <n v="0"/>
    <x v="0"/>
    <n v="199"/>
    <x v="1"/>
    <x v="16"/>
    <n v="3"/>
    <x v="3"/>
    <x v="0"/>
    <n v="4"/>
    <x v="1"/>
    <n v="55"/>
    <x v="1"/>
    <n v="1"/>
    <x v="1"/>
    <n v="3"/>
    <x v="1"/>
    <x v="786"/>
    <n v="7950"/>
    <n v="1"/>
    <s v="Y"/>
    <x v="1"/>
    <n v="13"/>
    <n v="3"/>
    <n v="3"/>
    <n v="80"/>
    <n v="1"/>
    <n v="4"/>
    <n v="0"/>
    <n v="3"/>
    <n v="4"/>
    <n v="2"/>
    <n v="2"/>
    <n v="2"/>
  </r>
  <r>
    <n v="34"/>
    <x v="2"/>
    <x v="1"/>
    <n v="0"/>
    <x v="0"/>
    <n v="1400"/>
    <x v="0"/>
    <x v="14"/>
    <n v="1"/>
    <x v="1"/>
    <x v="0"/>
    <n v="2"/>
    <x v="0"/>
    <n v="70"/>
    <x v="0"/>
    <n v="2"/>
    <x v="0"/>
    <n v="3"/>
    <x v="1"/>
    <x v="787"/>
    <n v="5829"/>
    <n v="1"/>
    <s v="Y"/>
    <x v="1"/>
    <n v="20"/>
    <n v="4"/>
    <n v="1"/>
    <n v="80"/>
    <n v="0"/>
    <n v="6"/>
    <n v="3"/>
    <n v="2"/>
    <n v="6"/>
    <n v="5"/>
    <n v="1"/>
    <n v="3"/>
  </r>
  <r>
    <n v="35"/>
    <x v="0"/>
    <x v="1"/>
    <n v="0"/>
    <x v="0"/>
    <n v="528"/>
    <x v="2"/>
    <x v="1"/>
    <n v="4"/>
    <x v="2"/>
    <x v="4"/>
    <n v="3"/>
    <x v="1"/>
    <n v="100"/>
    <x v="0"/>
    <n v="1"/>
    <x v="8"/>
    <n v="3"/>
    <x v="0"/>
    <x v="788"/>
    <n v="7108"/>
    <n v="1"/>
    <s v="Y"/>
    <x v="1"/>
    <n v="17"/>
    <n v="3"/>
    <n v="2"/>
    <n v="80"/>
    <n v="0"/>
    <n v="6"/>
    <n v="2"/>
    <n v="1"/>
    <n v="5"/>
    <n v="4"/>
    <n v="1"/>
    <n v="4"/>
  </r>
  <r>
    <n v="29"/>
    <x v="2"/>
    <x v="0"/>
    <n v="1"/>
    <x v="0"/>
    <n v="408"/>
    <x v="0"/>
    <x v="5"/>
    <n v="1"/>
    <x v="1"/>
    <x v="0"/>
    <n v="4"/>
    <x v="0"/>
    <n v="45"/>
    <x v="1"/>
    <n v="3"/>
    <x v="0"/>
    <n v="1"/>
    <x v="1"/>
    <x v="789"/>
    <n v="11162"/>
    <n v="1"/>
    <s v="Y"/>
    <x v="1"/>
    <n v="13"/>
    <n v="3"/>
    <n v="1"/>
    <n v="80"/>
    <n v="1"/>
    <n v="11"/>
    <n v="3"/>
    <n v="1"/>
    <n v="11"/>
    <n v="8"/>
    <n v="3"/>
    <n v="10"/>
  </r>
  <r>
    <n v="40"/>
    <x v="0"/>
    <x v="1"/>
    <n v="0"/>
    <x v="1"/>
    <n v="593"/>
    <x v="1"/>
    <x v="14"/>
    <n v="4"/>
    <x v="2"/>
    <x v="2"/>
    <n v="2"/>
    <x v="0"/>
    <n v="88"/>
    <x v="0"/>
    <n v="3"/>
    <x v="7"/>
    <n v="3"/>
    <x v="0"/>
    <x v="790"/>
    <n v="13782"/>
    <n v="9"/>
    <s v="Y"/>
    <x v="1"/>
    <n v="17"/>
    <n v="3"/>
    <n v="3"/>
    <n v="80"/>
    <n v="0"/>
    <n v="20"/>
    <n v="3"/>
    <n v="2"/>
    <n v="18"/>
    <n v="7"/>
    <n v="2"/>
    <n v="13"/>
  </r>
  <r>
    <n v="42"/>
    <x v="0"/>
    <x v="0"/>
    <n v="1"/>
    <x v="1"/>
    <n v="481"/>
    <x v="0"/>
    <x v="20"/>
    <n v="3"/>
    <x v="3"/>
    <x v="0"/>
    <n v="3"/>
    <x v="1"/>
    <n v="44"/>
    <x v="0"/>
    <n v="4"/>
    <x v="0"/>
    <n v="1"/>
    <x v="0"/>
    <x v="791"/>
    <n v="2447"/>
    <n v="0"/>
    <s v="Y"/>
    <x v="0"/>
    <n v="12"/>
    <n v="3"/>
    <n v="2"/>
    <n v="80"/>
    <n v="0"/>
    <n v="22"/>
    <n v="2"/>
    <n v="2"/>
    <n v="21"/>
    <n v="9"/>
    <n v="13"/>
    <n v="14"/>
  </r>
  <r>
    <n v="42"/>
    <x v="0"/>
    <x v="1"/>
    <n v="0"/>
    <x v="0"/>
    <n v="647"/>
    <x v="0"/>
    <x v="18"/>
    <n v="4"/>
    <x v="2"/>
    <x v="3"/>
    <n v="2"/>
    <x v="1"/>
    <n v="45"/>
    <x v="0"/>
    <n v="2"/>
    <x v="0"/>
    <n v="1"/>
    <x v="0"/>
    <x v="792"/>
    <n v="2253"/>
    <n v="7"/>
    <s v="Y"/>
    <x v="1"/>
    <n v="13"/>
    <n v="3"/>
    <n v="4"/>
    <n v="80"/>
    <n v="0"/>
    <n v="9"/>
    <n v="3"/>
    <n v="4"/>
    <n v="6"/>
    <n v="4"/>
    <n v="1"/>
    <n v="5"/>
  </r>
  <r>
    <n v="35"/>
    <x v="0"/>
    <x v="1"/>
    <n v="0"/>
    <x v="0"/>
    <n v="982"/>
    <x v="1"/>
    <x v="0"/>
    <n v="4"/>
    <x v="2"/>
    <x v="2"/>
    <n v="4"/>
    <x v="1"/>
    <n v="58"/>
    <x v="1"/>
    <n v="1"/>
    <x v="2"/>
    <n v="3"/>
    <x v="1"/>
    <x v="384"/>
    <n v="16340"/>
    <n v="6"/>
    <s v="Y"/>
    <x v="1"/>
    <n v="12"/>
    <n v="3"/>
    <n v="2"/>
    <n v="80"/>
    <n v="1"/>
    <n v="10"/>
    <n v="2"/>
    <n v="3"/>
    <n v="8"/>
    <n v="0"/>
    <n v="1"/>
    <n v="7"/>
  </r>
  <r>
    <n v="24"/>
    <x v="4"/>
    <x v="1"/>
    <n v="0"/>
    <x v="0"/>
    <n v="477"/>
    <x v="1"/>
    <x v="4"/>
    <n v="3"/>
    <x v="3"/>
    <x v="2"/>
    <n v="4"/>
    <x v="1"/>
    <n v="49"/>
    <x v="0"/>
    <n v="1"/>
    <x v="2"/>
    <n v="2"/>
    <x v="0"/>
    <x v="793"/>
    <n v="6409"/>
    <n v="8"/>
    <s v="Y"/>
    <x v="1"/>
    <n v="22"/>
    <n v="4"/>
    <n v="4"/>
    <n v="80"/>
    <n v="0"/>
    <n v="6"/>
    <n v="2"/>
    <n v="3"/>
    <n v="4"/>
    <n v="3"/>
    <n v="1"/>
    <n v="2"/>
  </r>
  <r>
    <n v="28"/>
    <x v="2"/>
    <x v="0"/>
    <n v="1"/>
    <x v="0"/>
    <n v="1485"/>
    <x v="1"/>
    <x v="20"/>
    <n v="1"/>
    <x v="1"/>
    <x v="0"/>
    <n v="3"/>
    <x v="0"/>
    <n v="79"/>
    <x v="0"/>
    <n v="1"/>
    <x v="2"/>
    <n v="4"/>
    <x v="1"/>
    <x v="605"/>
    <n v="22955"/>
    <n v="1"/>
    <s v="Y"/>
    <x v="0"/>
    <n v="11"/>
    <n v="3"/>
    <n v="4"/>
    <n v="80"/>
    <n v="0"/>
    <n v="1"/>
    <n v="4"/>
    <n v="2"/>
    <n v="1"/>
    <n v="1"/>
    <n v="0"/>
    <n v="0"/>
  </r>
  <r>
    <n v="26"/>
    <x v="2"/>
    <x v="1"/>
    <n v="0"/>
    <x v="0"/>
    <n v="1384"/>
    <x v="1"/>
    <x v="3"/>
    <n v="4"/>
    <x v="2"/>
    <x v="2"/>
    <n v="1"/>
    <x v="1"/>
    <n v="82"/>
    <x v="2"/>
    <n v="1"/>
    <x v="2"/>
    <n v="4"/>
    <x v="1"/>
    <x v="794"/>
    <n v="13421"/>
    <n v="1"/>
    <s v="Y"/>
    <x v="1"/>
    <n v="22"/>
    <n v="4"/>
    <n v="2"/>
    <n v="80"/>
    <n v="1"/>
    <n v="8"/>
    <n v="2"/>
    <n v="3"/>
    <n v="8"/>
    <n v="7"/>
    <n v="0"/>
    <n v="7"/>
  </r>
  <r>
    <n v="30"/>
    <x v="2"/>
    <x v="1"/>
    <n v="0"/>
    <x v="0"/>
    <n v="852"/>
    <x v="0"/>
    <x v="17"/>
    <n v="3"/>
    <x v="3"/>
    <x v="3"/>
    <n v="3"/>
    <x v="1"/>
    <n v="72"/>
    <x v="1"/>
    <n v="2"/>
    <x v="0"/>
    <n v="3"/>
    <x v="1"/>
    <x v="795"/>
    <n v="2706"/>
    <n v="1"/>
    <s v="Y"/>
    <x v="1"/>
    <n v="18"/>
    <n v="3"/>
    <n v="1"/>
    <n v="80"/>
    <n v="1"/>
    <n v="10"/>
    <n v="3"/>
    <n v="3"/>
    <n v="10"/>
    <n v="3"/>
    <n v="1"/>
    <n v="4"/>
  </r>
  <r>
    <n v="40"/>
    <x v="0"/>
    <x v="1"/>
    <n v="0"/>
    <x v="1"/>
    <n v="902"/>
    <x v="1"/>
    <x v="9"/>
    <n v="2"/>
    <x v="0"/>
    <x v="2"/>
    <n v="3"/>
    <x v="0"/>
    <n v="92"/>
    <x v="1"/>
    <n v="2"/>
    <x v="1"/>
    <n v="4"/>
    <x v="1"/>
    <x v="796"/>
    <n v="21203"/>
    <n v="3"/>
    <s v="Y"/>
    <x v="0"/>
    <n v="13"/>
    <n v="3"/>
    <n v="4"/>
    <n v="80"/>
    <n v="1"/>
    <n v="16"/>
    <n v="3"/>
    <n v="1"/>
    <n v="1"/>
    <n v="1"/>
    <n v="0"/>
    <n v="0"/>
  </r>
  <r>
    <n v="35"/>
    <x v="0"/>
    <x v="1"/>
    <n v="0"/>
    <x v="0"/>
    <n v="819"/>
    <x v="1"/>
    <x v="2"/>
    <n v="3"/>
    <x v="3"/>
    <x v="0"/>
    <n v="3"/>
    <x v="1"/>
    <n v="44"/>
    <x v="1"/>
    <n v="3"/>
    <x v="3"/>
    <n v="2"/>
    <x v="2"/>
    <x v="797"/>
    <n v="19588"/>
    <n v="2"/>
    <s v="Y"/>
    <x v="1"/>
    <n v="18"/>
    <n v="3"/>
    <n v="2"/>
    <n v="80"/>
    <n v="1"/>
    <n v="15"/>
    <n v="2"/>
    <n v="4"/>
    <n v="7"/>
    <n v="7"/>
    <n v="6"/>
    <n v="4"/>
  </r>
  <r>
    <n v="34"/>
    <x v="2"/>
    <x v="1"/>
    <n v="0"/>
    <x v="1"/>
    <n v="669"/>
    <x v="1"/>
    <x v="0"/>
    <n v="3"/>
    <x v="3"/>
    <x v="2"/>
    <n v="4"/>
    <x v="1"/>
    <n v="97"/>
    <x v="1"/>
    <n v="2"/>
    <x v="4"/>
    <n v="1"/>
    <x v="0"/>
    <x v="798"/>
    <n v="25755"/>
    <n v="0"/>
    <s v="Y"/>
    <x v="1"/>
    <n v="20"/>
    <n v="4"/>
    <n v="3"/>
    <n v="80"/>
    <n v="0"/>
    <n v="14"/>
    <n v="3"/>
    <n v="3"/>
    <n v="13"/>
    <n v="9"/>
    <n v="4"/>
    <n v="9"/>
  </r>
  <r>
    <n v="35"/>
    <x v="0"/>
    <x v="1"/>
    <n v="0"/>
    <x v="1"/>
    <n v="636"/>
    <x v="1"/>
    <x v="18"/>
    <n v="4"/>
    <x v="2"/>
    <x v="1"/>
    <n v="4"/>
    <x v="1"/>
    <n v="47"/>
    <x v="1"/>
    <n v="1"/>
    <x v="2"/>
    <n v="4"/>
    <x v="1"/>
    <x v="799"/>
    <n v="26537"/>
    <n v="1"/>
    <s v="Y"/>
    <x v="1"/>
    <n v="13"/>
    <n v="3"/>
    <n v="2"/>
    <n v="80"/>
    <n v="1"/>
    <n v="2"/>
    <n v="2"/>
    <n v="4"/>
    <n v="2"/>
    <n v="2"/>
    <n v="2"/>
    <n v="2"/>
  </r>
  <r>
    <n v="43"/>
    <x v="0"/>
    <x v="0"/>
    <n v="1"/>
    <x v="0"/>
    <n v="1372"/>
    <x v="0"/>
    <x v="14"/>
    <n v="3"/>
    <x v="3"/>
    <x v="3"/>
    <n v="1"/>
    <x v="0"/>
    <n v="85"/>
    <x v="3"/>
    <n v="2"/>
    <x v="0"/>
    <n v="3"/>
    <x v="0"/>
    <x v="800"/>
    <n v="9489"/>
    <n v="8"/>
    <s v="Y"/>
    <x v="1"/>
    <n v="13"/>
    <n v="3"/>
    <n v="2"/>
    <n v="80"/>
    <n v="0"/>
    <n v="7"/>
    <n v="2"/>
    <n v="2"/>
    <n v="4"/>
    <n v="3"/>
    <n v="1"/>
    <n v="3"/>
  </r>
  <r>
    <n v="32"/>
    <x v="2"/>
    <x v="1"/>
    <n v="0"/>
    <x v="2"/>
    <n v="862"/>
    <x v="0"/>
    <x v="2"/>
    <n v="1"/>
    <x v="1"/>
    <x v="0"/>
    <n v="3"/>
    <x v="0"/>
    <n v="76"/>
    <x v="0"/>
    <n v="1"/>
    <x v="6"/>
    <n v="1"/>
    <x v="2"/>
    <x v="801"/>
    <n v="14947"/>
    <n v="1"/>
    <s v="Y"/>
    <x v="1"/>
    <n v="12"/>
    <n v="3"/>
    <n v="3"/>
    <n v="80"/>
    <n v="3"/>
    <n v="1"/>
    <n v="3"/>
    <n v="3"/>
    <n v="1"/>
    <n v="0"/>
    <n v="0"/>
    <n v="0"/>
  </r>
  <r>
    <n v="56"/>
    <x v="3"/>
    <x v="1"/>
    <n v="0"/>
    <x v="0"/>
    <n v="718"/>
    <x v="1"/>
    <x v="18"/>
    <n v="4"/>
    <x v="2"/>
    <x v="4"/>
    <n v="4"/>
    <x v="0"/>
    <n v="92"/>
    <x v="0"/>
    <n v="5"/>
    <x v="5"/>
    <n v="1"/>
    <x v="2"/>
    <x v="802"/>
    <n v="18575"/>
    <n v="4"/>
    <s v="Y"/>
    <x v="1"/>
    <n v="13"/>
    <n v="3"/>
    <n v="4"/>
    <n v="80"/>
    <n v="1"/>
    <n v="28"/>
    <n v="2"/>
    <n v="3"/>
    <n v="5"/>
    <n v="2"/>
    <n v="4"/>
    <n v="2"/>
  </r>
  <r>
    <n v="29"/>
    <x v="2"/>
    <x v="1"/>
    <n v="0"/>
    <x v="0"/>
    <n v="1401"/>
    <x v="1"/>
    <x v="16"/>
    <n v="1"/>
    <x v="1"/>
    <x v="2"/>
    <n v="2"/>
    <x v="0"/>
    <n v="54"/>
    <x v="0"/>
    <n v="1"/>
    <x v="2"/>
    <n v="4"/>
    <x v="1"/>
    <x v="803"/>
    <n v="26342"/>
    <n v="1"/>
    <s v="Y"/>
    <x v="1"/>
    <n v="13"/>
    <n v="3"/>
    <n v="1"/>
    <n v="80"/>
    <n v="1"/>
    <n v="10"/>
    <n v="5"/>
    <n v="3"/>
    <n v="10"/>
    <n v="8"/>
    <n v="0"/>
    <n v="8"/>
  </r>
  <r>
    <n v="19"/>
    <x v="4"/>
    <x v="1"/>
    <n v="0"/>
    <x v="0"/>
    <n v="645"/>
    <x v="1"/>
    <x v="14"/>
    <n v="2"/>
    <x v="0"/>
    <x v="0"/>
    <n v="3"/>
    <x v="1"/>
    <n v="54"/>
    <x v="0"/>
    <n v="1"/>
    <x v="1"/>
    <n v="1"/>
    <x v="0"/>
    <x v="804"/>
    <n v="7172"/>
    <n v="1"/>
    <s v="Y"/>
    <x v="1"/>
    <n v="25"/>
    <n v="4"/>
    <n v="3"/>
    <n v="80"/>
    <n v="0"/>
    <n v="1"/>
    <n v="4"/>
    <n v="3"/>
    <n v="1"/>
    <n v="1"/>
    <n v="0"/>
    <n v="0"/>
  </r>
  <r>
    <n v="45"/>
    <x v="1"/>
    <x v="1"/>
    <n v="0"/>
    <x v="0"/>
    <n v="1457"/>
    <x v="1"/>
    <x v="15"/>
    <n v="3"/>
    <x v="3"/>
    <x v="2"/>
    <n v="1"/>
    <x v="0"/>
    <n v="83"/>
    <x v="0"/>
    <n v="1"/>
    <x v="1"/>
    <n v="3"/>
    <x v="1"/>
    <x v="805"/>
    <n v="20100"/>
    <n v="4"/>
    <s v="Y"/>
    <x v="0"/>
    <n v="19"/>
    <n v="3"/>
    <n v="3"/>
    <n v="80"/>
    <n v="1"/>
    <n v="7"/>
    <n v="2"/>
    <n v="2"/>
    <n v="3"/>
    <n v="2"/>
    <n v="0"/>
    <n v="2"/>
  </r>
  <r>
    <n v="37"/>
    <x v="0"/>
    <x v="1"/>
    <n v="0"/>
    <x v="0"/>
    <n v="977"/>
    <x v="1"/>
    <x v="0"/>
    <n v="3"/>
    <x v="3"/>
    <x v="0"/>
    <n v="4"/>
    <x v="0"/>
    <n v="56"/>
    <x v="1"/>
    <n v="2"/>
    <x v="3"/>
    <n v="4"/>
    <x v="1"/>
    <x v="806"/>
    <n v="9961"/>
    <n v="1"/>
    <s v="Y"/>
    <x v="1"/>
    <n v="13"/>
    <n v="3"/>
    <n v="2"/>
    <n v="80"/>
    <n v="1"/>
    <n v="14"/>
    <n v="2"/>
    <n v="2"/>
    <n v="14"/>
    <n v="8"/>
    <n v="3"/>
    <n v="11"/>
  </r>
  <r>
    <n v="20"/>
    <x v="4"/>
    <x v="1"/>
    <n v="0"/>
    <x v="0"/>
    <n v="805"/>
    <x v="1"/>
    <x v="3"/>
    <n v="3"/>
    <x v="3"/>
    <x v="0"/>
    <n v="1"/>
    <x v="1"/>
    <n v="87"/>
    <x v="1"/>
    <n v="1"/>
    <x v="2"/>
    <n v="3"/>
    <x v="0"/>
    <x v="807"/>
    <n v="12828"/>
    <n v="1"/>
    <s v="Y"/>
    <x v="1"/>
    <n v="12"/>
    <n v="3"/>
    <n v="1"/>
    <n v="80"/>
    <n v="0"/>
    <n v="2"/>
    <n v="2"/>
    <n v="2"/>
    <n v="2"/>
    <n v="2"/>
    <n v="1"/>
    <n v="2"/>
  </r>
  <r>
    <n v="44"/>
    <x v="0"/>
    <x v="0"/>
    <n v="1"/>
    <x v="0"/>
    <n v="1097"/>
    <x v="1"/>
    <x v="17"/>
    <n v="4"/>
    <x v="2"/>
    <x v="0"/>
    <n v="3"/>
    <x v="1"/>
    <n v="96"/>
    <x v="0"/>
    <n v="1"/>
    <x v="1"/>
    <n v="3"/>
    <x v="0"/>
    <x v="808"/>
    <n v="10826"/>
    <n v="1"/>
    <s v="Y"/>
    <x v="0"/>
    <n v="11"/>
    <n v="3"/>
    <n v="3"/>
    <n v="80"/>
    <n v="0"/>
    <n v="6"/>
    <n v="4"/>
    <n v="3"/>
    <n v="6"/>
    <n v="4"/>
    <n v="0"/>
    <n v="2"/>
  </r>
  <r>
    <n v="53"/>
    <x v="1"/>
    <x v="1"/>
    <n v="0"/>
    <x v="0"/>
    <n v="1223"/>
    <x v="1"/>
    <x v="15"/>
    <n v="2"/>
    <x v="0"/>
    <x v="2"/>
    <n v="4"/>
    <x v="0"/>
    <n v="50"/>
    <x v="0"/>
    <n v="5"/>
    <x v="5"/>
    <n v="3"/>
    <x v="2"/>
    <x v="809"/>
    <n v="18640"/>
    <n v="3"/>
    <s v="Y"/>
    <x v="1"/>
    <n v="18"/>
    <n v="3"/>
    <n v="2"/>
    <n v="80"/>
    <n v="1"/>
    <n v="26"/>
    <n v="6"/>
    <n v="3"/>
    <n v="7"/>
    <n v="7"/>
    <n v="4"/>
    <n v="7"/>
  </r>
  <r>
    <n v="29"/>
    <x v="2"/>
    <x v="1"/>
    <n v="0"/>
    <x v="0"/>
    <n v="942"/>
    <x v="1"/>
    <x v="8"/>
    <n v="1"/>
    <x v="1"/>
    <x v="0"/>
    <n v="2"/>
    <x v="0"/>
    <n v="69"/>
    <x v="3"/>
    <n v="1"/>
    <x v="1"/>
    <n v="4"/>
    <x v="1"/>
    <x v="810"/>
    <n v="26933"/>
    <n v="0"/>
    <s v="Y"/>
    <x v="0"/>
    <n v="18"/>
    <n v="3"/>
    <n v="1"/>
    <n v="80"/>
    <n v="1"/>
    <n v="6"/>
    <n v="2"/>
    <n v="2"/>
    <n v="5"/>
    <n v="4"/>
    <n v="1"/>
    <n v="3"/>
  </r>
  <r>
    <n v="22"/>
    <x v="4"/>
    <x v="0"/>
    <n v="1"/>
    <x v="1"/>
    <n v="1256"/>
    <x v="1"/>
    <x v="3"/>
    <n v="4"/>
    <x v="2"/>
    <x v="0"/>
    <n v="3"/>
    <x v="1"/>
    <n v="48"/>
    <x v="1"/>
    <n v="1"/>
    <x v="1"/>
    <n v="4"/>
    <x v="1"/>
    <x v="811"/>
    <n v="4223"/>
    <n v="0"/>
    <s v="Y"/>
    <x v="0"/>
    <n v="11"/>
    <n v="3"/>
    <n v="2"/>
    <n v="80"/>
    <n v="1"/>
    <n v="1"/>
    <n v="5"/>
    <n v="3"/>
    <n v="0"/>
    <n v="0"/>
    <n v="0"/>
    <n v="0"/>
  </r>
  <r>
    <n v="46"/>
    <x v="1"/>
    <x v="1"/>
    <n v="0"/>
    <x v="0"/>
    <n v="1402"/>
    <x v="0"/>
    <x v="2"/>
    <n v="3"/>
    <x v="3"/>
    <x v="3"/>
    <n v="3"/>
    <x v="0"/>
    <n v="69"/>
    <x v="0"/>
    <n v="4"/>
    <x v="5"/>
    <n v="1"/>
    <x v="1"/>
    <x v="812"/>
    <n v="24097"/>
    <n v="8"/>
    <s v="Y"/>
    <x v="1"/>
    <n v="23"/>
    <n v="4"/>
    <n v="1"/>
    <n v="80"/>
    <n v="0"/>
    <n v="28"/>
    <n v="2"/>
    <n v="3"/>
    <n v="26"/>
    <n v="15"/>
    <n v="15"/>
    <n v="9"/>
  </r>
  <r>
    <n v="44"/>
    <x v="0"/>
    <x v="1"/>
    <n v="0"/>
    <x v="2"/>
    <n v="111"/>
    <x v="1"/>
    <x v="27"/>
    <n v="3"/>
    <x v="3"/>
    <x v="0"/>
    <n v="4"/>
    <x v="1"/>
    <n v="74"/>
    <x v="3"/>
    <n v="1"/>
    <x v="1"/>
    <n v="3"/>
    <x v="0"/>
    <x v="813"/>
    <n v="4279"/>
    <n v="2"/>
    <s v="Y"/>
    <x v="1"/>
    <n v="13"/>
    <n v="3"/>
    <n v="4"/>
    <n v="80"/>
    <n v="0"/>
    <n v="6"/>
    <n v="3"/>
    <n v="3"/>
    <n v="0"/>
    <n v="0"/>
    <n v="0"/>
    <n v="0"/>
  </r>
  <r>
    <n v="33"/>
    <x v="2"/>
    <x v="1"/>
    <n v="0"/>
    <x v="0"/>
    <n v="147"/>
    <x v="2"/>
    <x v="2"/>
    <n v="3"/>
    <x v="3"/>
    <x v="5"/>
    <n v="2"/>
    <x v="1"/>
    <n v="99"/>
    <x v="0"/>
    <n v="1"/>
    <x v="8"/>
    <n v="3"/>
    <x v="1"/>
    <x v="814"/>
    <n v="8429"/>
    <n v="1"/>
    <s v="Y"/>
    <x v="1"/>
    <n v="13"/>
    <n v="3"/>
    <n v="4"/>
    <n v="80"/>
    <n v="1"/>
    <n v="5"/>
    <n v="2"/>
    <n v="3"/>
    <n v="5"/>
    <n v="4"/>
    <n v="1"/>
    <n v="4"/>
  </r>
  <r>
    <n v="41"/>
    <x v="0"/>
    <x v="0"/>
    <n v="1"/>
    <x v="2"/>
    <n v="906"/>
    <x v="1"/>
    <x v="12"/>
    <n v="2"/>
    <x v="0"/>
    <x v="0"/>
    <n v="1"/>
    <x v="1"/>
    <n v="95"/>
    <x v="1"/>
    <n v="1"/>
    <x v="1"/>
    <n v="1"/>
    <x v="2"/>
    <x v="815"/>
    <n v="20293"/>
    <n v="6"/>
    <s v="Y"/>
    <x v="1"/>
    <n v="17"/>
    <n v="3"/>
    <n v="1"/>
    <n v="80"/>
    <n v="1"/>
    <n v="5"/>
    <n v="2"/>
    <n v="1"/>
    <n v="1"/>
    <n v="0"/>
    <n v="0"/>
    <n v="0"/>
  </r>
  <r>
    <n v="30"/>
    <x v="2"/>
    <x v="1"/>
    <n v="0"/>
    <x v="0"/>
    <n v="1329"/>
    <x v="0"/>
    <x v="22"/>
    <n v="4"/>
    <x v="2"/>
    <x v="0"/>
    <n v="3"/>
    <x v="1"/>
    <n v="61"/>
    <x v="0"/>
    <n v="2"/>
    <x v="0"/>
    <n v="1"/>
    <x v="2"/>
    <x v="816"/>
    <n v="13192"/>
    <n v="8"/>
    <s v="Y"/>
    <x v="1"/>
    <n v="19"/>
    <n v="3"/>
    <n v="3"/>
    <n v="80"/>
    <n v="3"/>
    <n v="8"/>
    <n v="3"/>
    <n v="3"/>
    <n v="4"/>
    <n v="3"/>
    <n v="0"/>
    <n v="3"/>
  </r>
  <r>
    <n v="40"/>
    <x v="0"/>
    <x v="1"/>
    <n v="0"/>
    <x v="1"/>
    <n v="1184"/>
    <x v="0"/>
    <x v="2"/>
    <n v="4"/>
    <x v="2"/>
    <x v="2"/>
    <n v="2"/>
    <x v="1"/>
    <n v="62"/>
    <x v="0"/>
    <n v="2"/>
    <x v="0"/>
    <n v="2"/>
    <x v="1"/>
    <x v="817"/>
    <n v="25440"/>
    <n v="5"/>
    <s v="Y"/>
    <x v="1"/>
    <n v="12"/>
    <n v="3"/>
    <n v="4"/>
    <n v="80"/>
    <n v="3"/>
    <n v="5"/>
    <n v="2"/>
    <n v="3"/>
    <n v="0"/>
    <n v="0"/>
    <n v="0"/>
    <n v="0"/>
  </r>
  <r>
    <n v="50"/>
    <x v="1"/>
    <x v="1"/>
    <n v="0"/>
    <x v="1"/>
    <n v="1421"/>
    <x v="1"/>
    <x v="2"/>
    <n v="3"/>
    <x v="3"/>
    <x v="2"/>
    <n v="4"/>
    <x v="0"/>
    <n v="30"/>
    <x v="0"/>
    <n v="4"/>
    <x v="5"/>
    <n v="1"/>
    <x v="1"/>
    <x v="818"/>
    <n v="9490"/>
    <n v="2"/>
    <s v="Y"/>
    <x v="1"/>
    <n v="22"/>
    <n v="4"/>
    <n v="3"/>
    <n v="80"/>
    <n v="1"/>
    <n v="32"/>
    <n v="3"/>
    <n v="3"/>
    <n v="2"/>
    <n v="2"/>
    <n v="2"/>
    <n v="2"/>
  </r>
  <r>
    <n v="28"/>
    <x v="2"/>
    <x v="1"/>
    <n v="0"/>
    <x v="0"/>
    <n v="1179"/>
    <x v="1"/>
    <x v="10"/>
    <n v="4"/>
    <x v="2"/>
    <x v="2"/>
    <n v="4"/>
    <x v="1"/>
    <n v="78"/>
    <x v="1"/>
    <n v="1"/>
    <x v="2"/>
    <n v="1"/>
    <x v="1"/>
    <x v="819"/>
    <n v="12449"/>
    <n v="1"/>
    <s v="Y"/>
    <x v="1"/>
    <n v="12"/>
    <n v="3"/>
    <n v="3"/>
    <n v="80"/>
    <n v="3"/>
    <n v="6"/>
    <n v="2"/>
    <n v="3"/>
    <n v="6"/>
    <n v="5"/>
    <n v="3"/>
    <n v="3"/>
  </r>
  <r>
    <n v="46"/>
    <x v="1"/>
    <x v="1"/>
    <n v="0"/>
    <x v="0"/>
    <n v="1450"/>
    <x v="1"/>
    <x v="8"/>
    <n v="2"/>
    <x v="0"/>
    <x v="0"/>
    <n v="4"/>
    <x v="1"/>
    <n v="52"/>
    <x v="0"/>
    <n v="5"/>
    <x v="7"/>
    <n v="2"/>
    <x v="1"/>
    <x v="820"/>
    <n v="10849"/>
    <n v="5"/>
    <s v="Y"/>
    <x v="1"/>
    <n v="11"/>
    <n v="3"/>
    <n v="1"/>
    <n v="80"/>
    <n v="1"/>
    <n v="25"/>
    <n v="2"/>
    <n v="3"/>
    <n v="4"/>
    <n v="2"/>
    <n v="0"/>
    <n v="3"/>
  </r>
  <r>
    <n v="35"/>
    <x v="0"/>
    <x v="1"/>
    <n v="0"/>
    <x v="0"/>
    <n v="1361"/>
    <x v="0"/>
    <x v="27"/>
    <n v="4"/>
    <x v="2"/>
    <x v="0"/>
    <n v="3"/>
    <x v="1"/>
    <n v="94"/>
    <x v="0"/>
    <n v="2"/>
    <x v="0"/>
    <n v="1"/>
    <x v="1"/>
    <x v="821"/>
    <n v="21026"/>
    <n v="3"/>
    <s v="Y"/>
    <x v="0"/>
    <n v="15"/>
    <n v="3"/>
    <n v="4"/>
    <n v="80"/>
    <n v="3"/>
    <n v="15"/>
    <n v="2"/>
    <n v="3"/>
    <n v="7"/>
    <n v="7"/>
    <n v="1"/>
    <n v="7"/>
  </r>
  <r>
    <n v="24"/>
    <x v="4"/>
    <x v="0"/>
    <n v="1"/>
    <x v="0"/>
    <n v="984"/>
    <x v="1"/>
    <x v="27"/>
    <n v="2"/>
    <x v="0"/>
    <x v="0"/>
    <n v="4"/>
    <x v="0"/>
    <n v="97"/>
    <x v="0"/>
    <n v="1"/>
    <x v="2"/>
    <n v="2"/>
    <x v="1"/>
    <x v="822"/>
    <n v="3372"/>
    <n v="1"/>
    <s v="Y"/>
    <x v="1"/>
    <n v="13"/>
    <n v="3"/>
    <n v="1"/>
    <n v="80"/>
    <n v="1"/>
    <n v="1"/>
    <n v="3"/>
    <n v="1"/>
    <n v="1"/>
    <n v="0"/>
    <n v="0"/>
    <n v="0"/>
  </r>
  <r>
    <n v="33"/>
    <x v="2"/>
    <x v="1"/>
    <n v="0"/>
    <x v="1"/>
    <n v="1146"/>
    <x v="0"/>
    <x v="19"/>
    <n v="3"/>
    <x v="3"/>
    <x v="2"/>
    <n v="2"/>
    <x v="0"/>
    <n v="82"/>
    <x v="0"/>
    <n v="2"/>
    <x v="0"/>
    <n v="3"/>
    <x v="1"/>
    <x v="823"/>
    <n v="4905"/>
    <n v="1"/>
    <s v="Y"/>
    <x v="1"/>
    <n v="12"/>
    <n v="3"/>
    <n v="1"/>
    <n v="80"/>
    <n v="1"/>
    <n v="10"/>
    <n v="3"/>
    <n v="2"/>
    <n v="10"/>
    <n v="7"/>
    <n v="0"/>
    <n v="1"/>
  </r>
  <r>
    <n v="36"/>
    <x v="0"/>
    <x v="1"/>
    <n v="0"/>
    <x v="0"/>
    <n v="917"/>
    <x v="1"/>
    <x v="16"/>
    <n v="4"/>
    <x v="2"/>
    <x v="0"/>
    <n v="3"/>
    <x v="1"/>
    <n v="60"/>
    <x v="3"/>
    <n v="1"/>
    <x v="2"/>
    <n v="3"/>
    <x v="2"/>
    <x v="199"/>
    <n v="6865"/>
    <n v="1"/>
    <s v="Y"/>
    <x v="1"/>
    <n v="14"/>
    <n v="3"/>
    <n v="3"/>
    <n v="80"/>
    <n v="1"/>
    <n v="7"/>
    <n v="4"/>
    <n v="3"/>
    <n v="7"/>
    <n v="7"/>
    <n v="1"/>
    <n v="7"/>
  </r>
  <r>
    <n v="30"/>
    <x v="2"/>
    <x v="1"/>
    <n v="0"/>
    <x v="0"/>
    <n v="853"/>
    <x v="1"/>
    <x v="15"/>
    <n v="4"/>
    <x v="2"/>
    <x v="0"/>
    <n v="3"/>
    <x v="1"/>
    <n v="49"/>
    <x v="0"/>
    <n v="2"/>
    <x v="2"/>
    <n v="3"/>
    <x v="2"/>
    <x v="824"/>
    <n v="11309"/>
    <n v="1"/>
    <s v="Y"/>
    <x v="1"/>
    <n v="13"/>
    <n v="3"/>
    <n v="1"/>
    <n v="80"/>
    <n v="3"/>
    <n v="10"/>
    <n v="4"/>
    <n v="2"/>
    <n v="10"/>
    <n v="7"/>
    <n v="8"/>
    <n v="9"/>
  </r>
  <r>
    <n v="44"/>
    <x v="0"/>
    <x v="1"/>
    <n v="0"/>
    <x v="0"/>
    <n v="200"/>
    <x v="1"/>
    <x v="22"/>
    <n v="4"/>
    <x v="2"/>
    <x v="1"/>
    <n v="4"/>
    <x v="1"/>
    <n v="32"/>
    <x v="0"/>
    <n v="2"/>
    <x v="1"/>
    <n v="4"/>
    <x v="0"/>
    <x v="825"/>
    <n v="7744"/>
    <n v="1"/>
    <s v="Y"/>
    <x v="1"/>
    <n v="25"/>
    <n v="4"/>
    <n v="2"/>
    <n v="80"/>
    <n v="0"/>
    <n v="20"/>
    <n v="3"/>
    <n v="3"/>
    <n v="20"/>
    <n v="11"/>
    <n v="13"/>
    <n v="17"/>
  </r>
  <r>
    <n v="20"/>
    <x v="4"/>
    <x v="1"/>
    <n v="0"/>
    <x v="0"/>
    <n v="654"/>
    <x v="0"/>
    <x v="11"/>
    <n v="3"/>
    <x v="3"/>
    <x v="3"/>
    <n v="3"/>
    <x v="1"/>
    <n v="43"/>
    <x v="2"/>
    <n v="1"/>
    <x v="6"/>
    <n v="4"/>
    <x v="0"/>
    <x v="826"/>
    <n v="5050"/>
    <n v="1"/>
    <s v="Y"/>
    <x v="1"/>
    <n v="17"/>
    <n v="3"/>
    <n v="4"/>
    <n v="80"/>
    <n v="0"/>
    <n v="2"/>
    <n v="2"/>
    <n v="3"/>
    <n v="2"/>
    <n v="1"/>
    <n v="2"/>
    <n v="2"/>
  </r>
  <r>
    <n v="46"/>
    <x v="1"/>
    <x v="1"/>
    <n v="0"/>
    <x v="0"/>
    <n v="150"/>
    <x v="1"/>
    <x v="2"/>
    <n v="4"/>
    <x v="2"/>
    <x v="4"/>
    <n v="4"/>
    <x v="1"/>
    <n v="60"/>
    <x v="0"/>
    <n v="2"/>
    <x v="3"/>
    <n v="4"/>
    <x v="2"/>
    <x v="827"/>
    <n v="17433"/>
    <n v="2"/>
    <s v="Y"/>
    <x v="1"/>
    <n v="11"/>
    <n v="3"/>
    <n v="3"/>
    <n v="80"/>
    <n v="1"/>
    <n v="12"/>
    <n v="3"/>
    <n v="2"/>
    <n v="6"/>
    <n v="3"/>
    <n v="1"/>
    <n v="4"/>
  </r>
  <r>
    <n v="42"/>
    <x v="0"/>
    <x v="1"/>
    <n v="0"/>
    <x v="2"/>
    <n v="179"/>
    <x v="2"/>
    <x v="2"/>
    <n v="5"/>
    <x v="4"/>
    <x v="2"/>
    <n v="4"/>
    <x v="1"/>
    <n v="79"/>
    <x v="2"/>
    <n v="2"/>
    <x v="8"/>
    <n v="1"/>
    <x v="1"/>
    <x v="458"/>
    <n v="12858"/>
    <n v="7"/>
    <s v="Y"/>
    <x v="1"/>
    <n v="16"/>
    <n v="3"/>
    <n v="1"/>
    <n v="80"/>
    <n v="1"/>
    <n v="10"/>
    <n v="3"/>
    <n v="4"/>
    <n v="4"/>
    <n v="3"/>
    <n v="0"/>
    <n v="3"/>
  </r>
  <r>
    <n v="60"/>
    <x v="3"/>
    <x v="1"/>
    <n v="0"/>
    <x v="0"/>
    <n v="696"/>
    <x v="0"/>
    <x v="15"/>
    <n v="4"/>
    <x v="2"/>
    <x v="3"/>
    <n v="2"/>
    <x v="1"/>
    <n v="52"/>
    <x v="2"/>
    <n v="2"/>
    <x v="0"/>
    <n v="4"/>
    <x v="2"/>
    <x v="828"/>
    <n v="10893"/>
    <n v="0"/>
    <s v="Y"/>
    <x v="0"/>
    <n v="18"/>
    <n v="3"/>
    <n v="2"/>
    <n v="80"/>
    <n v="1"/>
    <n v="12"/>
    <n v="3"/>
    <n v="3"/>
    <n v="11"/>
    <n v="7"/>
    <n v="1"/>
    <n v="9"/>
  </r>
  <r>
    <n v="32"/>
    <x v="2"/>
    <x v="1"/>
    <n v="0"/>
    <x v="1"/>
    <n v="116"/>
    <x v="1"/>
    <x v="28"/>
    <n v="3"/>
    <x v="3"/>
    <x v="1"/>
    <n v="3"/>
    <x v="0"/>
    <n v="77"/>
    <x v="1"/>
    <n v="1"/>
    <x v="2"/>
    <n v="2"/>
    <x v="1"/>
    <x v="714"/>
    <n v="7331"/>
    <n v="1"/>
    <s v="Y"/>
    <x v="1"/>
    <n v="20"/>
    <n v="4"/>
    <n v="3"/>
    <n v="80"/>
    <n v="1"/>
    <n v="2"/>
    <n v="2"/>
    <n v="3"/>
    <n v="2"/>
    <n v="2"/>
    <n v="2"/>
    <n v="2"/>
  </r>
  <r>
    <n v="32"/>
    <x v="2"/>
    <x v="1"/>
    <n v="0"/>
    <x v="1"/>
    <n v="1316"/>
    <x v="1"/>
    <x v="2"/>
    <n v="2"/>
    <x v="0"/>
    <x v="0"/>
    <n v="4"/>
    <x v="0"/>
    <n v="38"/>
    <x v="0"/>
    <n v="2"/>
    <x v="1"/>
    <n v="3"/>
    <x v="0"/>
    <x v="829"/>
    <n v="2338"/>
    <n v="4"/>
    <s v="Y"/>
    <x v="0"/>
    <n v="14"/>
    <n v="3"/>
    <n v="4"/>
    <n v="80"/>
    <n v="0"/>
    <n v="10"/>
    <n v="2"/>
    <n v="3"/>
    <n v="8"/>
    <n v="7"/>
    <n v="0"/>
    <n v="7"/>
  </r>
  <r>
    <n v="36"/>
    <x v="0"/>
    <x v="1"/>
    <n v="0"/>
    <x v="0"/>
    <n v="363"/>
    <x v="1"/>
    <x v="0"/>
    <n v="3"/>
    <x v="3"/>
    <x v="4"/>
    <n v="3"/>
    <x v="0"/>
    <n v="77"/>
    <x v="3"/>
    <n v="3"/>
    <x v="3"/>
    <n v="1"/>
    <x v="2"/>
    <x v="830"/>
    <n v="4235"/>
    <n v="2"/>
    <s v="Y"/>
    <x v="0"/>
    <n v="21"/>
    <n v="4"/>
    <n v="3"/>
    <n v="80"/>
    <n v="1"/>
    <n v="17"/>
    <n v="2"/>
    <n v="3"/>
    <n v="7"/>
    <n v="7"/>
    <n v="7"/>
    <n v="7"/>
  </r>
  <r>
    <n v="33"/>
    <x v="2"/>
    <x v="1"/>
    <n v="0"/>
    <x v="0"/>
    <n v="117"/>
    <x v="1"/>
    <x v="14"/>
    <n v="3"/>
    <x v="3"/>
    <x v="2"/>
    <n v="1"/>
    <x v="1"/>
    <n v="60"/>
    <x v="0"/>
    <n v="1"/>
    <x v="1"/>
    <n v="4"/>
    <x v="1"/>
    <x v="831"/>
    <n v="6311"/>
    <n v="0"/>
    <s v="Y"/>
    <x v="1"/>
    <n v="13"/>
    <n v="3"/>
    <n v="2"/>
    <n v="80"/>
    <n v="1"/>
    <n v="15"/>
    <n v="5"/>
    <n v="3"/>
    <n v="14"/>
    <n v="10"/>
    <n v="4"/>
    <n v="10"/>
  </r>
  <r>
    <n v="40"/>
    <x v="0"/>
    <x v="1"/>
    <n v="0"/>
    <x v="0"/>
    <n v="107"/>
    <x v="0"/>
    <x v="17"/>
    <n v="3"/>
    <x v="3"/>
    <x v="4"/>
    <n v="2"/>
    <x v="0"/>
    <n v="84"/>
    <x v="1"/>
    <n v="2"/>
    <x v="0"/>
    <n v="2"/>
    <x v="2"/>
    <x v="832"/>
    <n v="11591"/>
    <n v="7"/>
    <s v="Y"/>
    <x v="1"/>
    <n v="12"/>
    <n v="3"/>
    <n v="2"/>
    <n v="80"/>
    <n v="1"/>
    <n v="7"/>
    <n v="2"/>
    <n v="4"/>
    <n v="5"/>
    <n v="1"/>
    <n v="1"/>
    <n v="3"/>
  </r>
  <r>
    <n v="25"/>
    <x v="2"/>
    <x v="1"/>
    <n v="0"/>
    <x v="0"/>
    <n v="1356"/>
    <x v="0"/>
    <x v="17"/>
    <n v="4"/>
    <x v="2"/>
    <x v="0"/>
    <n v="3"/>
    <x v="1"/>
    <n v="57"/>
    <x v="0"/>
    <n v="2"/>
    <x v="0"/>
    <n v="4"/>
    <x v="0"/>
    <x v="833"/>
    <n v="20623"/>
    <n v="0"/>
    <s v="Y"/>
    <x v="1"/>
    <n v="14"/>
    <n v="3"/>
    <n v="2"/>
    <n v="80"/>
    <n v="0"/>
    <n v="5"/>
    <n v="4"/>
    <n v="3"/>
    <n v="4"/>
    <n v="3"/>
    <n v="1"/>
    <n v="1"/>
  </r>
  <r>
    <n v="30"/>
    <x v="2"/>
    <x v="1"/>
    <n v="0"/>
    <x v="0"/>
    <n v="1465"/>
    <x v="1"/>
    <x v="0"/>
    <n v="3"/>
    <x v="3"/>
    <x v="2"/>
    <n v="4"/>
    <x v="1"/>
    <n v="63"/>
    <x v="0"/>
    <n v="1"/>
    <x v="1"/>
    <n v="2"/>
    <x v="1"/>
    <x v="834"/>
    <n v="9369"/>
    <n v="0"/>
    <s v="Y"/>
    <x v="0"/>
    <n v="21"/>
    <n v="4"/>
    <n v="1"/>
    <n v="80"/>
    <n v="1"/>
    <n v="12"/>
    <n v="2"/>
    <n v="3"/>
    <n v="11"/>
    <n v="9"/>
    <n v="5"/>
    <n v="7"/>
  </r>
  <r>
    <n v="42"/>
    <x v="0"/>
    <x v="1"/>
    <n v="0"/>
    <x v="1"/>
    <n v="458"/>
    <x v="1"/>
    <x v="9"/>
    <n v="5"/>
    <x v="4"/>
    <x v="2"/>
    <n v="1"/>
    <x v="0"/>
    <n v="60"/>
    <x v="0"/>
    <n v="3"/>
    <x v="7"/>
    <n v="1"/>
    <x v="1"/>
    <x v="835"/>
    <n v="23281"/>
    <n v="3"/>
    <s v="Y"/>
    <x v="0"/>
    <n v="17"/>
    <n v="3"/>
    <n v="3"/>
    <n v="80"/>
    <n v="0"/>
    <n v="20"/>
    <n v="6"/>
    <n v="3"/>
    <n v="1"/>
    <n v="0"/>
    <n v="0"/>
    <n v="0"/>
  </r>
  <r>
    <n v="35"/>
    <x v="0"/>
    <x v="1"/>
    <n v="0"/>
    <x v="2"/>
    <n v="1212"/>
    <x v="0"/>
    <x v="1"/>
    <n v="2"/>
    <x v="0"/>
    <x v="3"/>
    <n v="3"/>
    <x v="0"/>
    <n v="78"/>
    <x v="1"/>
    <n v="3"/>
    <x v="0"/>
    <n v="4"/>
    <x v="1"/>
    <x v="836"/>
    <n v="13755"/>
    <n v="4"/>
    <s v="Y"/>
    <x v="0"/>
    <n v="11"/>
    <n v="3"/>
    <n v="2"/>
    <n v="80"/>
    <n v="1"/>
    <n v="16"/>
    <n v="6"/>
    <n v="2"/>
    <n v="13"/>
    <n v="2"/>
    <n v="4"/>
    <n v="12"/>
  </r>
  <r>
    <n v="27"/>
    <x v="2"/>
    <x v="1"/>
    <n v="0"/>
    <x v="0"/>
    <n v="1103"/>
    <x v="1"/>
    <x v="24"/>
    <n v="3"/>
    <x v="3"/>
    <x v="0"/>
    <n v="1"/>
    <x v="1"/>
    <n v="42"/>
    <x v="0"/>
    <n v="1"/>
    <x v="1"/>
    <n v="1"/>
    <x v="1"/>
    <x v="837"/>
    <n v="14377"/>
    <n v="1"/>
    <s v="Y"/>
    <x v="0"/>
    <n v="14"/>
    <n v="3"/>
    <n v="4"/>
    <n v="80"/>
    <n v="2"/>
    <n v="9"/>
    <n v="3"/>
    <n v="2"/>
    <n v="9"/>
    <n v="7"/>
    <n v="6"/>
    <n v="8"/>
  </r>
  <r>
    <n v="54"/>
    <x v="1"/>
    <x v="1"/>
    <n v="0"/>
    <x v="1"/>
    <n v="966"/>
    <x v="1"/>
    <x v="0"/>
    <n v="4"/>
    <x v="2"/>
    <x v="0"/>
    <n v="4"/>
    <x v="0"/>
    <n v="53"/>
    <x v="0"/>
    <n v="3"/>
    <x v="3"/>
    <n v="3"/>
    <x v="2"/>
    <x v="838"/>
    <n v="9659"/>
    <n v="7"/>
    <s v="Y"/>
    <x v="1"/>
    <n v="17"/>
    <n v="3"/>
    <n v="1"/>
    <n v="80"/>
    <n v="1"/>
    <n v="33"/>
    <n v="2"/>
    <n v="1"/>
    <n v="5"/>
    <n v="4"/>
    <n v="1"/>
    <n v="4"/>
  </r>
  <r>
    <n v="44"/>
    <x v="0"/>
    <x v="1"/>
    <n v="0"/>
    <x v="0"/>
    <n v="1117"/>
    <x v="1"/>
    <x v="2"/>
    <n v="1"/>
    <x v="1"/>
    <x v="0"/>
    <n v="1"/>
    <x v="0"/>
    <n v="72"/>
    <x v="2"/>
    <n v="1"/>
    <x v="1"/>
    <n v="4"/>
    <x v="1"/>
    <x v="839"/>
    <n v="19982"/>
    <n v="1"/>
    <s v="Y"/>
    <x v="1"/>
    <n v="13"/>
    <n v="3"/>
    <n v="4"/>
    <n v="80"/>
    <n v="1"/>
    <n v="10"/>
    <n v="5"/>
    <n v="3"/>
    <n v="10"/>
    <n v="5"/>
    <n v="7"/>
    <n v="7"/>
  </r>
  <r>
    <n v="19"/>
    <x v="4"/>
    <x v="0"/>
    <n v="1"/>
    <x v="2"/>
    <n v="504"/>
    <x v="1"/>
    <x v="17"/>
    <n v="3"/>
    <x v="3"/>
    <x v="2"/>
    <n v="1"/>
    <x v="0"/>
    <n v="96"/>
    <x v="1"/>
    <n v="1"/>
    <x v="1"/>
    <n v="2"/>
    <x v="0"/>
    <x v="840"/>
    <n v="6148"/>
    <n v="1"/>
    <s v="Y"/>
    <x v="0"/>
    <n v="25"/>
    <n v="4"/>
    <n v="2"/>
    <n v="80"/>
    <n v="0"/>
    <n v="1"/>
    <n v="2"/>
    <n v="4"/>
    <n v="1"/>
    <n v="1"/>
    <n v="0"/>
    <n v="0"/>
  </r>
  <r>
    <n v="29"/>
    <x v="2"/>
    <x v="1"/>
    <n v="0"/>
    <x v="0"/>
    <n v="1010"/>
    <x v="1"/>
    <x v="0"/>
    <n v="3"/>
    <x v="3"/>
    <x v="0"/>
    <n v="1"/>
    <x v="0"/>
    <n v="97"/>
    <x v="0"/>
    <n v="1"/>
    <x v="1"/>
    <n v="4"/>
    <x v="2"/>
    <x v="841"/>
    <n v="5598"/>
    <n v="1"/>
    <s v="Y"/>
    <x v="1"/>
    <n v="15"/>
    <n v="3"/>
    <n v="1"/>
    <n v="80"/>
    <n v="3"/>
    <n v="3"/>
    <n v="5"/>
    <n v="3"/>
    <n v="3"/>
    <n v="2"/>
    <n v="1"/>
    <n v="2"/>
  </r>
  <r>
    <n v="54"/>
    <x v="1"/>
    <x v="1"/>
    <n v="0"/>
    <x v="0"/>
    <n v="685"/>
    <x v="1"/>
    <x v="3"/>
    <n v="3"/>
    <x v="3"/>
    <x v="0"/>
    <n v="4"/>
    <x v="1"/>
    <n v="85"/>
    <x v="0"/>
    <n v="4"/>
    <x v="7"/>
    <n v="4"/>
    <x v="1"/>
    <x v="842"/>
    <n v="23474"/>
    <n v="3"/>
    <s v="Y"/>
    <x v="1"/>
    <n v="14"/>
    <n v="3"/>
    <n v="1"/>
    <n v="80"/>
    <n v="0"/>
    <n v="36"/>
    <n v="2"/>
    <n v="3"/>
    <n v="10"/>
    <n v="9"/>
    <n v="0"/>
    <n v="9"/>
  </r>
  <r>
    <n v="31"/>
    <x v="2"/>
    <x v="1"/>
    <n v="0"/>
    <x v="0"/>
    <n v="1332"/>
    <x v="1"/>
    <x v="13"/>
    <n v="2"/>
    <x v="0"/>
    <x v="2"/>
    <n v="3"/>
    <x v="1"/>
    <n v="80"/>
    <x v="0"/>
    <n v="2"/>
    <x v="4"/>
    <n v="1"/>
    <x v="1"/>
    <x v="843"/>
    <n v="17089"/>
    <n v="1"/>
    <s v="Y"/>
    <x v="0"/>
    <n v="12"/>
    <n v="3"/>
    <n v="4"/>
    <n v="80"/>
    <n v="0"/>
    <n v="6"/>
    <n v="2"/>
    <n v="2"/>
    <n v="6"/>
    <n v="5"/>
    <n v="0"/>
    <n v="1"/>
  </r>
  <r>
    <n v="31"/>
    <x v="2"/>
    <x v="1"/>
    <n v="0"/>
    <x v="0"/>
    <n v="1062"/>
    <x v="1"/>
    <x v="4"/>
    <n v="3"/>
    <x v="3"/>
    <x v="2"/>
    <n v="3"/>
    <x v="0"/>
    <n v="96"/>
    <x v="1"/>
    <n v="2"/>
    <x v="4"/>
    <n v="1"/>
    <x v="0"/>
    <x v="844"/>
    <n v="17198"/>
    <n v="1"/>
    <s v="Y"/>
    <x v="1"/>
    <n v="19"/>
    <n v="3"/>
    <n v="2"/>
    <n v="80"/>
    <n v="0"/>
    <n v="10"/>
    <n v="2"/>
    <n v="3"/>
    <n v="10"/>
    <n v="9"/>
    <n v="1"/>
    <n v="8"/>
  </r>
  <r>
    <n v="59"/>
    <x v="3"/>
    <x v="1"/>
    <n v="0"/>
    <x v="0"/>
    <n v="326"/>
    <x v="0"/>
    <x v="3"/>
    <n v="3"/>
    <x v="3"/>
    <x v="0"/>
    <n v="3"/>
    <x v="0"/>
    <n v="48"/>
    <x v="1"/>
    <n v="2"/>
    <x v="0"/>
    <n v="4"/>
    <x v="0"/>
    <x v="845"/>
    <n v="16490"/>
    <n v="5"/>
    <s v="Y"/>
    <x v="1"/>
    <n v="17"/>
    <n v="3"/>
    <n v="4"/>
    <n v="80"/>
    <n v="0"/>
    <n v="13"/>
    <n v="2"/>
    <n v="3"/>
    <n v="6"/>
    <n v="1"/>
    <n v="0"/>
    <n v="5"/>
  </r>
  <r>
    <n v="43"/>
    <x v="0"/>
    <x v="1"/>
    <n v="0"/>
    <x v="0"/>
    <n v="920"/>
    <x v="1"/>
    <x v="3"/>
    <n v="3"/>
    <x v="3"/>
    <x v="0"/>
    <n v="3"/>
    <x v="1"/>
    <n v="96"/>
    <x v="3"/>
    <n v="5"/>
    <x v="7"/>
    <n v="4"/>
    <x v="1"/>
    <x v="846"/>
    <n v="18625"/>
    <n v="3"/>
    <s v="Y"/>
    <x v="1"/>
    <n v="14"/>
    <n v="3"/>
    <n v="2"/>
    <n v="80"/>
    <n v="1"/>
    <n v="25"/>
    <n v="2"/>
    <n v="3"/>
    <n v="8"/>
    <n v="7"/>
    <n v="0"/>
    <n v="7"/>
  </r>
  <r>
    <n v="49"/>
    <x v="1"/>
    <x v="1"/>
    <n v="0"/>
    <x v="0"/>
    <n v="1098"/>
    <x v="1"/>
    <x v="18"/>
    <n v="2"/>
    <x v="0"/>
    <x v="2"/>
    <n v="1"/>
    <x v="1"/>
    <n v="85"/>
    <x v="1"/>
    <n v="5"/>
    <x v="5"/>
    <n v="3"/>
    <x v="1"/>
    <x v="847"/>
    <n v="12124"/>
    <n v="2"/>
    <s v="Y"/>
    <x v="1"/>
    <n v="13"/>
    <n v="3"/>
    <n v="3"/>
    <n v="80"/>
    <n v="1"/>
    <n v="23"/>
    <n v="2"/>
    <n v="4"/>
    <n v="1"/>
    <n v="0"/>
    <n v="0"/>
    <n v="0"/>
  </r>
  <r>
    <n v="36"/>
    <x v="0"/>
    <x v="1"/>
    <n v="0"/>
    <x v="1"/>
    <n v="469"/>
    <x v="1"/>
    <x v="3"/>
    <n v="3"/>
    <x v="3"/>
    <x v="4"/>
    <n v="3"/>
    <x v="1"/>
    <n v="46"/>
    <x v="0"/>
    <n v="1"/>
    <x v="1"/>
    <n v="2"/>
    <x v="1"/>
    <x v="848"/>
    <n v="9256"/>
    <n v="1"/>
    <s v="Y"/>
    <x v="1"/>
    <n v="12"/>
    <n v="3"/>
    <n v="3"/>
    <n v="80"/>
    <n v="0"/>
    <n v="12"/>
    <n v="2"/>
    <n v="2"/>
    <n v="11"/>
    <n v="10"/>
    <n v="0"/>
    <n v="7"/>
  </r>
  <r>
    <n v="48"/>
    <x v="1"/>
    <x v="1"/>
    <n v="0"/>
    <x v="0"/>
    <n v="969"/>
    <x v="1"/>
    <x v="2"/>
    <n v="2"/>
    <x v="0"/>
    <x v="4"/>
    <n v="4"/>
    <x v="1"/>
    <n v="76"/>
    <x v="2"/>
    <n v="1"/>
    <x v="2"/>
    <n v="2"/>
    <x v="0"/>
    <x v="594"/>
    <n v="16620"/>
    <n v="5"/>
    <s v="Y"/>
    <x v="1"/>
    <n v="11"/>
    <n v="3"/>
    <n v="3"/>
    <n v="80"/>
    <n v="0"/>
    <n v="7"/>
    <n v="4"/>
    <n v="2"/>
    <n v="1"/>
    <n v="0"/>
    <n v="0"/>
    <n v="0"/>
  </r>
  <r>
    <n v="27"/>
    <x v="2"/>
    <x v="1"/>
    <n v="0"/>
    <x v="0"/>
    <n v="1167"/>
    <x v="1"/>
    <x v="18"/>
    <n v="2"/>
    <x v="0"/>
    <x v="0"/>
    <n v="1"/>
    <x v="1"/>
    <n v="76"/>
    <x v="0"/>
    <n v="1"/>
    <x v="1"/>
    <n v="3"/>
    <x v="2"/>
    <x v="849"/>
    <n v="3208"/>
    <n v="1"/>
    <s v="Y"/>
    <x v="1"/>
    <n v="11"/>
    <n v="3"/>
    <n v="2"/>
    <n v="80"/>
    <n v="3"/>
    <n v="5"/>
    <n v="2"/>
    <n v="3"/>
    <n v="5"/>
    <n v="3"/>
    <n v="0"/>
    <n v="3"/>
  </r>
  <r>
    <n v="29"/>
    <x v="2"/>
    <x v="1"/>
    <n v="0"/>
    <x v="0"/>
    <n v="1329"/>
    <x v="1"/>
    <x v="15"/>
    <n v="3"/>
    <x v="3"/>
    <x v="0"/>
    <n v="3"/>
    <x v="1"/>
    <n v="82"/>
    <x v="0"/>
    <n v="2"/>
    <x v="4"/>
    <n v="4"/>
    <x v="2"/>
    <x v="850"/>
    <n v="4204"/>
    <n v="1"/>
    <s v="Y"/>
    <x v="0"/>
    <n v="11"/>
    <n v="3"/>
    <n v="2"/>
    <n v="80"/>
    <n v="2"/>
    <n v="6"/>
    <n v="2"/>
    <n v="3"/>
    <n v="6"/>
    <n v="0"/>
    <n v="1"/>
    <n v="0"/>
  </r>
  <r>
    <n v="48"/>
    <x v="1"/>
    <x v="1"/>
    <n v="0"/>
    <x v="0"/>
    <n v="715"/>
    <x v="1"/>
    <x v="0"/>
    <n v="3"/>
    <x v="3"/>
    <x v="0"/>
    <n v="4"/>
    <x v="1"/>
    <n v="76"/>
    <x v="1"/>
    <n v="5"/>
    <x v="7"/>
    <n v="4"/>
    <x v="0"/>
    <x v="851"/>
    <n v="8733"/>
    <n v="6"/>
    <s v="Y"/>
    <x v="1"/>
    <n v="12"/>
    <n v="3"/>
    <n v="3"/>
    <n v="80"/>
    <n v="0"/>
    <n v="25"/>
    <n v="3"/>
    <n v="4"/>
    <n v="1"/>
    <n v="0"/>
    <n v="0"/>
    <n v="0"/>
  </r>
  <r>
    <n v="29"/>
    <x v="2"/>
    <x v="1"/>
    <n v="0"/>
    <x v="0"/>
    <n v="694"/>
    <x v="1"/>
    <x v="0"/>
    <n v="3"/>
    <x v="3"/>
    <x v="0"/>
    <n v="4"/>
    <x v="0"/>
    <n v="87"/>
    <x v="1"/>
    <n v="4"/>
    <x v="7"/>
    <n v="4"/>
    <x v="2"/>
    <x v="852"/>
    <n v="3423"/>
    <n v="3"/>
    <s v="Y"/>
    <x v="1"/>
    <n v="14"/>
    <n v="3"/>
    <n v="2"/>
    <n v="80"/>
    <n v="2"/>
    <n v="9"/>
    <n v="2"/>
    <n v="2"/>
    <n v="7"/>
    <n v="7"/>
    <n v="1"/>
    <n v="7"/>
  </r>
  <r>
    <n v="34"/>
    <x v="2"/>
    <x v="1"/>
    <n v="0"/>
    <x v="0"/>
    <n v="1320"/>
    <x v="1"/>
    <x v="25"/>
    <n v="3"/>
    <x v="3"/>
    <x v="4"/>
    <n v="3"/>
    <x v="0"/>
    <n v="89"/>
    <x v="2"/>
    <n v="1"/>
    <x v="1"/>
    <n v="3"/>
    <x v="1"/>
    <x v="853"/>
    <n v="21643"/>
    <n v="0"/>
    <s v="Y"/>
    <x v="1"/>
    <n v="17"/>
    <n v="3"/>
    <n v="4"/>
    <n v="80"/>
    <n v="0"/>
    <n v="2"/>
    <n v="5"/>
    <n v="2"/>
    <n v="1"/>
    <n v="0"/>
    <n v="0"/>
    <n v="0"/>
  </r>
  <r>
    <n v="44"/>
    <x v="0"/>
    <x v="1"/>
    <n v="0"/>
    <x v="0"/>
    <n v="1099"/>
    <x v="0"/>
    <x v="12"/>
    <n v="3"/>
    <x v="3"/>
    <x v="3"/>
    <n v="2"/>
    <x v="1"/>
    <n v="88"/>
    <x v="0"/>
    <n v="5"/>
    <x v="5"/>
    <n v="2"/>
    <x v="1"/>
    <x v="854"/>
    <n v="8751"/>
    <n v="7"/>
    <s v="Y"/>
    <x v="1"/>
    <n v="11"/>
    <n v="3"/>
    <n v="3"/>
    <n v="80"/>
    <n v="1"/>
    <n v="26"/>
    <n v="5"/>
    <n v="3"/>
    <n v="22"/>
    <n v="9"/>
    <n v="3"/>
    <n v="10"/>
  </r>
  <r>
    <n v="33"/>
    <x v="2"/>
    <x v="1"/>
    <n v="0"/>
    <x v="0"/>
    <n v="536"/>
    <x v="0"/>
    <x v="17"/>
    <n v="5"/>
    <x v="4"/>
    <x v="3"/>
    <n v="4"/>
    <x v="1"/>
    <n v="82"/>
    <x v="2"/>
    <n v="3"/>
    <x v="0"/>
    <n v="3"/>
    <x v="2"/>
    <x v="855"/>
    <n v="21708"/>
    <n v="0"/>
    <s v="Y"/>
    <x v="0"/>
    <n v="14"/>
    <n v="3"/>
    <n v="4"/>
    <n v="80"/>
    <n v="2"/>
    <n v="10"/>
    <n v="3"/>
    <n v="3"/>
    <n v="9"/>
    <n v="8"/>
    <n v="0"/>
    <n v="8"/>
  </r>
  <r>
    <n v="19"/>
    <x v="4"/>
    <x v="1"/>
    <n v="0"/>
    <x v="0"/>
    <n v="265"/>
    <x v="1"/>
    <x v="19"/>
    <n v="3"/>
    <x v="3"/>
    <x v="0"/>
    <n v="2"/>
    <x v="0"/>
    <n v="57"/>
    <x v="2"/>
    <n v="1"/>
    <x v="1"/>
    <n v="4"/>
    <x v="0"/>
    <x v="856"/>
    <n v="21221"/>
    <n v="1"/>
    <s v="Y"/>
    <x v="0"/>
    <n v="12"/>
    <n v="3"/>
    <n v="4"/>
    <n v="80"/>
    <n v="0"/>
    <n v="1"/>
    <n v="2"/>
    <n v="3"/>
    <n v="1"/>
    <n v="0"/>
    <n v="0"/>
    <n v="1"/>
  </r>
  <r>
    <n v="23"/>
    <x v="4"/>
    <x v="1"/>
    <n v="0"/>
    <x v="0"/>
    <n v="373"/>
    <x v="1"/>
    <x v="0"/>
    <n v="2"/>
    <x v="0"/>
    <x v="0"/>
    <n v="4"/>
    <x v="1"/>
    <n v="47"/>
    <x v="0"/>
    <n v="1"/>
    <x v="1"/>
    <n v="3"/>
    <x v="1"/>
    <x v="857"/>
    <n v="16901"/>
    <n v="1"/>
    <s v="Y"/>
    <x v="1"/>
    <n v="22"/>
    <n v="4"/>
    <n v="4"/>
    <n v="80"/>
    <n v="1"/>
    <n v="1"/>
    <n v="2"/>
    <n v="3"/>
    <n v="1"/>
    <n v="0"/>
    <n v="0"/>
    <n v="1"/>
  </r>
  <r>
    <n v="25"/>
    <x v="2"/>
    <x v="0"/>
    <n v="1"/>
    <x v="1"/>
    <n v="599"/>
    <x v="0"/>
    <x v="4"/>
    <n v="1"/>
    <x v="1"/>
    <x v="0"/>
    <n v="3"/>
    <x v="1"/>
    <n v="73"/>
    <x v="3"/>
    <n v="1"/>
    <x v="6"/>
    <n v="4"/>
    <x v="0"/>
    <x v="858"/>
    <n v="8040"/>
    <n v="1"/>
    <s v="Y"/>
    <x v="0"/>
    <n v="14"/>
    <n v="3"/>
    <n v="4"/>
    <n v="80"/>
    <n v="0"/>
    <n v="1"/>
    <n v="4"/>
    <n v="3"/>
    <n v="1"/>
    <n v="0"/>
    <n v="1"/>
    <n v="0"/>
  </r>
  <r>
    <n v="26"/>
    <x v="2"/>
    <x v="1"/>
    <n v="0"/>
    <x v="0"/>
    <n v="583"/>
    <x v="1"/>
    <x v="18"/>
    <n v="2"/>
    <x v="0"/>
    <x v="0"/>
    <n v="3"/>
    <x v="1"/>
    <n v="53"/>
    <x v="0"/>
    <n v="1"/>
    <x v="1"/>
    <n v="4"/>
    <x v="0"/>
    <x v="859"/>
    <n v="9973"/>
    <n v="1"/>
    <s v="Y"/>
    <x v="0"/>
    <n v="20"/>
    <n v="4"/>
    <n v="2"/>
    <n v="80"/>
    <n v="0"/>
    <n v="8"/>
    <n v="2"/>
    <n v="2"/>
    <n v="8"/>
    <n v="5"/>
    <n v="2"/>
    <n v="2"/>
  </r>
  <r>
    <n v="45"/>
    <x v="1"/>
    <x v="0"/>
    <n v="1"/>
    <x v="0"/>
    <n v="1449"/>
    <x v="0"/>
    <x v="2"/>
    <n v="3"/>
    <x v="3"/>
    <x v="3"/>
    <n v="1"/>
    <x v="0"/>
    <n v="94"/>
    <x v="3"/>
    <n v="5"/>
    <x v="5"/>
    <n v="2"/>
    <x v="0"/>
    <x v="860"/>
    <n v="2493"/>
    <n v="2"/>
    <s v="Y"/>
    <x v="0"/>
    <n v="16"/>
    <n v="3"/>
    <n v="1"/>
    <n v="80"/>
    <n v="0"/>
    <n v="26"/>
    <n v="2"/>
    <n v="3"/>
    <n v="24"/>
    <n v="10"/>
    <n v="1"/>
    <n v="11"/>
  </r>
  <r>
    <n v="55"/>
    <x v="3"/>
    <x v="1"/>
    <n v="0"/>
    <x v="2"/>
    <n v="177"/>
    <x v="1"/>
    <x v="1"/>
    <n v="1"/>
    <x v="1"/>
    <x v="2"/>
    <n v="4"/>
    <x v="1"/>
    <n v="37"/>
    <x v="1"/>
    <n v="4"/>
    <x v="4"/>
    <n v="2"/>
    <x v="2"/>
    <x v="861"/>
    <n v="25592"/>
    <n v="1"/>
    <s v="Y"/>
    <x v="0"/>
    <n v="15"/>
    <n v="3"/>
    <n v="4"/>
    <n v="80"/>
    <n v="1"/>
    <n v="34"/>
    <n v="3"/>
    <n v="3"/>
    <n v="33"/>
    <n v="9"/>
    <n v="15"/>
    <n v="0"/>
  </r>
  <r>
    <n v="21"/>
    <x v="4"/>
    <x v="0"/>
    <n v="1"/>
    <x v="1"/>
    <n v="251"/>
    <x v="1"/>
    <x v="17"/>
    <n v="2"/>
    <x v="0"/>
    <x v="0"/>
    <n v="1"/>
    <x v="0"/>
    <n v="45"/>
    <x v="1"/>
    <n v="1"/>
    <x v="2"/>
    <n v="3"/>
    <x v="0"/>
    <x v="862"/>
    <n v="25308"/>
    <n v="1"/>
    <s v="Y"/>
    <x v="1"/>
    <n v="20"/>
    <n v="4"/>
    <n v="3"/>
    <n v="80"/>
    <n v="0"/>
    <n v="2"/>
    <n v="2"/>
    <n v="1"/>
    <n v="2"/>
    <n v="2"/>
    <n v="2"/>
    <n v="2"/>
  </r>
  <r>
    <n v="46"/>
    <x v="1"/>
    <x v="1"/>
    <n v="0"/>
    <x v="0"/>
    <n v="168"/>
    <x v="0"/>
    <x v="18"/>
    <n v="2"/>
    <x v="0"/>
    <x v="3"/>
    <n v="4"/>
    <x v="0"/>
    <n v="33"/>
    <x v="1"/>
    <n v="5"/>
    <x v="5"/>
    <n v="2"/>
    <x v="1"/>
    <x v="863"/>
    <n v="9946"/>
    <n v="2"/>
    <s v="Y"/>
    <x v="1"/>
    <n v="14"/>
    <n v="3"/>
    <n v="3"/>
    <n v="80"/>
    <n v="1"/>
    <n v="26"/>
    <n v="2"/>
    <n v="3"/>
    <n v="11"/>
    <n v="4"/>
    <n v="0"/>
    <n v="8"/>
  </r>
  <r>
    <n v="34"/>
    <x v="2"/>
    <x v="1"/>
    <n v="0"/>
    <x v="0"/>
    <n v="131"/>
    <x v="0"/>
    <x v="2"/>
    <n v="3"/>
    <x v="3"/>
    <x v="3"/>
    <n v="3"/>
    <x v="0"/>
    <n v="86"/>
    <x v="0"/>
    <n v="2"/>
    <x v="0"/>
    <n v="1"/>
    <x v="0"/>
    <x v="864"/>
    <n v="6039"/>
    <n v="0"/>
    <s v="Y"/>
    <x v="0"/>
    <n v="12"/>
    <n v="3"/>
    <n v="4"/>
    <n v="80"/>
    <n v="0"/>
    <n v="4"/>
    <n v="3"/>
    <n v="3"/>
    <n v="3"/>
    <n v="2"/>
    <n v="0"/>
    <n v="2"/>
  </r>
  <r>
    <n v="51"/>
    <x v="1"/>
    <x v="1"/>
    <n v="0"/>
    <x v="1"/>
    <n v="237"/>
    <x v="0"/>
    <x v="14"/>
    <n v="3"/>
    <x v="3"/>
    <x v="0"/>
    <n v="4"/>
    <x v="1"/>
    <n v="83"/>
    <x v="0"/>
    <n v="5"/>
    <x v="5"/>
    <n v="2"/>
    <x v="2"/>
    <x v="865"/>
    <n v="19196"/>
    <n v="4"/>
    <s v="Y"/>
    <x v="0"/>
    <n v="24"/>
    <n v="4"/>
    <n v="1"/>
    <n v="80"/>
    <n v="1"/>
    <n v="31"/>
    <n v="5"/>
    <n v="2"/>
    <n v="29"/>
    <n v="10"/>
    <n v="11"/>
    <n v="10"/>
  </r>
  <r>
    <n v="59"/>
    <x v="3"/>
    <x v="1"/>
    <n v="0"/>
    <x v="0"/>
    <n v="1429"/>
    <x v="1"/>
    <x v="21"/>
    <n v="4"/>
    <x v="2"/>
    <x v="2"/>
    <n v="4"/>
    <x v="1"/>
    <n v="67"/>
    <x v="0"/>
    <n v="3"/>
    <x v="3"/>
    <n v="4"/>
    <x v="0"/>
    <x v="866"/>
    <n v="20002"/>
    <n v="6"/>
    <s v="Y"/>
    <x v="1"/>
    <n v="12"/>
    <n v="3"/>
    <n v="4"/>
    <n v="80"/>
    <n v="0"/>
    <n v="25"/>
    <n v="6"/>
    <n v="2"/>
    <n v="9"/>
    <n v="7"/>
    <n v="5"/>
    <n v="4"/>
  </r>
  <r>
    <n v="34"/>
    <x v="2"/>
    <x v="1"/>
    <n v="0"/>
    <x v="1"/>
    <n v="135"/>
    <x v="1"/>
    <x v="10"/>
    <n v="3"/>
    <x v="3"/>
    <x v="2"/>
    <n v="3"/>
    <x v="0"/>
    <n v="46"/>
    <x v="0"/>
    <n v="2"/>
    <x v="2"/>
    <n v="2"/>
    <x v="2"/>
    <x v="867"/>
    <n v="22534"/>
    <n v="4"/>
    <s v="Y"/>
    <x v="1"/>
    <n v="13"/>
    <n v="3"/>
    <n v="3"/>
    <n v="80"/>
    <n v="2"/>
    <n v="15"/>
    <n v="2"/>
    <n v="4"/>
    <n v="11"/>
    <n v="8"/>
    <n v="5"/>
    <n v="10"/>
  </r>
  <r>
    <n v="28"/>
    <x v="2"/>
    <x v="1"/>
    <n v="0"/>
    <x v="1"/>
    <n v="791"/>
    <x v="1"/>
    <x v="0"/>
    <n v="4"/>
    <x v="2"/>
    <x v="2"/>
    <n v="4"/>
    <x v="1"/>
    <n v="44"/>
    <x v="0"/>
    <n v="1"/>
    <x v="2"/>
    <n v="3"/>
    <x v="0"/>
    <x v="868"/>
    <n v="6842"/>
    <n v="0"/>
    <s v="Y"/>
    <x v="0"/>
    <n v="11"/>
    <n v="3"/>
    <n v="3"/>
    <n v="80"/>
    <n v="0"/>
    <n v="5"/>
    <n v="2"/>
    <n v="2"/>
    <n v="4"/>
    <n v="2"/>
    <n v="0"/>
    <n v="2"/>
  </r>
  <r>
    <n v="44"/>
    <x v="0"/>
    <x v="1"/>
    <n v="0"/>
    <x v="0"/>
    <n v="1199"/>
    <x v="1"/>
    <x v="18"/>
    <n v="2"/>
    <x v="0"/>
    <x v="0"/>
    <n v="3"/>
    <x v="1"/>
    <n v="92"/>
    <x v="2"/>
    <n v="5"/>
    <x v="5"/>
    <n v="1"/>
    <x v="2"/>
    <x v="869"/>
    <n v="17477"/>
    <n v="1"/>
    <s v="Y"/>
    <x v="1"/>
    <n v="14"/>
    <n v="3"/>
    <n v="4"/>
    <n v="80"/>
    <n v="2"/>
    <n v="26"/>
    <n v="4"/>
    <n v="2"/>
    <n v="25"/>
    <n v="9"/>
    <n v="14"/>
    <n v="13"/>
  </r>
  <r>
    <n v="34"/>
    <x v="2"/>
    <x v="1"/>
    <n v="0"/>
    <x v="1"/>
    <n v="648"/>
    <x v="2"/>
    <x v="13"/>
    <n v="3"/>
    <x v="3"/>
    <x v="0"/>
    <n v="3"/>
    <x v="1"/>
    <n v="56"/>
    <x v="1"/>
    <n v="2"/>
    <x v="8"/>
    <n v="2"/>
    <x v="1"/>
    <x v="870"/>
    <n v="21833"/>
    <n v="4"/>
    <s v="Y"/>
    <x v="1"/>
    <n v="11"/>
    <n v="3"/>
    <n v="4"/>
    <n v="80"/>
    <n v="2"/>
    <n v="14"/>
    <n v="5"/>
    <n v="4"/>
    <n v="10"/>
    <n v="9"/>
    <n v="1"/>
    <n v="8"/>
  </r>
  <r>
    <n v="35"/>
    <x v="0"/>
    <x v="1"/>
    <n v="0"/>
    <x v="0"/>
    <n v="735"/>
    <x v="1"/>
    <x v="16"/>
    <n v="1"/>
    <x v="1"/>
    <x v="0"/>
    <n v="3"/>
    <x v="1"/>
    <n v="66"/>
    <x v="0"/>
    <n v="1"/>
    <x v="1"/>
    <n v="3"/>
    <x v="1"/>
    <x v="871"/>
    <n v="6020"/>
    <n v="0"/>
    <s v="Y"/>
    <x v="0"/>
    <n v="14"/>
    <n v="3"/>
    <n v="4"/>
    <n v="80"/>
    <n v="0"/>
    <n v="4"/>
    <n v="3"/>
    <n v="3"/>
    <n v="3"/>
    <n v="2"/>
    <n v="2"/>
    <n v="2"/>
  </r>
  <r>
    <n v="42"/>
    <x v="0"/>
    <x v="1"/>
    <n v="0"/>
    <x v="0"/>
    <n v="603"/>
    <x v="1"/>
    <x v="15"/>
    <n v="4"/>
    <x v="2"/>
    <x v="2"/>
    <n v="2"/>
    <x v="0"/>
    <n v="78"/>
    <x v="2"/>
    <n v="2"/>
    <x v="1"/>
    <n v="2"/>
    <x v="1"/>
    <x v="872"/>
    <n v="5628"/>
    <n v="6"/>
    <s v="Y"/>
    <x v="0"/>
    <n v="16"/>
    <n v="3"/>
    <n v="4"/>
    <n v="80"/>
    <n v="0"/>
    <n v="18"/>
    <n v="2"/>
    <n v="3"/>
    <n v="1"/>
    <n v="0"/>
    <n v="0"/>
    <n v="0"/>
  </r>
  <r>
    <n v="43"/>
    <x v="0"/>
    <x v="1"/>
    <n v="0"/>
    <x v="0"/>
    <n v="531"/>
    <x v="0"/>
    <x v="18"/>
    <n v="4"/>
    <x v="2"/>
    <x v="3"/>
    <n v="4"/>
    <x v="0"/>
    <n v="56"/>
    <x v="1"/>
    <n v="3"/>
    <x v="0"/>
    <n v="4"/>
    <x v="0"/>
    <x v="873"/>
    <n v="20364"/>
    <n v="3"/>
    <s v="Y"/>
    <x v="1"/>
    <n v="14"/>
    <n v="3"/>
    <n v="4"/>
    <n v="80"/>
    <n v="0"/>
    <n v="23"/>
    <n v="3"/>
    <n v="4"/>
    <n v="21"/>
    <n v="7"/>
    <n v="15"/>
    <n v="17"/>
  </r>
  <r>
    <n v="36"/>
    <x v="0"/>
    <x v="1"/>
    <n v="0"/>
    <x v="0"/>
    <n v="429"/>
    <x v="1"/>
    <x v="2"/>
    <n v="4"/>
    <x v="2"/>
    <x v="0"/>
    <n v="3"/>
    <x v="0"/>
    <n v="53"/>
    <x v="0"/>
    <n v="2"/>
    <x v="3"/>
    <n v="2"/>
    <x v="0"/>
    <x v="874"/>
    <n v="2323"/>
    <n v="9"/>
    <s v="Y"/>
    <x v="0"/>
    <n v="11"/>
    <n v="3"/>
    <n v="4"/>
    <n v="80"/>
    <n v="0"/>
    <n v="18"/>
    <n v="2"/>
    <n v="3"/>
    <n v="16"/>
    <n v="14"/>
    <n v="5"/>
    <n v="12"/>
  </r>
  <r>
    <n v="44"/>
    <x v="0"/>
    <x v="0"/>
    <n v="1"/>
    <x v="0"/>
    <n v="621"/>
    <x v="1"/>
    <x v="8"/>
    <n v="3"/>
    <x v="3"/>
    <x v="2"/>
    <n v="1"/>
    <x v="0"/>
    <n v="73"/>
    <x v="0"/>
    <n v="3"/>
    <x v="4"/>
    <n v="4"/>
    <x v="1"/>
    <x v="875"/>
    <n v="14075"/>
    <n v="1"/>
    <s v="Y"/>
    <x v="1"/>
    <n v="11"/>
    <n v="3"/>
    <n v="4"/>
    <n v="80"/>
    <n v="1"/>
    <n v="10"/>
    <n v="2"/>
    <n v="3"/>
    <n v="10"/>
    <n v="7"/>
    <n v="0"/>
    <n v="5"/>
  </r>
  <r>
    <n v="28"/>
    <x v="2"/>
    <x v="1"/>
    <n v="0"/>
    <x v="1"/>
    <n v="193"/>
    <x v="1"/>
    <x v="2"/>
    <n v="3"/>
    <x v="3"/>
    <x v="0"/>
    <n v="4"/>
    <x v="1"/>
    <n v="52"/>
    <x v="1"/>
    <n v="1"/>
    <x v="2"/>
    <n v="4"/>
    <x v="1"/>
    <x v="876"/>
    <n v="14222"/>
    <n v="1"/>
    <s v="Y"/>
    <x v="0"/>
    <n v="12"/>
    <n v="3"/>
    <n v="2"/>
    <n v="80"/>
    <n v="1"/>
    <n v="2"/>
    <n v="2"/>
    <n v="3"/>
    <n v="2"/>
    <n v="2"/>
    <n v="2"/>
    <n v="2"/>
  </r>
  <r>
    <n v="51"/>
    <x v="1"/>
    <x v="1"/>
    <n v="0"/>
    <x v="1"/>
    <n v="968"/>
    <x v="1"/>
    <x v="16"/>
    <n v="2"/>
    <x v="0"/>
    <x v="2"/>
    <n v="2"/>
    <x v="0"/>
    <n v="40"/>
    <x v="1"/>
    <n v="1"/>
    <x v="2"/>
    <n v="3"/>
    <x v="0"/>
    <x v="877"/>
    <n v="4257"/>
    <n v="0"/>
    <s v="Y"/>
    <x v="1"/>
    <n v="14"/>
    <n v="3"/>
    <n v="2"/>
    <n v="80"/>
    <n v="0"/>
    <n v="8"/>
    <n v="6"/>
    <n v="2"/>
    <n v="7"/>
    <n v="0"/>
    <n v="7"/>
    <n v="7"/>
  </r>
  <r>
    <n v="30"/>
    <x v="2"/>
    <x v="1"/>
    <n v="0"/>
    <x v="2"/>
    <n v="879"/>
    <x v="1"/>
    <x v="14"/>
    <n v="2"/>
    <x v="0"/>
    <x v="2"/>
    <n v="3"/>
    <x v="0"/>
    <n v="72"/>
    <x v="0"/>
    <n v="2"/>
    <x v="3"/>
    <n v="3"/>
    <x v="0"/>
    <x v="878"/>
    <n v="12858"/>
    <n v="7"/>
    <s v="Y"/>
    <x v="0"/>
    <n v="18"/>
    <n v="3"/>
    <n v="3"/>
    <n v="80"/>
    <n v="0"/>
    <n v="10"/>
    <n v="3"/>
    <n v="3"/>
    <n v="8"/>
    <n v="4"/>
    <n v="1"/>
    <n v="7"/>
  </r>
  <r>
    <n v="29"/>
    <x v="2"/>
    <x v="0"/>
    <n v="1"/>
    <x v="0"/>
    <n v="806"/>
    <x v="1"/>
    <x v="15"/>
    <n v="3"/>
    <x v="3"/>
    <x v="4"/>
    <n v="2"/>
    <x v="0"/>
    <n v="39"/>
    <x v="0"/>
    <n v="1"/>
    <x v="2"/>
    <n v="3"/>
    <x v="2"/>
    <x v="879"/>
    <n v="17285"/>
    <n v="3"/>
    <s v="Y"/>
    <x v="0"/>
    <n v="13"/>
    <n v="3"/>
    <n v="1"/>
    <n v="80"/>
    <n v="2"/>
    <n v="10"/>
    <n v="2"/>
    <n v="3"/>
    <n v="7"/>
    <n v="7"/>
    <n v="7"/>
    <n v="7"/>
  </r>
  <r>
    <n v="28"/>
    <x v="2"/>
    <x v="1"/>
    <n v="0"/>
    <x v="0"/>
    <n v="640"/>
    <x v="1"/>
    <x v="0"/>
    <n v="3"/>
    <x v="3"/>
    <x v="4"/>
    <n v="4"/>
    <x v="1"/>
    <n v="84"/>
    <x v="0"/>
    <n v="1"/>
    <x v="1"/>
    <n v="1"/>
    <x v="0"/>
    <x v="880"/>
    <n v="4732"/>
    <n v="2"/>
    <s v="Y"/>
    <x v="1"/>
    <n v="11"/>
    <n v="3"/>
    <n v="2"/>
    <n v="80"/>
    <n v="0"/>
    <n v="5"/>
    <n v="2"/>
    <n v="2"/>
    <n v="3"/>
    <n v="2"/>
    <n v="1"/>
    <n v="2"/>
  </r>
  <r>
    <n v="25"/>
    <x v="2"/>
    <x v="1"/>
    <n v="0"/>
    <x v="0"/>
    <n v="266"/>
    <x v="1"/>
    <x v="0"/>
    <n v="3"/>
    <x v="3"/>
    <x v="2"/>
    <n v="4"/>
    <x v="0"/>
    <n v="40"/>
    <x v="0"/>
    <n v="1"/>
    <x v="1"/>
    <n v="2"/>
    <x v="0"/>
    <x v="461"/>
    <n v="18830"/>
    <n v="1"/>
    <s v="Y"/>
    <x v="1"/>
    <n v="18"/>
    <n v="3"/>
    <n v="4"/>
    <n v="80"/>
    <n v="0"/>
    <n v="2"/>
    <n v="3"/>
    <n v="2"/>
    <n v="2"/>
    <n v="2"/>
    <n v="2"/>
    <n v="1"/>
  </r>
  <r>
    <n v="32"/>
    <x v="2"/>
    <x v="1"/>
    <n v="0"/>
    <x v="0"/>
    <n v="604"/>
    <x v="0"/>
    <x v="1"/>
    <n v="3"/>
    <x v="3"/>
    <x v="2"/>
    <n v="3"/>
    <x v="1"/>
    <n v="56"/>
    <x v="2"/>
    <n v="2"/>
    <x v="0"/>
    <n v="4"/>
    <x v="1"/>
    <x v="881"/>
    <n v="11693"/>
    <n v="1"/>
    <s v="Y"/>
    <x v="1"/>
    <n v="15"/>
    <n v="3"/>
    <n v="3"/>
    <n v="80"/>
    <n v="2"/>
    <n v="10"/>
    <n v="4"/>
    <n v="4"/>
    <n v="10"/>
    <n v="7"/>
    <n v="0"/>
    <n v="8"/>
  </r>
  <r>
    <n v="45"/>
    <x v="1"/>
    <x v="1"/>
    <n v="0"/>
    <x v="1"/>
    <n v="364"/>
    <x v="1"/>
    <x v="19"/>
    <n v="3"/>
    <x v="3"/>
    <x v="2"/>
    <n v="2"/>
    <x v="0"/>
    <n v="83"/>
    <x v="0"/>
    <n v="5"/>
    <x v="5"/>
    <n v="2"/>
    <x v="0"/>
    <x v="882"/>
    <n v="13035"/>
    <n v="3"/>
    <s v="Y"/>
    <x v="1"/>
    <n v="22"/>
    <n v="4"/>
    <n v="3"/>
    <n v="80"/>
    <n v="0"/>
    <n v="22"/>
    <n v="4"/>
    <n v="3"/>
    <n v="0"/>
    <n v="0"/>
    <n v="0"/>
    <n v="0"/>
  </r>
  <r>
    <n v="39"/>
    <x v="0"/>
    <x v="1"/>
    <n v="0"/>
    <x v="0"/>
    <n v="412"/>
    <x v="1"/>
    <x v="28"/>
    <n v="4"/>
    <x v="2"/>
    <x v="2"/>
    <n v="3"/>
    <x v="0"/>
    <n v="94"/>
    <x v="1"/>
    <n v="4"/>
    <x v="5"/>
    <n v="2"/>
    <x v="2"/>
    <x v="883"/>
    <n v="17334"/>
    <n v="6"/>
    <s v="Y"/>
    <x v="0"/>
    <n v="13"/>
    <n v="3"/>
    <n v="4"/>
    <n v="80"/>
    <n v="2"/>
    <n v="21"/>
    <n v="4"/>
    <n v="3"/>
    <n v="19"/>
    <n v="9"/>
    <n v="15"/>
    <n v="2"/>
  </r>
  <r>
    <n v="58"/>
    <x v="3"/>
    <x v="1"/>
    <n v="0"/>
    <x v="0"/>
    <n v="848"/>
    <x v="1"/>
    <x v="5"/>
    <n v="4"/>
    <x v="2"/>
    <x v="0"/>
    <n v="1"/>
    <x v="1"/>
    <n v="88"/>
    <x v="0"/>
    <n v="1"/>
    <x v="1"/>
    <n v="3"/>
    <x v="2"/>
    <x v="872"/>
    <n v="26076"/>
    <n v="1"/>
    <s v="Y"/>
    <x v="1"/>
    <n v="12"/>
    <n v="3"/>
    <n v="4"/>
    <n v="80"/>
    <n v="2"/>
    <n v="2"/>
    <n v="3"/>
    <n v="3"/>
    <n v="2"/>
    <n v="2"/>
    <n v="2"/>
    <n v="2"/>
  </r>
  <r>
    <n v="32"/>
    <x v="2"/>
    <x v="0"/>
    <n v="1"/>
    <x v="0"/>
    <n v="1089"/>
    <x v="1"/>
    <x v="15"/>
    <n v="2"/>
    <x v="0"/>
    <x v="0"/>
    <n v="4"/>
    <x v="1"/>
    <n v="79"/>
    <x v="0"/>
    <n v="2"/>
    <x v="2"/>
    <n v="3"/>
    <x v="1"/>
    <x v="884"/>
    <n v="22845"/>
    <n v="1"/>
    <s v="Y"/>
    <x v="1"/>
    <n v="18"/>
    <n v="3"/>
    <n v="1"/>
    <n v="80"/>
    <n v="1"/>
    <n v="10"/>
    <n v="3"/>
    <n v="3"/>
    <n v="10"/>
    <n v="4"/>
    <n v="1"/>
    <n v="1"/>
  </r>
  <r>
    <n v="39"/>
    <x v="0"/>
    <x v="0"/>
    <n v="1"/>
    <x v="0"/>
    <n v="360"/>
    <x v="1"/>
    <x v="5"/>
    <n v="3"/>
    <x v="3"/>
    <x v="2"/>
    <n v="3"/>
    <x v="1"/>
    <n v="93"/>
    <x v="0"/>
    <n v="1"/>
    <x v="1"/>
    <n v="1"/>
    <x v="0"/>
    <x v="885"/>
    <n v="22154"/>
    <n v="0"/>
    <s v="Y"/>
    <x v="1"/>
    <n v="13"/>
    <n v="3"/>
    <n v="1"/>
    <n v="80"/>
    <n v="0"/>
    <n v="6"/>
    <n v="2"/>
    <n v="3"/>
    <n v="5"/>
    <n v="2"/>
    <n v="0"/>
    <n v="3"/>
  </r>
  <r>
    <n v="30"/>
    <x v="2"/>
    <x v="1"/>
    <n v="0"/>
    <x v="0"/>
    <n v="1138"/>
    <x v="1"/>
    <x v="16"/>
    <n v="3"/>
    <x v="3"/>
    <x v="4"/>
    <n v="1"/>
    <x v="0"/>
    <n v="48"/>
    <x v="1"/>
    <n v="2"/>
    <x v="2"/>
    <n v="4"/>
    <x v="1"/>
    <x v="886"/>
    <n v="23631"/>
    <n v="0"/>
    <s v="Y"/>
    <x v="1"/>
    <n v="12"/>
    <n v="3"/>
    <n v="1"/>
    <n v="80"/>
    <n v="1"/>
    <n v="10"/>
    <n v="6"/>
    <n v="3"/>
    <n v="9"/>
    <n v="2"/>
    <n v="6"/>
    <n v="7"/>
  </r>
  <r>
    <n v="36"/>
    <x v="0"/>
    <x v="1"/>
    <n v="0"/>
    <x v="0"/>
    <n v="325"/>
    <x v="1"/>
    <x v="17"/>
    <n v="4"/>
    <x v="2"/>
    <x v="4"/>
    <n v="4"/>
    <x v="0"/>
    <n v="63"/>
    <x v="0"/>
    <n v="3"/>
    <x v="4"/>
    <n v="3"/>
    <x v="1"/>
    <x v="887"/>
    <n v="5747"/>
    <n v="3"/>
    <s v="Y"/>
    <x v="1"/>
    <n v="12"/>
    <n v="3"/>
    <n v="1"/>
    <n v="80"/>
    <n v="0"/>
    <n v="10"/>
    <n v="0"/>
    <n v="3"/>
    <n v="7"/>
    <n v="7"/>
    <n v="1"/>
    <n v="7"/>
  </r>
  <r>
    <n v="46"/>
    <x v="1"/>
    <x v="1"/>
    <n v="0"/>
    <x v="0"/>
    <n v="991"/>
    <x v="2"/>
    <x v="0"/>
    <n v="2"/>
    <x v="0"/>
    <x v="0"/>
    <n v="4"/>
    <x v="0"/>
    <n v="44"/>
    <x v="0"/>
    <n v="1"/>
    <x v="8"/>
    <n v="1"/>
    <x v="0"/>
    <x v="888"/>
    <n v="22957"/>
    <n v="6"/>
    <s v="Y"/>
    <x v="1"/>
    <n v="12"/>
    <n v="3"/>
    <n v="3"/>
    <n v="80"/>
    <n v="0"/>
    <n v="10"/>
    <n v="3"/>
    <n v="4"/>
    <n v="7"/>
    <n v="6"/>
    <n v="5"/>
    <n v="7"/>
  </r>
  <r>
    <n v="28"/>
    <x v="2"/>
    <x v="1"/>
    <n v="0"/>
    <x v="2"/>
    <n v="1476"/>
    <x v="1"/>
    <x v="0"/>
    <n v="3"/>
    <x v="3"/>
    <x v="0"/>
    <n v="3"/>
    <x v="0"/>
    <n v="55"/>
    <x v="3"/>
    <n v="2"/>
    <x v="2"/>
    <n v="4"/>
    <x v="1"/>
    <x v="889"/>
    <n v="16392"/>
    <n v="0"/>
    <s v="Y"/>
    <x v="1"/>
    <n v="11"/>
    <n v="3"/>
    <n v="1"/>
    <n v="80"/>
    <n v="3"/>
    <n v="10"/>
    <n v="6"/>
    <n v="3"/>
    <n v="9"/>
    <n v="8"/>
    <n v="7"/>
    <n v="5"/>
  </r>
  <r>
    <n v="50"/>
    <x v="1"/>
    <x v="1"/>
    <n v="0"/>
    <x v="0"/>
    <n v="1322"/>
    <x v="1"/>
    <x v="26"/>
    <n v="3"/>
    <x v="3"/>
    <x v="0"/>
    <n v="4"/>
    <x v="0"/>
    <n v="43"/>
    <x v="0"/>
    <n v="4"/>
    <x v="7"/>
    <n v="1"/>
    <x v="1"/>
    <x v="890"/>
    <n v="22422"/>
    <n v="4"/>
    <s v="Y"/>
    <x v="0"/>
    <n v="11"/>
    <n v="3"/>
    <n v="2"/>
    <n v="80"/>
    <n v="0"/>
    <n v="25"/>
    <n v="2"/>
    <n v="3"/>
    <n v="3"/>
    <n v="2"/>
    <n v="1"/>
    <n v="2"/>
  </r>
  <r>
    <n v="40"/>
    <x v="0"/>
    <x v="0"/>
    <n v="1"/>
    <x v="0"/>
    <n v="299"/>
    <x v="0"/>
    <x v="19"/>
    <n v="4"/>
    <x v="2"/>
    <x v="3"/>
    <n v="4"/>
    <x v="1"/>
    <n v="57"/>
    <x v="1"/>
    <n v="3"/>
    <x v="0"/>
    <n v="2"/>
    <x v="0"/>
    <x v="891"/>
    <n v="17235"/>
    <n v="2"/>
    <s v="Y"/>
    <x v="0"/>
    <n v="12"/>
    <n v="3"/>
    <n v="3"/>
    <n v="80"/>
    <n v="0"/>
    <n v="9"/>
    <n v="2"/>
    <n v="3"/>
    <n v="5"/>
    <n v="4"/>
    <n v="1"/>
    <n v="0"/>
  </r>
  <r>
    <n v="52"/>
    <x v="1"/>
    <x v="0"/>
    <n v="1"/>
    <x v="0"/>
    <n v="1030"/>
    <x v="0"/>
    <x v="12"/>
    <n v="3"/>
    <x v="3"/>
    <x v="0"/>
    <n v="2"/>
    <x v="1"/>
    <n v="64"/>
    <x v="0"/>
    <n v="3"/>
    <x v="0"/>
    <n v="2"/>
    <x v="0"/>
    <x v="892"/>
    <n v="21534"/>
    <n v="9"/>
    <s v="Y"/>
    <x v="0"/>
    <n v="19"/>
    <n v="3"/>
    <n v="3"/>
    <n v="80"/>
    <n v="0"/>
    <n v="10"/>
    <n v="2"/>
    <n v="2"/>
    <n v="8"/>
    <n v="7"/>
    <n v="7"/>
    <n v="7"/>
  </r>
  <r>
    <n v="30"/>
    <x v="2"/>
    <x v="1"/>
    <n v="0"/>
    <x v="0"/>
    <n v="634"/>
    <x v="1"/>
    <x v="27"/>
    <n v="4"/>
    <x v="2"/>
    <x v="2"/>
    <n v="2"/>
    <x v="0"/>
    <n v="95"/>
    <x v="0"/>
    <n v="3"/>
    <x v="5"/>
    <n v="1"/>
    <x v="1"/>
    <x v="893"/>
    <n v="25927"/>
    <n v="1"/>
    <s v="Y"/>
    <x v="0"/>
    <n v="23"/>
    <n v="4"/>
    <n v="4"/>
    <n v="80"/>
    <n v="2"/>
    <n v="9"/>
    <n v="2"/>
    <n v="3"/>
    <n v="9"/>
    <n v="1"/>
    <n v="0"/>
    <n v="8"/>
  </r>
  <r>
    <n v="39"/>
    <x v="0"/>
    <x v="1"/>
    <n v="0"/>
    <x v="0"/>
    <n v="524"/>
    <x v="1"/>
    <x v="21"/>
    <n v="2"/>
    <x v="0"/>
    <x v="0"/>
    <n v="1"/>
    <x v="1"/>
    <n v="32"/>
    <x v="0"/>
    <n v="2"/>
    <x v="3"/>
    <n v="3"/>
    <x v="0"/>
    <x v="894"/>
    <n v="13352"/>
    <n v="0"/>
    <s v="Y"/>
    <x v="1"/>
    <n v="11"/>
    <n v="3"/>
    <n v="1"/>
    <n v="80"/>
    <n v="0"/>
    <n v="9"/>
    <n v="6"/>
    <n v="3"/>
    <n v="8"/>
    <n v="7"/>
    <n v="1"/>
    <n v="7"/>
  </r>
  <r>
    <n v="31"/>
    <x v="2"/>
    <x v="1"/>
    <n v="0"/>
    <x v="2"/>
    <n v="587"/>
    <x v="0"/>
    <x v="2"/>
    <n v="4"/>
    <x v="2"/>
    <x v="0"/>
    <n v="4"/>
    <x v="0"/>
    <n v="57"/>
    <x v="0"/>
    <n v="3"/>
    <x v="0"/>
    <n v="3"/>
    <x v="2"/>
    <x v="895"/>
    <n v="8935"/>
    <n v="1"/>
    <s v="Y"/>
    <x v="0"/>
    <n v="19"/>
    <n v="3"/>
    <n v="1"/>
    <n v="80"/>
    <n v="1"/>
    <n v="10"/>
    <n v="5"/>
    <n v="2"/>
    <n v="10"/>
    <n v="8"/>
    <n v="9"/>
    <n v="6"/>
  </r>
  <r>
    <n v="41"/>
    <x v="0"/>
    <x v="1"/>
    <n v="0"/>
    <x v="2"/>
    <n v="256"/>
    <x v="0"/>
    <x v="17"/>
    <n v="2"/>
    <x v="0"/>
    <x v="2"/>
    <n v="3"/>
    <x v="1"/>
    <n v="40"/>
    <x v="3"/>
    <n v="2"/>
    <x v="0"/>
    <n v="2"/>
    <x v="0"/>
    <x v="896"/>
    <n v="22074"/>
    <n v="1"/>
    <s v="Y"/>
    <x v="1"/>
    <n v="13"/>
    <n v="3"/>
    <n v="1"/>
    <n v="80"/>
    <n v="0"/>
    <n v="19"/>
    <n v="4"/>
    <n v="3"/>
    <n v="19"/>
    <n v="2"/>
    <n v="11"/>
    <n v="9"/>
  </r>
  <r>
    <n v="31"/>
    <x v="2"/>
    <x v="0"/>
    <n v="1"/>
    <x v="1"/>
    <n v="1060"/>
    <x v="0"/>
    <x v="0"/>
    <n v="3"/>
    <x v="3"/>
    <x v="0"/>
    <n v="4"/>
    <x v="0"/>
    <n v="54"/>
    <x v="0"/>
    <n v="1"/>
    <x v="6"/>
    <n v="2"/>
    <x v="0"/>
    <x v="897"/>
    <n v="8319"/>
    <n v="1"/>
    <s v="Y"/>
    <x v="0"/>
    <n v="11"/>
    <n v="3"/>
    <n v="1"/>
    <n v="80"/>
    <n v="0"/>
    <n v="3"/>
    <n v="2"/>
    <n v="4"/>
    <n v="3"/>
    <n v="2"/>
    <n v="2"/>
    <n v="2"/>
  </r>
  <r>
    <n v="44"/>
    <x v="0"/>
    <x v="0"/>
    <n v="1"/>
    <x v="0"/>
    <n v="935"/>
    <x v="1"/>
    <x v="3"/>
    <n v="3"/>
    <x v="3"/>
    <x v="0"/>
    <n v="1"/>
    <x v="1"/>
    <n v="89"/>
    <x v="0"/>
    <n v="1"/>
    <x v="2"/>
    <n v="1"/>
    <x v="1"/>
    <x v="898"/>
    <n v="14669"/>
    <n v="4"/>
    <s v="Y"/>
    <x v="1"/>
    <n v="12"/>
    <n v="3"/>
    <n v="3"/>
    <n v="80"/>
    <n v="0"/>
    <n v="10"/>
    <n v="4"/>
    <n v="4"/>
    <n v="3"/>
    <n v="2"/>
    <n v="1"/>
    <n v="2"/>
  </r>
  <r>
    <n v="42"/>
    <x v="0"/>
    <x v="1"/>
    <n v="0"/>
    <x v="2"/>
    <n v="495"/>
    <x v="1"/>
    <x v="2"/>
    <n v="1"/>
    <x v="1"/>
    <x v="0"/>
    <n v="3"/>
    <x v="1"/>
    <n v="37"/>
    <x v="0"/>
    <n v="4"/>
    <x v="5"/>
    <n v="3"/>
    <x v="1"/>
    <x v="417"/>
    <n v="26582"/>
    <n v="0"/>
    <s v="Y"/>
    <x v="0"/>
    <n v="13"/>
    <n v="3"/>
    <n v="4"/>
    <n v="80"/>
    <n v="0"/>
    <n v="21"/>
    <n v="3"/>
    <n v="2"/>
    <n v="20"/>
    <n v="8"/>
    <n v="2"/>
    <n v="10"/>
  </r>
  <r>
    <n v="55"/>
    <x v="3"/>
    <x v="1"/>
    <n v="0"/>
    <x v="0"/>
    <n v="282"/>
    <x v="1"/>
    <x v="2"/>
    <n v="2"/>
    <x v="0"/>
    <x v="2"/>
    <n v="4"/>
    <x v="0"/>
    <n v="58"/>
    <x v="3"/>
    <n v="5"/>
    <x v="5"/>
    <n v="3"/>
    <x v="1"/>
    <x v="899"/>
    <n v="6992"/>
    <n v="4"/>
    <s v="Y"/>
    <x v="1"/>
    <n v="14"/>
    <n v="3"/>
    <n v="4"/>
    <n v="80"/>
    <n v="1"/>
    <n v="23"/>
    <n v="5"/>
    <n v="3"/>
    <n v="19"/>
    <n v="9"/>
    <n v="9"/>
    <n v="11"/>
  </r>
  <r>
    <n v="56"/>
    <x v="3"/>
    <x v="1"/>
    <n v="0"/>
    <x v="0"/>
    <n v="206"/>
    <x v="2"/>
    <x v="1"/>
    <n v="4"/>
    <x v="2"/>
    <x v="0"/>
    <n v="4"/>
    <x v="1"/>
    <n v="99"/>
    <x v="0"/>
    <n v="5"/>
    <x v="5"/>
    <n v="2"/>
    <x v="0"/>
    <x v="900"/>
    <n v="4022"/>
    <n v="6"/>
    <s v="Y"/>
    <x v="1"/>
    <n v="14"/>
    <n v="3"/>
    <n v="1"/>
    <n v="80"/>
    <n v="0"/>
    <n v="36"/>
    <n v="4"/>
    <n v="3"/>
    <n v="7"/>
    <n v="3"/>
    <n v="7"/>
    <n v="7"/>
  </r>
  <r>
    <n v="40"/>
    <x v="0"/>
    <x v="1"/>
    <n v="0"/>
    <x v="2"/>
    <n v="458"/>
    <x v="1"/>
    <x v="7"/>
    <n v="2"/>
    <x v="0"/>
    <x v="0"/>
    <n v="3"/>
    <x v="1"/>
    <n v="74"/>
    <x v="0"/>
    <n v="1"/>
    <x v="1"/>
    <n v="3"/>
    <x v="2"/>
    <x v="901"/>
    <n v="8532"/>
    <n v="9"/>
    <s v="Y"/>
    <x v="1"/>
    <n v="16"/>
    <n v="3"/>
    <n v="2"/>
    <n v="80"/>
    <n v="1"/>
    <n v="6"/>
    <n v="0"/>
    <n v="3"/>
    <n v="4"/>
    <n v="2"/>
    <n v="0"/>
    <n v="0"/>
  </r>
  <r>
    <n v="34"/>
    <x v="2"/>
    <x v="1"/>
    <n v="0"/>
    <x v="0"/>
    <n v="943"/>
    <x v="1"/>
    <x v="14"/>
    <n v="3"/>
    <x v="3"/>
    <x v="0"/>
    <n v="4"/>
    <x v="1"/>
    <n v="86"/>
    <x v="0"/>
    <n v="3"/>
    <x v="4"/>
    <n v="4"/>
    <x v="2"/>
    <x v="902"/>
    <n v="5494"/>
    <n v="0"/>
    <s v="Y"/>
    <x v="1"/>
    <n v="11"/>
    <n v="3"/>
    <n v="4"/>
    <n v="80"/>
    <n v="1"/>
    <n v="10"/>
    <n v="0"/>
    <n v="2"/>
    <n v="9"/>
    <n v="7"/>
    <n v="1"/>
    <n v="6"/>
  </r>
  <r>
    <n v="40"/>
    <x v="0"/>
    <x v="1"/>
    <n v="0"/>
    <x v="0"/>
    <n v="523"/>
    <x v="1"/>
    <x v="2"/>
    <n v="3"/>
    <x v="3"/>
    <x v="0"/>
    <n v="3"/>
    <x v="1"/>
    <n v="98"/>
    <x v="0"/>
    <n v="2"/>
    <x v="1"/>
    <n v="4"/>
    <x v="0"/>
    <x v="903"/>
    <n v="22455"/>
    <n v="1"/>
    <s v="Y"/>
    <x v="1"/>
    <n v="13"/>
    <n v="3"/>
    <n v="3"/>
    <n v="80"/>
    <n v="0"/>
    <n v="9"/>
    <n v="4"/>
    <n v="3"/>
    <n v="9"/>
    <n v="8"/>
    <n v="8"/>
    <n v="8"/>
  </r>
  <r>
    <n v="41"/>
    <x v="0"/>
    <x v="1"/>
    <n v="0"/>
    <x v="1"/>
    <n v="1018"/>
    <x v="0"/>
    <x v="0"/>
    <n v="3"/>
    <x v="3"/>
    <x v="3"/>
    <n v="3"/>
    <x v="0"/>
    <n v="66"/>
    <x v="0"/>
    <n v="2"/>
    <x v="0"/>
    <n v="1"/>
    <x v="2"/>
    <x v="904"/>
    <n v="4297"/>
    <n v="0"/>
    <s v="Y"/>
    <x v="1"/>
    <n v="17"/>
    <n v="3"/>
    <n v="4"/>
    <n v="80"/>
    <n v="1"/>
    <n v="10"/>
    <n v="2"/>
    <n v="3"/>
    <n v="9"/>
    <n v="3"/>
    <n v="1"/>
    <n v="7"/>
  </r>
  <r>
    <n v="35"/>
    <x v="0"/>
    <x v="1"/>
    <n v="0"/>
    <x v="1"/>
    <n v="482"/>
    <x v="1"/>
    <x v="18"/>
    <n v="4"/>
    <x v="2"/>
    <x v="0"/>
    <n v="3"/>
    <x v="1"/>
    <n v="87"/>
    <x v="0"/>
    <n v="2"/>
    <x v="1"/>
    <n v="3"/>
    <x v="0"/>
    <x v="905"/>
    <n v="2690"/>
    <n v="1"/>
    <s v="Y"/>
    <x v="0"/>
    <n v="11"/>
    <n v="3"/>
    <n v="2"/>
    <n v="80"/>
    <n v="0"/>
    <n v="9"/>
    <n v="3"/>
    <n v="3"/>
    <n v="9"/>
    <n v="6"/>
    <n v="1"/>
    <n v="1"/>
  </r>
  <r>
    <n v="51"/>
    <x v="1"/>
    <x v="1"/>
    <n v="0"/>
    <x v="0"/>
    <n v="770"/>
    <x v="2"/>
    <x v="12"/>
    <n v="3"/>
    <x v="3"/>
    <x v="0"/>
    <n v="3"/>
    <x v="1"/>
    <n v="84"/>
    <x v="0"/>
    <n v="4"/>
    <x v="5"/>
    <n v="2"/>
    <x v="2"/>
    <x v="906"/>
    <n v="17588"/>
    <n v="1"/>
    <s v="Y"/>
    <x v="0"/>
    <n v="11"/>
    <n v="3"/>
    <n v="2"/>
    <n v="80"/>
    <n v="1"/>
    <n v="33"/>
    <n v="2"/>
    <n v="3"/>
    <n v="33"/>
    <n v="9"/>
    <n v="0"/>
    <n v="10"/>
  </r>
  <r>
    <n v="38"/>
    <x v="0"/>
    <x v="1"/>
    <n v="0"/>
    <x v="0"/>
    <n v="1009"/>
    <x v="0"/>
    <x v="2"/>
    <n v="2"/>
    <x v="0"/>
    <x v="0"/>
    <n v="2"/>
    <x v="0"/>
    <n v="31"/>
    <x v="0"/>
    <n v="2"/>
    <x v="0"/>
    <n v="1"/>
    <x v="2"/>
    <x v="907"/>
    <n v="19461"/>
    <n v="3"/>
    <s v="Y"/>
    <x v="1"/>
    <n v="15"/>
    <n v="3"/>
    <n v="4"/>
    <n v="80"/>
    <n v="1"/>
    <n v="11"/>
    <n v="3"/>
    <n v="3"/>
    <n v="7"/>
    <n v="7"/>
    <n v="1"/>
    <n v="7"/>
  </r>
  <r>
    <n v="34"/>
    <x v="2"/>
    <x v="1"/>
    <n v="0"/>
    <x v="0"/>
    <n v="507"/>
    <x v="0"/>
    <x v="8"/>
    <n v="2"/>
    <x v="0"/>
    <x v="2"/>
    <n v="3"/>
    <x v="0"/>
    <n v="66"/>
    <x v="0"/>
    <n v="2"/>
    <x v="0"/>
    <n v="1"/>
    <x v="0"/>
    <x v="908"/>
    <n v="23553"/>
    <n v="1"/>
    <s v="Y"/>
    <x v="1"/>
    <n v="12"/>
    <n v="3"/>
    <n v="4"/>
    <n v="80"/>
    <n v="0"/>
    <n v="10"/>
    <n v="6"/>
    <n v="4"/>
    <n v="10"/>
    <n v="8"/>
    <n v="9"/>
    <n v="6"/>
  </r>
  <r>
    <n v="25"/>
    <x v="2"/>
    <x v="1"/>
    <n v="0"/>
    <x v="0"/>
    <n v="882"/>
    <x v="1"/>
    <x v="10"/>
    <n v="1"/>
    <x v="1"/>
    <x v="2"/>
    <n v="4"/>
    <x v="1"/>
    <n v="67"/>
    <x v="0"/>
    <n v="1"/>
    <x v="2"/>
    <n v="4"/>
    <x v="1"/>
    <x v="909"/>
    <n v="9075"/>
    <n v="3"/>
    <s v="Y"/>
    <x v="1"/>
    <n v="11"/>
    <n v="3"/>
    <n v="3"/>
    <n v="80"/>
    <n v="3"/>
    <n v="7"/>
    <n v="6"/>
    <n v="2"/>
    <n v="3"/>
    <n v="2"/>
    <n v="1"/>
    <n v="2"/>
  </r>
  <r>
    <n v="58"/>
    <x v="3"/>
    <x v="0"/>
    <n v="1"/>
    <x v="0"/>
    <n v="601"/>
    <x v="1"/>
    <x v="15"/>
    <n v="4"/>
    <x v="2"/>
    <x v="2"/>
    <n v="3"/>
    <x v="0"/>
    <n v="53"/>
    <x v="1"/>
    <n v="3"/>
    <x v="3"/>
    <n v="1"/>
    <x v="1"/>
    <x v="910"/>
    <n v="12023"/>
    <n v="7"/>
    <s v="Y"/>
    <x v="0"/>
    <n v="14"/>
    <n v="3"/>
    <n v="4"/>
    <n v="80"/>
    <n v="0"/>
    <n v="31"/>
    <n v="0"/>
    <n v="2"/>
    <n v="10"/>
    <n v="9"/>
    <n v="5"/>
    <n v="9"/>
  </r>
  <r>
    <n v="40"/>
    <x v="0"/>
    <x v="1"/>
    <n v="0"/>
    <x v="0"/>
    <n v="329"/>
    <x v="1"/>
    <x v="0"/>
    <n v="4"/>
    <x v="2"/>
    <x v="0"/>
    <n v="2"/>
    <x v="1"/>
    <n v="88"/>
    <x v="0"/>
    <n v="1"/>
    <x v="2"/>
    <n v="2"/>
    <x v="1"/>
    <x v="911"/>
    <n v="6762"/>
    <n v="3"/>
    <s v="Y"/>
    <x v="1"/>
    <n v="22"/>
    <n v="4"/>
    <n v="3"/>
    <n v="80"/>
    <n v="1"/>
    <n v="7"/>
    <n v="3"/>
    <n v="3"/>
    <n v="4"/>
    <n v="2"/>
    <n v="0"/>
    <n v="3"/>
  </r>
  <r>
    <n v="36"/>
    <x v="0"/>
    <x v="1"/>
    <n v="0"/>
    <x v="1"/>
    <n v="607"/>
    <x v="0"/>
    <x v="15"/>
    <n v="3"/>
    <x v="3"/>
    <x v="3"/>
    <n v="1"/>
    <x v="0"/>
    <n v="83"/>
    <x v="2"/>
    <n v="2"/>
    <x v="0"/>
    <n v="1"/>
    <x v="1"/>
    <x v="912"/>
    <n v="2261"/>
    <n v="2"/>
    <s v="Y"/>
    <x v="1"/>
    <n v="16"/>
    <n v="3"/>
    <n v="4"/>
    <n v="80"/>
    <n v="1"/>
    <n v="17"/>
    <n v="2"/>
    <n v="2"/>
    <n v="15"/>
    <n v="7"/>
    <n v="6"/>
    <n v="13"/>
  </r>
  <r>
    <n v="48"/>
    <x v="1"/>
    <x v="1"/>
    <n v="0"/>
    <x v="0"/>
    <n v="855"/>
    <x v="1"/>
    <x v="18"/>
    <n v="3"/>
    <x v="3"/>
    <x v="0"/>
    <n v="4"/>
    <x v="1"/>
    <n v="54"/>
    <x v="0"/>
    <n v="3"/>
    <x v="3"/>
    <n v="4"/>
    <x v="0"/>
    <x v="913"/>
    <n v="18706"/>
    <n v="1"/>
    <s v="Y"/>
    <x v="1"/>
    <n v="11"/>
    <n v="3"/>
    <n v="3"/>
    <n v="80"/>
    <n v="0"/>
    <n v="11"/>
    <n v="2"/>
    <n v="3"/>
    <n v="10"/>
    <n v="9"/>
    <n v="0"/>
    <n v="8"/>
  </r>
  <r>
    <n v="27"/>
    <x v="2"/>
    <x v="1"/>
    <n v="0"/>
    <x v="0"/>
    <n v="1291"/>
    <x v="0"/>
    <x v="13"/>
    <n v="3"/>
    <x v="3"/>
    <x v="2"/>
    <n v="3"/>
    <x v="0"/>
    <n v="98"/>
    <x v="2"/>
    <n v="1"/>
    <x v="6"/>
    <n v="4"/>
    <x v="1"/>
    <x v="914"/>
    <n v="6527"/>
    <n v="8"/>
    <s v="Y"/>
    <x v="1"/>
    <n v="14"/>
    <n v="3"/>
    <n v="2"/>
    <n v="80"/>
    <n v="1"/>
    <n v="5"/>
    <n v="4"/>
    <n v="3"/>
    <n v="1"/>
    <n v="0"/>
    <n v="0"/>
    <n v="0"/>
  </r>
  <r>
    <n v="51"/>
    <x v="1"/>
    <x v="1"/>
    <n v="0"/>
    <x v="0"/>
    <n v="1405"/>
    <x v="1"/>
    <x v="13"/>
    <n v="2"/>
    <x v="0"/>
    <x v="4"/>
    <n v="4"/>
    <x v="0"/>
    <n v="82"/>
    <x v="1"/>
    <n v="4"/>
    <x v="3"/>
    <n v="2"/>
    <x v="0"/>
    <x v="915"/>
    <n v="24439"/>
    <n v="3"/>
    <s v="Y"/>
    <x v="1"/>
    <n v="16"/>
    <n v="3"/>
    <n v="2"/>
    <n v="80"/>
    <n v="0"/>
    <n v="29"/>
    <n v="1"/>
    <n v="2"/>
    <n v="5"/>
    <n v="2"/>
    <n v="0"/>
    <n v="3"/>
  </r>
  <r>
    <n v="18"/>
    <x v="4"/>
    <x v="1"/>
    <n v="0"/>
    <x v="2"/>
    <n v="1124"/>
    <x v="1"/>
    <x v="0"/>
    <n v="3"/>
    <x v="3"/>
    <x v="0"/>
    <n v="4"/>
    <x v="0"/>
    <n v="97"/>
    <x v="0"/>
    <n v="1"/>
    <x v="2"/>
    <n v="4"/>
    <x v="0"/>
    <x v="916"/>
    <n v="19305"/>
    <n v="1"/>
    <s v="Y"/>
    <x v="1"/>
    <n v="15"/>
    <n v="3"/>
    <n v="3"/>
    <n v="80"/>
    <n v="0"/>
    <n v="0"/>
    <n v="5"/>
    <n v="4"/>
    <n v="0"/>
    <n v="0"/>
    <n v="0"/>
    <n v="0"/>
  </r>
  <r>
    <n v="35"/>
    <x v="0"/>
    <x v="1"/>
    <n v="0"/>
    <x v="0"/>
    <n v="817"/>
    <x v="1"/>
    <x v="0"/>
    <n v="3"/>
    <x v="3"/>
    <x v="2"/>
    <n v="4"/>
    <x v="0"/>
    <n v="60"/>
    <x v="1"/>
    <n v="2"/>
    <x v="2"/>
    <n v="4"/>
    <x v="1"/>
    <x v="917"/>
    <n v="10846"/>
    <n v="0"/>
    <s v="Y"/>
    <x v="1"/>
    <n v="12"/>
    <n v="3"/>
    <n v="2"/>
    <n v="80"/>
    <n v="1"/>
    <n v="10"/>
    <n v="0"/>
    <n v="3"/>
    <n v="9"/>
    <n v="7"/>
    <n v="0"/>
    <n v="0"/>
  </r>
  <r>
    <n v="27"/>
    <x v="2"/>
    <x v="1"/>
    <n v="0"/>
    <x v="1"/>
    <n v="793"/>
    <x v="0"/>
    <x v="2"/>
    <n v="1"/>
    <x v="1"/>
    <x v="0"/>
    <n v="4"/>
    <x v="1"/>
    <n v="43"/>
    <x v="3"/>
    <n v="2"/>
    <x v="0"/>
    <n v="4"/>
    <x v="0"/>
    <x v="918"/>
    <n v="20392"/>
    <n v="3"/>
    <s v="Y"/>
    <x v="1"/>
    <n v="20"/>
    <n v="4"/>
    <n v="2"/>
    <n v="80"/>
    <n v="0"/>
    <n v="8"/>
    <n v="3"/>
    <n v="3"/>
    <n v="6"/>
    <n v="2"/>
    <n v="0"/>
    <n v="0"/>
  </r>
  <r>
    <n v="55"/>
    <x v="3"/>
    <x v="0"/>
    <n v="1"/>
    <x v="0"/>
    <n v="267"/>
    <x v="0"/>
    <x v="28"/>
    <n v="4"/>
    <x v="2"/>
    <x v="3"/>
    <n v="1"/>
    <x v="1"/>
    <n v="85"/>
    <x v="2"/>
    <n v="4"/>
    <x v="0"/>
    <n v="3"/>
    <x v="0"/>
    <x v="919"/>
    <n v="9277"/>
    <n v="6"/>
    <s v="Y"/>
    <x v="0"/>
    <n v="17"/>
    <n v="3"/>
    <n v="3"/>
    <n v="80"/>
    <n v="0"/>
    <n v="24"/>
    <n v="2"/>
    <n v="2"/>
    <n v="19"/>
    <n v="7"/>
    <n v="3"/>
    <n v="8"/>
  </r>
  <r>
    <n v="56"/>
    <x v="3"/>
    <x v="1"/>
    <n v="0"/>
    <x v="0"/>
    <n v="1369"/>
    <x v="1"/>
    <x v="5"/>
    <n v="3"/>
    <x v="3"/>
    <x v="0"/>
    <n v="4"/>
    <x v="1"/>
    <n v="68"/>
    <x v="0"/>
    <n v="4"/>
    <x v="3"/>
    <n v="2"/>
    <x v="1"/>
    <x v="920"/>
    <n v="18235"/>
    <n v="4"/>
    <s v="Y"/>
    <x v="0"/>
    <n v="12"/>
    <n v="3"/>
    <n v="1"/>
    <n v="80"/>
    <n v="1"/>
    <n v="33"/>
    <n v="0"/>
    <n v="3"/>
    <n v="19"/>
    <n v="16"/>
    <n v="15"/>
    <n v="9"/>
  </r>
  <r>
    <n v="34"/>
    <x v="2"/>
    <x v="1"/>
    <n v="0"/>
    <x v="2"/>
    <n v="999"/>
    <x v="1"/>
    <x v="9"/>
    <n v="1"/>
    <x v="1"/>
    <x v="4"/>
    <n v="1"/>
    <x v="0"/>
    <n v="92"/>
    <x v="1"/>
    <n v="1"/>
    <x v="1"/>
    <n v="3"/>
    <x v="2"/>
    <x v="921"/>
    <n v="15891"/>
    <n v="1"/>
    <s v="Y"/>
    <x v="1"/>
    <n v="20"/>
    <n v="4"/>
    <n v="3"/>
    <n v="80"/>
    <n v="3"/>
    <n v="5"/>
    <n v="2"/>
    <n v="3"/>
    <n v="5"/>
    <n v="4"/>
    <n v="0"/>
    <n v="0"/>
  </r>
  <r>
    <n v="40"/>
    <x v="0"/>
    <x v="1"/>
    <n v="0"/>
    <x v="0"/>
    <n v="1202"/>
    <x v="1"/>
    <x v="2"/>
    <n v="1"/>
    <x v="1"/>
    <x v="2"/>
    <n v="2"/>
    <x v="0"/>
    <n v="89"/>
    <x v="2"/>
    <n v="2"/>
    <x v="4"/>
    <n v="3"/>
    <x v="2"/>
    <x v="922"/>
    <n v="13888"/>
    <n v="5"/>
    <s v="Y"/>
    <x v="1"/>
    <n v="20"/>
    <n v="4"/>
    <n v="2"/>
    <n v="80"/>
    <n v="3"/>
    <n v="15"/>
    <n v="0"/>
    <n v="3"/>
    <n v="12"/>
    <n v="11"/>
    <n v="11"/>
    <n v="8"/>
  </r>
  <r>
    <n v="34"/>
    <x v="2"/>
    <x v="1"/>
    <n v="0"/>
    <x v="0"/>
    <n v="285"/>
    <x v="1"/>
    <x v="22"/>
    <n v="3"/>
    <x v="3"/>
    <x v="2"/>
    <n v="2"/>
    <x v="1"/>
    <n v="86"/>
    <x v="0"/>
    <n v="2"/>
    <x v="2"/>
    <n v="3"/>
    <x v="1"/>
    <x v="923"/>
    <n v="17491"/>
    <n v="4"/>
    <s v="Y"/>
    <x v="1"/>
    <n v="13"/>
    <n v="3"/>
    <n v="1"/>
    <n v="80"/>
    <n v="2"/>
    <n v="10"/>
    <n v="1"/>
    <n v="3"/>
    <n v="8"/>
    <n v="7"/>
    <n v="7"/>
    <n v="7"/>
  </r>
  <r>
    <n v="31"/>
    <x v="2"/>
    <x v="0"/>
    <n v="1"/>
    <x v="1"/>
    <n v="703"/>
    <x v="0"/>
    <x v="2"/>
    <n v="3"/>
    <x v="3"/>
    <x v="0"/>
    <n v="3"/>
    <x v="0"/>
    <n v="90"/>
    <x v="1"/>
    <n v="1"/>
    <x v="6"/>
    <n v="4"/>
    <x v="0"/>
    <x v="924"/>
    <n v="11882"/>
    <n v="7"/>
    <s v="Y"/>
    <x v="1"/>
    <n v="14"/>
    <n v="3"/>
    <n v="3"/>
    <n v="80"/>
    <n v="0"/>
    <n v="3"/>
    <n v="3"/>
    <n v="4"/>
    <n v="1"/>
    <n v="0"/>
    <n v="0"/>
    <n v="0"/>
  </r>
  <r>
    <n v="35"/>
    <x v="0"/>
    <x v="0"/>
    <n v="1"/>
    <x v="1"/>
    <n v="662"/>
    <x v="0"/>
    <x v="21"/>
    <n v="4"/>
    <x v="2"/>
    <x v="3"/>
    <n v="4"/>
    <x v="0"/>
    <n v="67"/>
    <x v="0"/>
    <n v="2"/>
    <x v="0"/>
    <n v="3"/>
    <x v="1"/>
    <x v="925"/>
    <n v="23288"/>
    <n v="0"/>
    <s v="Y"/>
    <x v="0"/>
    <n v="18"/>
    <n v="3"/>
    <n v="3"/>
    <n v="80"/>
    <n v="1"/>
    <n v="5"/>
    <n v="0"/>
    <n v="2"/>
    <n v="4"/>
    <n v="2"/>
    <n v="3"/>
    <n v="2"/>
  </r>
  <r>
    <n v="38"/>
    <x v="0"/>
    <x v="1"/>
    <n v="0"/>
    <x v="1"/>
    <n v="693"/>
    <x v="1"/>
    <x v="15"/>
    <n v="3"/>
    <x v="3"/>
    <x v="0"/>
    <n v="4"/>
    <x v="1"/>
    <n v="57"/>
    <x v="2"/>
    <n v="1"/>
    <x v="1"/>
    <n v="3"/>
    <x v="2"/>
    <x v="353"/>
    <n v="15748"/>
    <n v="1"/>
    <s v="Y"/>
    <x v="1"/>
    <n v="11"/>
    <n v="3"/>
    <n v="4"/>
    <n v="80"/>
    <n v="3"/>
    <n v="4"/>
    <n v="2"/>
    <n v="3"/>
    <n v="4"/>
    <n v="2"/>
    <n v="0"/>
    <n v="3"/>
  </r>
  <r>
    <n v="34"/>
    <x v="2"/>
    <x v="1"/>
    <n v="0"/>
    <x v="0"/>
    <n v="404"/>
    <x v="1"/>
    <x v="2"/>
    <n v="4"/>
    <x v="2"/>
    <x v="4"/>
    <n v="3"/>
    <x v="0"/>
    <n v="98"/>
    <x v="0"/>
    <n v="2"/>
    <x v="4"/>
    <n v="4"/>
    <x v="0"/>
    <x v="926"/>
    <n v="6163"/>
    <n v="1"/>
    <s v="Y"/>
    <x v="1"/>
    <n v="11"/>
    <n v="3"/>
    <n v="4"/>
    <n v="80"/>
    <n v="0"/>
    <n v="14"/>
    <n v="2"/>
    <n v="4"/>
    <n v="14"/>
    <n v="11"/>
    <n v="4"/>
    <n v="11"/>
  </r>
  <r>
    <n v="28"/>
    <x v="2"/>
    <x v="1"/>
    <n v="0"/>
    <x v="0"/>
    <n v="736"/>
    <x v="0"/>
    <x v="9"/>
    <n v="3"/>
    <x v="3"/>
    <x v="0"/>
    <n v="3"/>
    <x v="1"/>
    <n v="48"/>
    <x v="1"/>
    <n v="2"/>
    <x v="0"/>
    <n v="1"/>
    <x v="1"/>
    <x v="927"/>
    <n v="24232"/>
    <n v="1"/>
    <s v="Y"/>
    <x v="1"/>
    <n v="11"/>
    <n v="3"/>
    <n v="3"/>
    <n v="80"/>
    <n v="1"/>
    <n v="5"/>
    <n v="0"/>
    <n v="3"/>
    <n v="5"/>
    <n v="3"/>
    <n v="0"/>
    <n v="4"/>
  </r>
  <r>
    <n v="31"/>
    <x v="2"/>
    <x v="0"/>
    <n v="1"/>
    <x v="0"/>
    <n v="330"/>
    <x v="1"/>
    <x v="23"/>
    <n v="4"/>
    <x v="2"/>
    <x v="2"/>
    <n v="4"/>
    <x v="1"/>
    <n v="98"/>
    <x v="0"/>
    <n v="2"/>
    <x v="3"/>
    <n v="3"/>
    <x v="1"/>
    <x v="928"/>
    <n v="21057"/>
    <n v="1"/>
    <s v="Y"/>
    <x v="0"/>
    <n v="15"/>
    <n v="3"/>
    <n v="4"/>
    <n v="80"/>
    <n v="2"/>
    <n v="10"/>
    <n v="3"/>
    <n v="2"/>
    <n v="10"/>
    <n v="2"/>
    <n v="6"/>
    <n v="7"/>
  </r>
  <r>
    <n v="39"/>
    <x v="0"/>
    <x v="1"/>
    <n v="0"/>
    <x v="0"/>
    <n v="1498"/>
    <x v="0"/>
    <x v="11"/>
    <n v="4"/>
    <x v="2"/>
    <x v="0"/>
    <n v="1"/>
    <x v="1"/>
    <n v="44"/>
    <x v="1"/>
    <n v="2"/>
    <x v="0"/>
    <n v="4"/>
    <x v="1"/>
    <x v="929"/>
    <n v="3567"/>
    <n v="3"/>
    <s v="Y"/>
    <x v="0"/>
    <n v="12"/>
    <n v="3"/>
    <n v="4"/>
    <n v="80"/>
    <n v="2"/>
    <n v="8"/>
    <n v="2"/>
    <n v="4"/>
    <n v="5"/>
    <n v="4"/>
    <n v="1"/>
    <n v="4"/>
  </r>
  <r>
    <n v="51"/>
    <x v="1"/>
    <x v="1"/>
    <n v="0"/>
    <x v="1"/>
    <n v="541"/>
    <x v="0"/>
    <x v="2"/>
    <n v="3"/>
    <x v="3"/>
    <x v="3"/>
    <n v="2"/>
    <x v="1"/>
    <n v="52"/>
    <x v="0"/>
    <n v="3"/>
    <x v="0"/>
    <n v="2"/>
    <x v="1"/>
    <x v="930"/>
    <n v="15395"/>
    <n v="2"/>
    <s v="Y"/>
    <x v="1"/>
    <n v="11"/>
    <n v="3"/>
    <n v="2"/>
    <n v="80"/>
    <n v="0"/>
    <n v="14"/>
    <n v="5"/>
    <n v="3"/>
    <n v="4"/>
    <n v="2"/>
    <n v="3"/>
    <n v="2"/>
  </r>
  <r>
    <n v="41"/>
    <x v="0"/>
    <x v="1"/>
    <n v="0"/>
    <x v="1"/>
    <n v="1200"/>
    <x v="1"/>
    <x v="23"/>
    <n v="3"/>
    <x v="3"/>
    <x v="0"/>
    <n v="4"/>
    <x v="0"/>
    <n v="75"/>
    <x v="0"/>
    <n v="2"/>
    <x v="1"/>
    <n v="4"/>
    <x v="2"/>
    <x v="931"/>
    <n v="13953"/>
    <n v="3"/>
    <s v="Y"/>
    <x v="0"/>
    <n v="14"/>
    <n v="3"/>
    <n v="1"/>
    <n v="80"/>
    <n v="2"/>
    <n v="12"/>
    <n v="4"/>
    <n v="2"/>
    <n v="6"/>
    <n v="2"/>
    <n v="3"/>
    <n v="3"/>
  </r>
  <r>
    <n v="37"/>
    <x v="0"/>
    <x v="1"/>
    <n v="0"/>
    <x v="0"/>
    <n v="1439"/>
    <x v="1"/>
    <x v="18"/>
    <n v="1"/>
    <x v="1"/>
    <x v="0"/>
    <n v="3"/>
    <x v="1"/>
    <n v="54"/>
    <x v="0"/>
    <n v="1"/>
    <x v="1"/>
    <n v="3"/>
    <x v="1"/>
    <x v="932"/>
    <n v="5182"/>
    <n v="7"/>
    <s v="Y"/>
    <x v="0"/>
    <n v="15"/>
    <n v="3"/>
    <n v="4"/>
    <n v="80"/>
    <n v="0"/>
    <n v="8"/>
    <n v="2"/>
    <n v="3"/>
    <n v="6"/>
    <n v="4"/>
    <n v="1"/>
    <n v="3"/>
  </r>
  <r>
    <n v="33"/>
    <x v="2"/>
    <x v="1"/>
    <n v="0"/>
    <x v="1"/>
    <n v="1111"/>
    <x v="0"/>
    <x v="12"/>
    <n v="1"/>
    <x v="1"/>
    <x v="0"/>
    <n v="2"/>
    <x v="1"/>
    <n v="61"/>
    <x v="0"/>
    <n v="2"/>
    <x v="0"/>
    <n v="4"/>
    <x v="1"/>
    <x v="933"/>
    <n v="19293"/>
    <n v="6"/>
    <s v="Y"/>
    <x v="1"/>
    <n v="13"/>
    <n v="3"/>
    <n v="1"/>
    <n v="80"/>
    <n v="0"/>
    <n v="8"/>
    <n v="2"/>
    <n v="4"/>
    <n v="5"/>
    <n v="4"/>
    <n v="1"/>
    <n v="2"/>
  </r>
  <r>
    <n v="32"/>
    <x v="2"/>
    <x v="1"/>
    <n v="0"/>
    <x v="0"/>
    <n v="499"/>
    <x v="0"/>
    <x v="2"/>
    <n v="1"/>
    <x v="1"/>
    <x v="3"/>
    <n v="3"/>
    <x v="1"/>
    <n v="36"/>
    <x v="0"/>
    <n v="2"/>
    <x v="0"/>
    <n v="2"/>
    <x v="1"/>
    <x v="934"/>
    <n v="20497"/>
    <n v="0"/>
    <s v="Y"/>
    <x v="0"/>
    <n v="13"/>
    <n v="3"/>
    <n v="1"/>
    <n v="80"/>
    <n v="3"/>
    <n v="4"/>
    <n v="3"/>
    <n v="2"/>
    <n v="3"/>
    <n v="2"/>
    <n v="1"/>
    <n v="2"/>
  </r>
  <r>
    <n v="39"/>
    <x v="0"/>
    <x v="1"/>
    <n v="0"/>
    <x v="2"/>
    <n v="1485"/>
    <x v="1"/>
    <x v="19"/>
    <n v="2"/>
    <x v="0"/>
    <x v="0"/>
    <n v="3"/>
    <x v="1"/>
    <n v="71"/>
    <x v="0"/>
    <n v="3"/>
    <x v="4"/>
    <n v="3"/>
    <x v="1"/>
    <x v="935"/>
    <n v="3449"/>
    <n v="3"/>
    <s v="Y"/>
    <x v="1"/>
    <n v="21"/>
    <n v="4"/>
    <n v="2"/>
    <n v="80"/>
    <n v="1"/>
    <n v="13"/>
    <n v="2"/>
    <n v="3"/>
    <n v="6"/>
    <n v="4"/>
    <n v="0"/>
    <n v="5"/>
  </r>
  <r>
    <n v="25"/>
    <x v="2"/>
    <x v="1"/>
    <n v="0"/>
    <x v="0"/>
    <n v="1372"/>
    <x v="0"/>
    <x v="21"/>
    <n v="1"/>
    <x v="1"/>
    <x v="0"/>
    <n v="1"/>
    <x v="1"/>
    <n v="93"/>
    <x v="2"/>
    <n v="2"/>
    <x v="0"/>
    <n v="3"/>
    <x v="1"/>
    <x v="936"/>
    <n v="12477"/>
    <n v="2"/>
    <s v="Y"/>
    <x v="1"/>
    <n v="11"/>
    <n v="3"/>
    <n v="2"/>
    <n v="80"/>
    <n v="0"/>
    <n v="6"/>
    <n v="3"/>
    <n v="2"/>
    <n v="3"/>
    <n v="2"/>
    <n v="1"/>
    <n v="2"/>
  </r>
  <r>
    <n v="52"/>
    <x v="1"/>
    <x v="1"/>
    <n v="0"/>
    <x v="1"/>
    <n v="322"/>
    <x v="1"/>
    <x v="26"/>
    <n v="2"/>
    <x v="0"/>
    <x v="2"/>
    <n v="4"/>
    <x v="0"/>
    <n v="59"/>
    <x v="2"/>
    <n v="4"/>
    <x v="3"/>
    <n v="3"/>
    <x v="1"/>
    <x v="937"/>
    <n v="9731"/>
    <n v="2"/>
    <s v="Y"/>
    <x v="0"/>
    <n v="11"/>
    <n v="3"/>
    <n v="2"/>
    <n v="80"/>
    <n v="1"/>
    <n v="24"/>
    <n v="3"/>
    <n v="2"/>
    <n v="5"/>
    <n v="3"/>
    <n v="0"/>
    <n v="2"/>
  </r>
  <r>
    <n v="43"/>
    <x v="0"/>
    <x v="1"/>
    <n v="0"/>
    <x v="0"/>
    <n v="930"/>
    <x v="1"/>
    <x v="16"/>
    <n v="3"/>
    <x v="3"/>
    <x v="2"/>
    <n v="1"/>
    <x v="0"/>
    <n v="73"/>
    <x v="1"/>
    <n v="2"/>
    <x v="1"/>
    <n v="3"/>
    <x v="0"/>
    <x v="938"/>
    <n v="20003"/>
    <n v="1"/>
    <s v="Y"/>
    <x v="0"/>
    <n v="14"/>
    <n v="3"/>
    <n v="1"/>
    <n v="80"/>
    <n v="0"/>
    <n v="20"/>
    <n v="3"/>
    <n v="1"/>
    <n v="20"/>
    <n v="7"/>
    <n v="1"/>
    <n v="8"/>
  </r>
  <r>
    <n v="27"/>
    <x v="2"/>
    <x v="1"/>
    <n v="0"/>
    <x v="0"/>
    <n v="205"/>
    <x v="0"/>
    <x v="17"/>
    <n v="3"/>
    <x v="3"/>
    <x v="3"/>
    <n v="4"/>
    <x v="0"/>
    <n v="98"/>
    <x v="1"/>
    <n v="2"/>
    <x v="0"/>
    <n v="4"/>
    <x v="1"/>
    <x v="939"/>
    <n v="7100"/>
    <n v="1"/>
    <s v="Y"/>
    <x v="0"/>
    <n v="11"/>
    <n v="3"/>
    <n v="4"/>
    <n v="80"/>
    <n v="0"/>
    <n v="6"/>
    <n v="3"/>
    <n v="3"/>
    <n v="6"/>
    <n v="2"/>
    <n v="4"/>
    <n v="4"/>
  </r>
  <r>
    <n v="27"/>
    <x v="2"/>
    <x v="0"/>
    <n v="1"/>
    <x v="0"/>
    <n v="135"/>
    <x v="1"/>
    <x v="27"/>
    <n v="4"/>
    <x v="2"/>
    <x v="0"/>
    <n v="4"/>
    <x v="0"/>
    <n v="51"/>
    <x v="0"/>
    <n v="1"/>
    <x v="1"/>
    <n v="3"/>
    <x v="0"/>
    <x v="940"/>
    <n v="25681"/>
    <n v="1"/>
    <s v="Y"/>
    <x v="0"/>
    <n v="13"/>
    <n v="3"/>
    <n v="4"/>
    <n v="80"/>
    <n v="0"/>
    <n v="8"/>
    <n v="2"/>
    <n v="3"/>
    <n v="8"/>
    <n v="2"/>
    <n v="7"/>
    <n v="7"/>
  </r>
  <r>
    <n v="26"/>
    <x v="2"/>
    <x v="1"/>
    <n v="0"/>
    <x v="0"/>
    <n v="683"/>
    <x v="1"/>
    <x v="2"/>
    <n v="1"/>
    <x v="1"/>
    <x v="2"/>
    <n v="1"/>
    <x v="1"/>
    <n v="36"/>
    <x v="1"/>
    <n v="1"/>
    <x v="1"/>
    <n v="4"/>
    <x v="0"/>
    <x v="885"/>
    <n v="4050"/>
    <n v="0"/>
    <s v="Y"/>
    <x v="1"/>
    <n v="12"/>
    <n v="3"/>
    <n v="4"/>
    <n v="80"/>
    <n v="0"/>
    <n v="5"/>
    <n v="2"/>
    <n v="3"/>
    <n v="4"/>
    <n v="3"/>
    <n v="1"/>
    <n v="1"/>
  </r>
  <r>
    <n v="42"/>
    <x v="0"/>
    <x v="1"/>
    <n v="0"/>
    <x v="0"/>
    <n v="1147"/>
    <x v="2"/>
    <x v="17"/>
    <n v="3"/>
    <x v="3"/>
    <x v="5"/>
    <n v="3"/>
    <x v="0"/>
    <n v="31"/>
    <x v="0"/>
    <n v="4"/>
    <x v="5"/>
    <n v="1"/>
    <x v="1"/>
    <x v="941"/>
    <n v="16616"/>
    <n v="0"/>
    <s v="Y"/>
    <x v="1"/>
    <n v="14"/>
    <n v="3"/>
    <n v="3"/>
    <n v="80"/>
    <n v="1"/>
    <n v="21"/>
    <n v="5"/>
    <n v="3"/>
    <n v="20"/>
    <n v="7"/>
    <n v="0"/>
    <n v="9"/>
  </r>
  <r>
    <n v="52"/>
    <x v="1"/>
    <x v="1"/>
    <n v="0"/>
    <x v="0"/>
    <n v="258"/>
    <x v="1"/>
    <x v="1"/>
    <n v="4"/>
    <x v="2"/>
    <x v="1"/>
    <n v="3"/>
    <x v="0"/>
    <n v="54"/>
    <x v="0"/>
    <n v="1"/>
    <x v="2"/>
    <n v="1"/>
    <x v="1"/>
    <x v="942"/>
    <n v="17363"/>
    <n v="9"/>
    <s v="Y"/>
    <x v="1"/>
    <n v="13"/>
    <n v="3"/>
    <n v="3"/>
    <n v="80"/>
    <n v="0"/>
    <n v="12"/>
    <n v="2"/>
    <n v="1"/>
    <n v="5"/>
    <n v="4"/>
    <n v="0"/>
    <n v="4"/>
  </r>
  <r>
    <n v="37"/>
    <x v="0"/>
    <x v="1"/>
    <n v="0"/>
    <x v="0"/>
    <n v="1462"/>
    <x v="1"/>
    <x v="13"/>
    <n v="3"/>
    <x v="3"/>
    <x v="2"/>
    <n v="1"/>
    <x v="0"/>
    <n v="94"/>
    <x v="0"/>
    <n v="1"/>
    <x v="2"/>
    <n v="3"/>
    <x v="0"/>
    <x v="943"/>
    <n v="19106"/>
    <n v="4"/>
    <s v="Y"/>
    <x v="1"/>
    <n v="18"/>
    <n v="3"/>
    <n v="1"/>
    <n v="80"/>
    <n v="0"/>
    <n v="8"/>
    <n v="6"/>
    <n v="3"/>
    <n v="3"/>
    <n v="2"/>
    <n v="0"/>
    <n v="2"/>
  </r>
  <r>
    <n v="35"/>
    <x v="0"/>
    <x v="1"/>
    <n v="0"/>
    <x v="1"/>
    <n v="200"/>
    <x v="1"/>
    <x v="21"/>
    <n v="2"/>
    <x v="0"/>
    <x v="0"/>
    <n v="3"/>
    <x v="1"/>
    <n v="60"/>
    <x v="0"/>
    <n v="3"/>
    <x v="3"/>
    <n v="4"/>
    <x v="0"/>
    <x v="944"/>
    <n v="19944"/>
    <n v="2"/>
    <s v="Y"/>
    <x v="1"/>
    <n v="11"/>
    <n v="3"/>
    <n v="3"/>
    <n v="80"/>
    <n v="0"/>
    <n v="10"/>
    <n v="2"/>
    <n v="3"/>
    <n v="2"/>
    <n v="2"/>
    <n v="2"/>
    <n v="2"/>
  </r>
  <r>
    <n v="25"/>
    <x v="2"/>
    <x v="1"/>
    <n v="0"/>
    <x v="0"/>
    <n v="949"/>
    <x v="1"/>
    <x v="0"/>
    <n v="3"/>
    <x v="3"/>
    <x v="4"/>
    <n v="1"/>
    <x v="1"/>
    <n v="81"/>
    <x v="0"/>
    <n v="1"/>
    <x v="2"/>
    <n v="4"/>
    <x v="1"/>
    <x v="945"/>
    <n v="4910"/>
    <n v="4"/>
    <s v="Y"/>
    <x v="1"/>
    <n v="11"/>
    <n v="3"/>
    <n v="2"/>
    <n v="80"/>
    <n v="1"/>
    <n v="7"/>
    <n v="2"/>
    <n v="2"/>
    <n v="3"/>
    <n v="2"/>
    <n v="0"/>
    <n v="2"/>
  </r>
  <r>
    <n v="26"/>
    <x v="2"/>
    <x v="1"/>
    <n v="0"/>
    <x v="0"/>
    <n v="652"/>
    <x v="1"/>
    <x v="15"/>
    <n v="3"/>
    <x v="3"/>
    <x v="1"/>
    <n v="3"/>
    <x v="1"/>
    <n v="100"/>
    <x v="2"/>
    <n v="1"/>
    <x v="2"/>
    <n v="1"/>
    <x v="0"/>
    <x v="946"/>
    <n v="23577"/>
    <n v="0"/>
    <s v="Y"/>
    <x v="1"/>
    <n v="12"/>
    <n v="3"/>
    <n v="4"/>
    <n v="80"/>
    <n v="0"/>
    <n v="8"/>
    <n v="2"/>
    <n v="3"/>
    <n v="7"/>
    <n v="7"/>
    <n v="0"/>
    <n v="7"/>
  </r>
  <r>
    <n v="29"/>
    <x v="2"/>
    <x v="1"/>
    <n v="0"/>
    <x v="0"/>
    <n v="332"/>
    <x v="2"/>
    <x v="27"/>
    <n v="3"/>
    <x v="3"/>
    <x v="1"/>
    <n v="2"/>
    <x v="1"/>
    <n v="51"/>
    <x v="1"/>
    <n v="3"/>
    <x v="8"/>
    <n v="1"/>
    <x v="0"/>
    <x v="947"/>
    <n v="9769"/>
    <n v="1"/>
    <s v="Y"/>
    <x v="1"/>
    <n v="13"/>
    <n v="3"/>
    <n v="1"/>
    <n v="80"/>
    <n v="0"/>
    <n v="10"/>
    <n v="3"/>
    <n v="2"/>
    <n v="10"/>
    <n v="9"/>
    <n v="0"/>
    <n v="9"/>
  </r>
  <r>
    <n v="49"/>
    <x v="1"/>
    <x v="0"/>
    <n v="1"/>
    <x v="1"/>
    <n v="1475"/>
    <x v="1"/>
    <x v="26"/>
    <n v="2"/>
    <x v="0"/>
    <x v="0"/>
    <n v="1"/>
    <x v="1"/>
    <n v="97"/>
    <x v="1"/>
    <n v="2"/>
    <x v="2"/>
    <n v="1"/>
    <x v="0"/>
    <x v="948"/>
    <n v="22710"/>
    <n v="3"/>
    <s v="Y"/>
    <x v="1"/>
    <n v="20"/>
    <n v="4"/>
    <n v="1"/>
    <n v="80"/>
    <n v="0"/>
    <n v="20"/>
    <n v="2"/>
    <n v="3"/>
    <n v="4"/>
    <n v="3"/>
    <n v="1"/>
    <n v="3"/>
  </r>
  <r>
    <n v="29"/>
    <x v="2"/>
    <x v="0"/>
    <n v="1"/>
    <x v="1"/>
    <n v="337"/>
    <x v="1"/>
    <x v="24"/>
    <n v="1"/>
    <x v="1"/>
    <x v="1"/>
    <n v="3"/>
    <x v="0"/>
    <n v="84"/>
    <x v="0"/>
    <n v="3"/>
    <x v="4"/>
    <n v="4"/>
    <x v="0"/>
    <x v="949"/>
    <n v="22930"/>
    <n v="0"/>
    <s v="Y"/>
    <x v="0"/>
    <n v="12"/>
    <n v="3"/>
    <n v="1"/>
    <n v="80"/>
    <n v="0"/>
    <n v="9"/>
    <n v="1"/>
    <n v="3"/>
    <n v="8"/>
    <n v="7"/>
    <n v="7"/>
    <n v="7"/>
  </r>
  <r>
    <n v="54"/>
    <x v="1"/>
    <x v="1"/>
    <n v="0"/>
    <x v="0"/>
    <n v="971"/>
    <x v="1"/>
    <x v="0"/>
    <n v="3"/>
    <x v="3"/>
    <x v="2"/>
    <n v="4"/>
    <x v="0"/>
    <n v="54"/>
    <x v="0"/>
    <n v="4"/>
    <x v="7"/>
    <n v="4"/>
    <x v="0"/>
    <x v="109"/>
    <n v="5652"/>
    <n v="6"/>
    <s v="Y"/>
    <x v="1"/>
    <n v="19"/>
    <n v="3"/>
    <n v="4"/>
    <n v="80"/>
    <n v="0"/>
    <n v="29"/>
    <n v="3"/>
    <n v="2"/>
    <n v="20"/>
    <n v="7"/>
    <n v="12"/>
    <n v="7"/>
  </r>
  <r>
    <n v="58"/>
    <x v="3"/>
    <x v="1"/>
    <n v="0"/>
    <x v="0"/>
    <n v="1055"/>
    <x v="1"/>
    <x v="0"/>
    <n v="3"/>
    <x v="3"/>
    <x v="2"/>
    <n v="4"/>
    <x v="0"/>
    <n v="76"/>
    <x v="0"/>
    <n v="5"/>
    <x v="7"/>
    <n v="1"/>
    <x v="1"/>
    <x v="950"/>
    <n v="22456"/>
    <n v="3"/>
    <s v="Y"/>
    <x v="0"/>
    <n v="21"/>
    <n v="4"/>
    <n v="3"/>
    <n v="80"/>
    <n v="1"/>
    <n v="32"/>
    <n v="3"/>
    <n v="3"/>
    <n v="9"/>
    <n v="8"/>
    <n v="1"/>
    <n v="5"/>
  </r>
  <r>
    <n v="55"/>
    <x v="3"/>
    <x v="1"/>
    <n v="0"/>
    <x v="0"/>
    <n v="1136"/>
    <x v="1"/>
    <x v="0"/>
    <n v="4"/>
    <x v="2"/>
    <x v="2"/>
    <n v="2"/>
    <x v="1"/>
    <n v="81"/>
    <x v="2"/>
    <n v="4"/>
    <x v="7"/>
    <n v="4"/>
    <x v="2"/>
    <x v="951"/>
    <n v="12414"/>
    <n v="2"/>
    <s v="Y"/>
    <x v="1"/>
    <n v="13"/>
    <n v="3"/>
    <n v="4"/>
    <n v="80"/>
    <n v="2"/>
    <n v="31"/>
    <n v="4"/>
    <n v="4"/>
    <n v="7"/>
    <n v="7"/>
    <n v="0"/>
    <n v="0"/>
  </r>
  <r>
    <n v="36"/>
    <x v="0"/>
    <x v="1"/>
    <n v="0"/>
    <x v="0"/>
    <n v="1174"/>
    <x v="0"/>
    <x v="3"/>
    <n v="4"/>
    <x v="2"/>
    <x v="3"/>
    <n v="1"/>
    <x v="0"/>
    <n v="99"/>
    <x v="0"/>
    <n v="2"/>
    <x v="0"/>
    <n v="2"/>
    <x v="0"/>
    <x v="952"/>
    <n v="20763"/>
    <n v="3"/>
    <s v="Y"/>
    <x v="0"/>
    <n v="16"/>
    <n v="3"/>
    <n v="4"/>
    <n v="80"/>
    <n v="0"/>
    <n v="15"/>
    <n v="3"/>
    <n v="3"/>
    <n v="5"/>
    <n v="4"/>
    <n v="0"/>
    <n v="1"/>
  </r>
  <r>
    <n v="31"/>
    <x v="2"/>
    <x v="0"/>
    <n v="1"/>
    <x v="1"/>
    <n v="667"/>
    <x v="0"/>
    <x v="0"/>
    <n v="4"/>
    <x v="2"/>
    <x v="0"/>
    <n v="2"/>
    <x v="0"/>
    <n v="50"/>
    <x v="3"/>
    <n v="1"/>
    <x v="6"/>
    <n v="3"/>
    <x v="0"/>
    <x v="953"/>
    <n v="16154"/>
    <n v="1"/>
    <s v="Y"/>
    <x v="1"/>
    <n v="12"/>
    <n v="3"/>
    <n v="2"/>
    <n v="80"/>
    <n v="0"/>
    <n v="1"/>
    <n v="3"/>
    <n v="3"/>
    <n v="1"/>
    <n v="0"/>
    <n v="0"/>
    <n v="0"/>
  </r>
  <r>
    <n v="30"/>
    <x v="2"/>
    <x v="1"/>
    <n v="0"/>
    <x v="0"/>
    <n v="855"/>
    <x v="0"/>
    <x v="15"/>
    <n v="4"/>
    <x v="2"/>
    <x v="3"/>
    <n v="4"/>
    <x v="0"/>
    <n v="73"/>
    <x v="0"/>
    <n v="2"/>
    <x v="0"/>
    <n v="1"/>
    <x v="2"/>
    <x v="586"/>
    <n v="12761"/>
    <n v="7"/>
    <s v="Y"/>
    <x v="1"/>
    <n v="14"/>
    <n v="3"/>
    <n v="2"/>
    <n v="80"/>
    <n v="2"/>
    <n v="8"/>
    <n v="3"/>
    <n v="3"/>
    <n v="3"/>
    <n v="2"/>
    <n v="0"/>
    <n v="2"/>
  </r>
  <r>
    <n v="31"/>
    <x v="2"/>
    <x v="1"/>
    <n v="0"/>
    <x v="0"/>
    <n v="182"/>
    <x v="1"/>
    <x v="1"/>
    <n v="5"/>
    <x v="4"/>
    <x v="0"/>
    <n v="1"/>
    <x v="0"/>
    <n v="93"/>
    <x v="0"/>
    <n v="4"/>
    <x v="7"/>
    <n v="2"/>
    <x v="0"/>
    <x v="954"/>
    <n v="8847"/>
    <n v="3"/>
    <s v="Y"/>
    <x v="1"/>
    <n v="11"/>
    <n v="3"/>
    <n v="3"/>
    <n v="80"/>
    <n v="0"/>
    <n v="9"/>
    <n v="3"/>
    <n v="4"/>
    <n v="3"/>
    <n v="2"/>
    <n v="1"/>
    <n v="0"/>
  </r>
  <r>
    <n v="34"/>
    <x v="2"/>
    <x v="1"/>
    <n v="0"/>
    <x v="1"/>
    <n v="560"/>
    <x v="1"/>
    <x v="0"/>
    <n v="4"/>
    <x v="2"/>
    <x v="1"/>
    <n v="4"/>
    <x v="1"/>
    <n v="91"/>
    <x v="0"/>
    <n v="1"/>
    <x v="1"/>
    <n v="1"/>
    <x v="2"/>
    <x v="932"/>
    <n v="20284"/>
    <n v="5"/>
    <s v="Y"/>
    <x v="1"/>
    <n v="14"/>
    <n v="3"/>
    <n v="3"/>
    <n v="80"/>
    <n v="2"/>
    <n v="10"/>
    <n v="2"/>
    <n v="3"/>
    <n v="4"/>
    <n v="3"/>
    <n v="1"/>
    <n v="3"/>
  </r>
  <r>
    <n v="31"/>
    <x v="2"/>
    <x v="0"/>
    <n v="1"/>
    <x v="0"/>
    <n v="202"/>
    <x v="1"/>
    <x v="1"/>
    <n v="3"/>
    <x v="3"/>
    <x v="0"/>
    <n v="1"/>
    <x v="0"/>
    <n v="34"/>
    <x v="1"/>
    <n v="1"/>
    <x v="1"/>
    <n v="2"/>
    <x v="0"/>
    <x v="955"/>
    <n v="22262"/>
    <n v="1"/>
    <s v="Y"/>
    <x v="1"/>
    <n v="12"/>
    <n v="3"/>
    <n v="3"/>
    <n v="80"/>
    <n v="0"/>
    <n v="1"/>
    <n v="3"/>
    <n v="4"/>
    <n v="1"/>
    <n v="0"/>
    <n v="0"/>
    <n v="0"/>
  </r>
  <r>
    <n v="27"/>
    <x v="2"/>
    <x v="1"/>
    <n v="0"/>
    <x v="0"/>
    <n v="1377"/>
    <x v="1"/>
    <x v="13"/>
    <n v="1"/>
    <x v="1"/>
    <x v="0"/>
    <n v="2"/>
    <x v="1"/>
    <n v="91"/>
    <x v="0"/>
    <n v="1"/>
    <x v="2"/>
    <n v="1"/>
    <x v="1"/>
    <x v="956"/>
    <n v="7679"/>
    <n v="0"/>
    <s v="Y"/>
    <x v="1"/>
    <n v="14"/>
    <n v="3"/>
    <n v="2"/>
    <n v="80"/>
    <n v="0"/>
    <n v="6"/>
    <n v="3"/>
    <n v="4"/>
    <n v="5"/>
    <n v="0"/>
    <n v="1"/>
    <n v="4"/>
  </r>
  <r>
    <n v="36"/>
    <x v="0"/>
    <x v="1"/>
    <n v="0"/>
    <x v="0"/>
    <n v="172"/>
    <x v="1"/>
    <x v="18"/>
    <n v="4"/>
    <x v="2"/>
    <x v="0"/>
    <n v="1"/>
    <x v="1"/>
    <n v="37"/>
    <x v="1"/>
    <n v="2"/>
    <x v="2"/>
    <n v="4"/>
    <x v="0"/>
    <x v="957"/>
    <n v="22604"/>
    <n v="1"/>
    <s v="Y"/>
    <x v="1"/>
    <n v="16"/>
    <n v="3"/>
    <n v="3"/>
    <n v="80"/>
    <n v="0"/>
    <n v="10"/>
    <n v="2"/>
    <n v="2"/>
    <n v="10"/>
    <n v="4"/>
    <n v="1"/>
    <n v="8"/>
  </r>
  <r>
    <n v="36"/>
    <x v="0"/>
    <x v="1"/>
    <n v="0"/>
    <x v="0"/>
    <n v="329"/>
    <x v="0"/>
    <x v="7"/>
    <n v="4"/>
    <x v="2"/>
    <x v="3"/>
    <n v="3"/>
    <x v="0"/>
    <n v="98"/>
    <x v="1"/>
    <n v="2"/>
    <x v="0"/>
    <n v="1"/>
    <x v="1"/>
    <x v="958"/>
    <n v="13494"/>
    <n v="4"/>
    <s v="Y"/>
    <x v="1"/>
    <n v="13"/>
    <n v="3"/>
    <n v="1"/>
    <n v="80"/>
    <n v="2"/>
    <n v="11"/>
    <n v="3"/>
    <n v="2"/>
    <n v="3"/>
    <n v="2"/>
    <n v="0"/>
    <n v="2"/>
  </r>
  <r>
    <n v="47"/>
    <x v="1"/>
    <x v="1"/>
    <n v="0"/>
    <x v="0"/>
    <n v="465"/>
    <x v="1"/>
    <x v="0"/>
    <n v="3"/>
    <x v="3"/>
    <x v="4"/>
    <n v="1"/>
    <x v="1"/>
    <n v="74"/>
    <x v="0"/>
    <n v="1"/>
    <x v="1"/>
    <n v="4"/>
    <x v="1"/>
    <x v="959"/>
    <n v="10205"/>
    <n v="7"/>
    <s v="Y"/>
    <x v="1"/>
    <n v="12"/>
    <n v="3"/>
    <n v="3"/>
    <n v="80"/>
    <n v="1"/>
    <n v="17"/>
    <n v="2"/>
    <n v="2"/>
    <n v="6"/>
    <n v="5"/>
    <n v="1"/>
    <n v="2"/>
  </r>
  <r>
    <n v="25"/>
    <x v="2"/>
    <x v="0"/>
    <n v="1"/>
    <x v="0"/>
    <n v="383"/>
    <x v="0"/>
    <x v="14"/>
    <n v="2"/>
    <x v="0"/>
    <x v="0"/>
    <n v="1"/>
    <x v="1"/>
    <n v="68"/>
    <x v="1"/>
    <n v="1"/>
    <x v="6"/>
    <n v="1"/>
    <x v="1"/>
    <x v="960"/>
    <n v="15182"/>
    <n v="3"/>
    <s v="Y"/>
    <x v="1"/>
    <n v="12"/>
    <n v="3"/>
    <n v="1"/>
    <n v="80"/>
    <n v="0"/>
    <n v="6"/>
    <n v="2"/>
    <n v="3"/>
    <n v="3"/>
    <n v="2"/>
    <n v="2"/>
    <n v="2"/>
  </r>
  <r>
    <n v="37"/>
    <x v="0"/>
    <x v="1"/>
    <n v="0"/>
    <x v="2"/>
    <n v="1413"/>
    <x v="1"/>
    <x v="12"/>
    <n v="2"/>
    <x v="0"/>
    <x v="4"/>
    <n v="3"/>
    <x v="1"/>
    <n v="84"/>
    <x v="2"/>
    <n v="1"/>
    <x v="2"/>
    <n v="3"/>
    <x v="0"/>
    <x v="961"/>
    <n v="25470"/>
    <n v="0"/>
    <s v="Y"/>
    <x v="1"/>
    <n v="14"/>
    <n v="3"/>
    <n v="1"/>
    <n v="80"/>
    <n v="0"/>
    <n v="7"/>
    <n v="2"/>
    <n v="1"/>
    <n v="6"/>
    <n v="5"/>
    <n v="1"/>
    <n v="3"/>
  </r>
  <r>
    <n v="56"/>
    <x v="3"/>
    <x v="1"/>
    <n v="0"/>
    <x v="0"/>
    <n v="1255"/>
    <x v="1"/>
    <x v="0"/>
    <n v="2"/>
    <x v="0"/>
    <x v="0"/>
    <n v="1"/>
    <x v="0"/>
    <n v="90"/>
    <x v="0"/>
    <n v="1"/>
    <x v="1"/>
    <n v="1"/>
    <x v="1"/>
    <x v="962"/>
    <n v="10494"/>
    <n v="2"/>
    <s v="Y"/>
    <x v="1"/>
    <n v="22"/>
    <n v="4"/>
    <n v="4"/>
    <n v="80"/>
    <n v="1"/>
    <n v="5"/>
    <n v="3"/>
    <n v="4"/>
    <n v="3"/>
    <n v="2"/>
    <n v="1"/>
    <n v="0"/>
  </r>
  <r>
    <n v="47"/>
    <x v="1"/>
    <x v="1"/>
    <n v="0"/>
    <x v="0"/>
    <n v="359"/>
    <x v="1"/>
    <x v="2"/>
    <n v="4"/>
    <x v="2"/>
    <x v="2"/>
    <n v="1"/>
    <x v="0"/>
    <n v="82"/>
    <x v="0"/>
    <n v="4"/>
    <x v="7"/>
    <n v="3"/>
    <x v="1"/>
    <x v="963"/>
    <n v="26703"/>
    <n v="3"/>
    <s v="Y"/>
    <x v="1"/>
    <n v="19"/>
    <n v="3"/>
    <n v="2"/>
    <n v="80"/>
    <n v="2"/>
    <n v="26"/>
    <n v="2"/>
    <n v="4"/>
    <n v="20"/>
    <n v="17"/>
    <n v="5"/>
    <n v="6"/>
  </r>
  <r>
    <n v="24"/>
    <x v="4"/>
    <x v="1"/>
    <n v="0"/>
    <x v="0"/>
    <n v="1476"/>
    <x v="0"/>
    <x v="18"/>
    <n v="1"/>
    <x v="1"/>
    <x v="2"/>
    <n v="4"/>
    <x v="0"/>
    <n v="42"/>
    <x v="0"/>
    <n v="2"/>
    <x v="0"/>
    <n v="3"/>
    <x v="1"/>
    <x v="964"/>
    <n v="15211"/>
    <n v="1"/>
    <s v="Y"/>
    <x v="0"/>
    <n v="12"/>
    <n v="3"/>
    <n v="3"/>
    <n v="80"/>
    <n v="2"/>
    <n v="5"/>
    <n v="3"/>
    <n v="3"/>
    <n v="5"/>
    <n v="4"/>
    <n v="0"/>
    <n v="3"/>
  </r>
  <r>
    <n v="32"/>
    <x v="2"/>
    <x v="1"/>
    <n v="0"/>
    <x v="0"/>
    <n v="601"/>
    <x v="0"/>
    <x v="15"/>
    <n v="5"/>
    <x v="4"/>
    <x v="3"/>
    <n v="4"/>
    <x v="1"/>
    <n v="97"/>
    <x v="0"/>
    <n v="2"/>
    <x v="0"/>
    <n v="4"/>
    <x v="1"/>
    <x v="965"/>
    <n v="23343"/>
    <n v="4"/>
    <s v="Y"/>
    <x v="1"/>
    <n v="12"/>
    <n v="3"/>
    <n v="3"/>
    <n v="80"/>
    <n v="1"/>
    <n v="7"/>
    <n v="3"/>
    <n v="2"/>
    <n v="4"/>
    <n v="3"/>
    <n v="0"/>
    <n v="3"/>
  </r>
  <r>
    <n v="34"/>
    <x v="2"/>
    <x v="1"/>
    <n v="0"/>
    <x v="0"/>
    <n v="401"/>
    <x v="1"/>
    <x v="0"/>
    <n v="3"/>
    <x v="3"/>
    <x v="0"/>
    <n v="4"/>
    <x v="0"/>
    <n v="86"/>
    <x v="1"/>
    <n v="1"/>
    <x v="2"/>
    <n v="2"/>
    <x v="1"/>
    <x v="635"/>
    <n v="3708"/>
    <n v="5"/>
    <s v="Y"/>
    <x v="1"/>
    <n v="17"/>
    <n v="3"/>
    <n v="1"/>
    <n v="80"/>
    <n v="1"/>
    <n v="7"/>
    <n v="2"/>
    <n v="2"/>
    <n v="5"/>
    <n v="4"/>
    <n v="0"/>
    <n v="2"/>
  </r>
  <r>
    <n v="41"/>
    <x v="0"/>
    <x v="1"/>
    <n v="0"/>
    <x v="0"/>
    <n v="1283"/>
    <x v="1"/>
    <x v="12"/>
    <n v="5"/>
    <x v="4"/>
    <x v="2"/>
    <n v="2"/>
    <x v="1"/>
    <n v="90"/>
    <x v="2"/>
    <n v="1"/>
    <x v="1"/>
    <n v="3"/>
    <x v="1"/>
    <x v="459"/>
    <n v="5561"/>
    <n v="2"/>
    <s v="Y"/>
    <x v="0"/>
    <n v="12"/>
    <n v="3"/>
    <n v="1"/>
    <n v="80"/>
    <n v="0"/>
    <n v="7"/>
    <n v="5"/>
    <n v="2"/>
    <n v="4"/>
    <n v="2"/>
    <n v="0"/>
    <n v="3"/>
  </r>
  <r>
    <n v="40"/>
    <x v="0"/>
    <x v="1"/>
    <n v="0"/>
    <x v="2"/>
    <n v="663"/>
    <x v="1"/>
    <x v="14"/>
    <n v="4"/>
    <x v="2"/>
    <x v="1"/>
    <n v="3"/>
    <x v="1"/>
    <n v="81"/>
    <x v="0"/>
    <n v="2"/>
    <x v="2"/>
    <n v="3"/>
    <x v="2"/>
    <x v="966"/>
    <n v="23099"/>
    <n v="3"/>
    <s v="Y"/>
    <x v="1"/>
    <n v="11"/>
    <n v="3"/>
    <n v="3"/>
    <n v="80"/>
    <n v="2"/>
    <n v="11"/>
    <n v="2"/>
    <n v="4"/>
    <n v="8"/>
    <n v="7"/>
    <n v="0"/>
    <n v="7"/>
  </r>
  <r>
    <n v="31"/>
    <x v="2"/>
    <x v="1"/>
    <n v="0"/>
    <x v="0"/>
    <n v="326"/>
    <x v="0"/>
    <x v="1"/>
    <n v="2"/>
    <x v="0"/>
    <x v="0"/>
    <n v="1"/>
    <x v="1"/>
    <n v="31"/>
    <x v="0"/>
    <n v="3"/>
    <x v="0"/>
    <n v="4"/>
    <x v="2"/>
    <x v="967"/>
    <n v="8386"/>
    <n v="1"/>
    <s v="Y"/>
    <x v="1"/>
    <n v="18"/>
    <n v="3"/>
    <n v="1"/>
    <n v="80"/>
    <n v="1"/>
    <n v="13"/>
    <n v="5"/>
    <n v="3"/>
    <n v="13"/>
    <n v="7"/>
    <n v="9"/>
    <n v="9"/>
  </r>
  <r>
    <n v="46"/>
    <x v="1"/>
    <x v="0"/>
    <n v="1"/>
    <x v="0"/>
    <n v="377"/>
    <x v="0"/>
    <x v="14"/>
    <n v="3"/>
    <x v="3"/>
    <x v="3"/>
    <n v="1"/>
    <x v="1"/>
    <n v="52"/>
    <x v="0"/>
    <n v="3"/>
    <x v="0"/>
    <n v="4"/>
    <x v="2"/>
    <x v="61"/>
    <n v="15986"/>
    <n v="4"/>
    <s v="Y"/>
    <x v="1"/>
    <n v="11"/>
    <n v="3"/>
    <n v="1"/>
    <n v="80"/>
    <n v="1"/>
    <n v="28"/>
    <n v="1"/>
    <n v="4"/>
    <n v="7"/>
    <n v="7"/>
    <n v="4"/>
    <n v="3"/>
  </r>
  <r>
    <n v="39"/>
    <x v="0"/>
    <x v="0"/>
    <n v="1"/>
    <x v="2"/>
    <n v="592"/>
    <x v="1"/>
    <x v="2"/>
    <n v="3"/>
    <x v="3"/>
    <x v="0"/>
    <n v="1"/>
    <x v="0"/>
    <n v="54"/>
    <x v="1"/>
    <n v="1"/>
    <x v="2"/>
    <n v="1"/>
    <x v="0"/>
    <x v="968"/>
    <n v="17181"/>
    <n v="2"/>
    <s v="Y"/>
    <x v="0"/>
    <n v="23"/>
    <n v="4"/>
    <n v="2"/>
    <n v="80"/>
    <n v="0"/>
    <n v="11"/>
    <n v="2"/>
    <n v="4"/>
    <n v="1"/>
    <n v="0"/>
    <n v="0"/>
    <n v="0"/>
  </r>
  <r>
    <n v="31"/>
    <x v="2"/>
    <x v="0"/>
    <n v="1"/>
    <x v="1"/>
    <n v="1445"/>
    <x v="1"/>
    <x v="0"/>
    <n v="5"/>
    <x v="4"/>
    <x v="0"/>
    <n v="3"/>
    <x v="0"/>
    <n v="100"/>
    <x v="2"/>
    <n v="3"/>
    <x v="3"/>
    <n v="2"/>
    <x v="0"/>
    <x v="969"/>
    <n v="8931"/>
    <n v="1"/>
    <s v="Y"/>
    <x v="1"/>
    <n v="11"/>
    <n v="3"/>
    <n v="1"/>
    <n v="80"/>
    <n v="0"/>
    <n v="10"/>
    <n v="2"/>
    <n v="3"/>
    <n v="10"/>
    <n v="8"/>
    <n v="4"/>
    <n v="7"/>
  </r>
  <r>
    <n v="45"/>
    <x v="1"/>
    <x v="1"/>
    <n v="0"/>
    <x v="0"/>
    <n v="1038"/>
    <x v="1"/>
    <x v="25"/>
    <n v="3"/>
    <x v="3"/>
    <x v="2"/>
    <n v="2"/>
    <x v="1"/>
    <n v="95"/>
    <x v="3"/>
    <n v="3"/>
    <x v="4"/>
    <n v="1"/>
    <x v="2"/>
    <x v="970"/>
    <n v="19863"/>
    <n v="2"/>
    <s v="Y"/>
    <x v="0"/>
    <n v="18"/>
    <n v="3"/>
    <n v="2"/>
    <n v="80"/>
    <n v="1"/>
    <n v="24"/>
    <n v="2"/>
    <n v="3"/>
    <n v="7"/>
    <n v="7"/>
    <n v="0"/>
    <n v="7"/>
  </r>
  <r>
    <n v="31"/>
    <x v="2"/>
    <x v="1"/>
    <n v="0"/>
    <x v="0"/>
    <n v="1398"/>
    <x v="2"/>
    <x v="1"/>
    <n v="2"/>
    <x v="0"/>
    <x v="2"/>
    <n v="4"/>
    <x v="0"/>
    <n v="96"/>
    <x v="2"/>
    <n v="1"/>
    <x v="8"/>
    <n v="2"/>
    <x v="0"/>
    <x v="971"/>
    <n v="24609"/>
    <n v="9"/>
    <s v="Y"/>
    <x v="1"/>
    <n v="18"/>
    <n v="3"/>
    <n v="4"/>
    <n v="80"/>
    <n v="0"/>
    <n v="8"/>
    <n v="3"/>
    <n v="3"/>
    <n v="3"/>
    <n v="2"/>
    <n v="0"/>
    <n v="2"/>
  </r>
  <r>
    <n v="31"/>
    <x v="2"/>
    <x v="0"/>
    <n v="1"/>
    <x v="1"/>
    <n v="523"/>
    <x v="1"/>
    <x v="2"/>
    <n v="3"/>
    <x v="3"/>
    <x v="0"/>
    <n v="2"/>
    <x v="1"/>
    <n v="94"/>
    <x v="0"/>
    <n v="1"/>
    <x v="2"/>
    <n v="4"/>
    <x v="1"/>
    <x v="972"/>
    <n v="21081"/>
    <n v="6"/>
    <s v="Y"/>
    <x v="0"/>
    <n v="13"/>
    <n v="3"/>
    <n v="3"/>
    <n v="80"/>
    <n v="1"/>
    <n v="7"/>
    <n v="2"/>
    <n v="1"/>
    <n v="2"/>
    <n v="2"/>
    <n v="2"/>
    <n v="2"/>
  </r>
  <r>
    <n v="45"/>
    <x v="1"/>
    <x v="1"/>
    <n v="0"/>
    <x v="0"/>
    <n v="1448"/>
    <x v="1"/>
    <x v="22"/>
    <n v="3"/>
    <x v="3"/>
    <x v="4"/>
    <n v="2"/>
    <x v="1"/>
    <n v="55"/>
    <x v="0"/>
    <n v="3"/>
    <x v="3"/>
    <n v="4"/>
    <x v="1"/>
    <x v="973"/>
    <n v="14720"/>
    <n v="4"/>
    <s v="Y"/>
    <x v="0"/>
    <n v="18"/>
    <n v="3"/>
    <n v="4"/>
    <n v="80"/>
    <n v="2"/>
    <n v="10"/>
    <n v="4"/>
    <n v="4"/>
    <n v="3"/>
    <n v="1"/>
    <n v="1"/>
    <n v="2"/>
  </r>
  <r>
    <n v="48"/>
    <x v="1"/>
    <x v="1"/>
    <n v="0"/>
    <x v="0"/>
    <n v="1221"/>
    <x v="0"/>
    <x v="15"/>
    <n v="3"/>
    <x v="3"/>
    <x v="3"/>
    <n v="3"/>
    <x v="1"/>
    <n v="96"/>
    <x v="0"/>
    <n v="2"/>
    <x v="0"/>
    <n v="1"/>
    <x v="2"/>
    <x v="974"/>
    <n v="24795"/>
    <n v="4"/>
    <s v="Y"/>
    <x v="1"/>
    <n v="11"/>
    <n v="3"/>
    <n v="1"/>
    <n v="80"/>
    <n v="3"/>
    <n v="15"/>
    <n v="3"/>
    <n v="3"/>
    <n v="2"/>
    <n v="2"/>
    <n v="2"/>
    <n v="2"/>
  </r>
  <r>
    <n v="34"/>
    <x v="2"/>
    <x v="0"/>
    <n v="1"/>
    <x v="0"/>
    <n v="1107"/>
    <x v="2"/>
    <x v="14"/>
    <n v="4"/>
    <x v="2"/>
    <x v="4"/>
    <n v="1"/>
    <x v="0"/>
    <n v="52"/>
    <x v="0"/>
    <n v="1"/>
    <x v="8"/>
    <n v="3"/>
    <x v="1"/>
    <x v="975"/>
    <n v="3072"/>
    <n v="1"/>
    <s v="Y"/>
    <x v="1"/>
    <n v="15"/>
    <n v="3"/>
    <n v="4"/>
    <n v="80"/>
    <n v="0"/>
    <n v="2"/>
    <n v="0"/>
    <n v="3"/>
    <n v="2"/>
    <n v="2"/>
    <n v="2"/>
    <n v="2"/>
  </r>
  <r>
    <n v="40"/>
    <x v="0"/>
    <x v="1"/>
    <n v="0"/>
    <x v="2"/>
    <n v="218"/>
    <x v="1"/>
    <x v="1"/>
    <n v="1"/>
    <x v="1"/>
    <x v="2"/>
    <n v="4"/>
    <x v="1"/>
    <n v="55"/>
    <x v="1"/>
    <n v="3"/>
    <x v="7"/>
    <n v="2"/>
    <x v="2"/>
    <x v="976"/>
    <n v="25178"/>
    <n v="2"/>
    <s v="Y"/>
    <x v="1"/>
    <n v="11"/>
    <n v="3"/>
    <n v="3"/>
    <n v="80"/>
    <n v="1"/>
    <n v="16"/>
    <n v="5"/>
    <n v="3"/>
    <n v="9"/>
    <n v="8"/>
    <n v="4"/>
    <n v="8"/>
  </r>
  <r>
    <n v="28"/>
    <x v="2"/>
    <x v="1"/>
    <n v="0"/>
    <x v="0"/>
    <n v="866"/>
    <x v="0"/>
    <x v="12"/>
    <n v="3"/>
    <x v="3"/>
    <x v="2"/>
    <n v="4"/>
    <x v="1"/>
    <n v="84"/>
    <x v="0"/>
    <n v="2"/>
    <x v="0"/>
    <n v="1"/>
    <x v="0"/>
    <x v="977"/>
    <n v="23490"/>
    <n v="0"/>
    <s v="Y"/>
    <x v="1"/>
    <n v="18"/>
    <n v="3"/>
    <n v="4"/>
    <n v="80"/>
    <n v="0"/>
    <n v="6"/>
    <n v="4"/>
    <n v="3"/>
    <n v="5"/>
    <n v="4"/>
    <n v="1"/>
    <n v="3"/>
  </r>
  <r>
    <n v="44"/>
    <x v="0"/>
    <x v="1"/>
    <n v="0"/>
    <x v="2"/>
    <n v="981"/>
    <x v="1"/>
    <x v="12"/>
    <n v="3"/>
    <x v="3"/>
    <x v="0"/>
    <n v="3"/>
    <x v="1"/>
    <n v="90"/>
    <x v="1"/>
    <n v="1"/>
    <x v="2"/>
    <n v="3"/>
    <x v="0"/>
    <x v="612"/>
    <n v="7973"/>
    <n v="3"/>
    <s v="Y"/>
    <x v="1"/>
    <n v="14"/>
    <n v="3"/>
    <n v="4"/>
    <n v="80"/>
    <n v="0"/>
    <n v="7"/>
    <n v="5"/>
    <n v="3"/>
    <n v="5"/>
    <n v="2"/>
    <n v="0"/>
    <n v="3"/>
  </r>
  <r>
    <n v="53"/>
    <x v="1"/>
    <x v="1"/>
    <n v="0"/>
    <x v="0"/>
    <n v="447"/>
    <x v="1"/>
    <x v="2"/>
    <n v="3"/>
    <x v="3"/>
    <x v="2"/>
    <n v="4"/>
    <x v="1"/>
    <n v="39"/>
    <x v="2"/>
    <n v="4"/>
    <x v="7"/>
    <n v="2"/>
    <x v="0"/>
    <x v="978"/>
    <n v="19764"/>
    <n v="4"/>
    <s v="Y"/>
    <x v="1"/>
    <n v="12"/>
    <n v="3"/>
    <n v="2"/>
    <n v="80"/>
    <n v="0"/>
    <n v="35"/>
    <n v="2"/>
    <n v="2"/>
    <n v="9"/>
    <n v="8"/>
    <n v="8"/>
    <n v="8"/>
  </r>
  <r>
    <n v="49"/>
    <x v="1"/>
    <x v="1"/>
    <n v="0"/>
    <x v="0"/>
    <n v="1495"/>
    <x v="1"/>
    <x v="12"/>
    <n v="4"/>
    <x v="2"/>
    <x v="4"/>
    <n v="1"/>
    <x v="1"/>
    <n v="96"/>
    <x v="0"/>
    <n v="2"/>
    <x v="4"/>
    <n v="3"/>
    <x v="1"/>
    <x v="979"/>
    <n v="21534"/>
    <n v="2"/>
    <s v="Y"/>
    <x v="1"/>
    <n v="14"/>
    <n v="3"/>
    <n v="2"/>
    <n v="80"/>
    <n v="1"/>
    <n v="20"/>
    <n v="0"/>
    <n v="2"/>
    <n v="3"/>
    <n v="2"/>
    <n v="1"/>
    <n v="2"/>
  </r>
  <r>
    <n v="40"/>
    <x v="0"/>
    <x v="1"/>
    <n v="0"/>
    <x v="0"/>
    <n v="896"/>
    <x v="1"/>
    <x v="2"/>
    <n v="3"/>
    <x v="3"/>
    <x v="2"/>
    <n v="3"/>
    <x v="1"/>
    <n v="68"/>
    <x v="0"/>
    <n v="1"/>
    <x v="1"/>
    <n v="3"/>
    <x v="2"/>
    <x v="980"/>
    <n v="8045"/>
    <n v="2"/>
    <s v="Y"/>
    <x v="1"/>
    <n v="14"/>
    <n v="3"/>
    <n v="3"/>
    <n v="80"/>
    <n v="1"/>
    <n v="8"/>
    <n v="3"/>
    <n v="4"/>
    <n v="3"/>
    <n v="1"/>
    <n v="1"/>
    <n v="2"/>
  </r>
  <r>
    <n v="44"/>
    <x v="0"/>
    <x v="1"/>
    <n v="0"/>
    <x v="0"/>
    <n v="1467"/>
    <x v="1"/>
    <x v="25"/>
    <n v="3"/>
    <x v="3"/>
    <x v="0"/>
    <n v="4"/>
    <x v="1"/>
    <n v="49"/>
    <x v="0"/>
    <n v="1"/>
    <x v="1"/>
    <n v="2"/>
    <x v="0"/>
    <x v="959"/>
    <n v="21158"/>
    <n v="1"/>
    <s v="Y"/>
    <x v="1"/>
    <n v="13"/>
    <n v="3"/>
    <n v="3"/>
    <n v="80"/>
    <n v="0"/>
    <n v="6"/>
    <n v="3"/>
    <n v="2"/>
    <n v="5"/>
    <n v="2"/>
    <n v="1"/>
    <n v="3"/>
  </r>
  <r>
    <n v="33"/>
    <x v="2"/>
    <x v="1"/>
    <n v="0"/>
    <x v="1"/>
    <n v="430"/>
    <x v="0"/>
    <x v="15"/>
    <n v="3"/>
    <x v="3"/>
    <x v="2"/>
    <n v="4"/>
    <x v="1"/>
    <n v="54"/>
    <x v="0"/>
    <n v="2"/>
    <x v="0"/>
    <n v="1"/>
    <x v="1"/>
    <x v="981"/>
    <n v="17456"/>
    <n v="0"/>
    <s v="Y"/>
    <x v="1"/>
    <n v="14"/>
    <n v="3"/>
    <n v="1"/>
    <n v="80"/>
    <n v="2"/>
    <n v="5"/>
    <n v="2"/>
    <n v="3"/>
    <n v="4"/>
    <n v="3"/>
    <n v="0"/>
    <n v="3"/>
  </r>
  <r>
    <n v="34"/>
    <x v="2"/>
    <x v="1"/>
    <n v="0"/>
    <x v="0"/>
    <n v="1326"/>
    <x v="0"/>
    <x v="3"/>
    <n v="3"/>
    <x v="3"/>
    <x v="1"/>
    <n v="4"/>
    <x v="1"/>
    <n v="81"/>
    <x v="3"/>
    <n v="2"/>
    <x v="0"/>
    <n v="1"/>
    <x v="0"/>
    <x v="982"/>
    <n v="15891"/>
    <n v="3"/>
    <s v="Y"/>
    <x v="1"/>
    <n v="18"/>
    <n v="3"/>
    <n v="4"/>
    <n v="80"/>
    <n v="0"/>
    <n v="15"/>
    <n v="2"/>
    <n v="3"/>
    <n v="13"/>
    <n v="9"/>
    <n v="3"/>
    <n v="12"/>
  </r>
  <r>
    <n v="30"/>
    <x v="2"/>
    <x v="1"/>
    <n v="0"/>
    <x v="0"/>
    <n v="1358"/>
    <x v="0"/>
    <x v="7"/>
    <n v="1"/>
    <x v="1"/>
    <x v="0"/>
    <n v="4"/>
    <x v="1"/>
    <n v="96"/>
    <x v="0"/>
    <n v="2"/>
    <x v="0"/>
    <n v="3"/>
    <x v="1"/>
    <x v="983"/>
    <n v="2939"/>
    <n v="8"/>
    <s v="Y"/>
    <x v="1"/>
    <n v="15"/>
    <n v="3"/>
    <n v="3"/>
    <n v="80"/>
    <n v="2"/>
    <n v="4"/>
    <n v="2"/>
    <n v="2"/>
    <n v="2"/>
    <n v="1"/>
    <n v="2"/>
    <n v="2"/>
  </r>
  <r>
    <n v="42"/>
    <x v="0"/>
    <x v="1"/>
    <n v="0"/>
    <x v="1"/>
    <n v="748"/>
    <x v="1"/>
    <x v="14"/>
    <n v="2"/>
    <x v="0"/>
    <x v="2"/>
    <n v="1"/>
    <x v="0"/>
    <n v="74"/>
    <x v="0"/>
    <n v="1"/>
    <x v="2"/>
    <n v="4"/>
    <x v="0"/>
    <x v="984"/>
    <n v="16458"/>
    <n v="1"/>
    <s v="Y"/>
    <x v="1"/>
    <n v="13"/>
    <n v="3"/>
    <n v="3"/>
    <n v="80"/>
    <n v="0"/>
    <n v="12"/>
    <n v="3"/>
    <n v="3"/>
    <n v="12"/>
    <n v="9"/>
    <n v="5"/>
    <n v="8"/>
  </r>
  <r>
    <n v="44"/>
    <x v="0"/>
    <x v="1"/>
    <n v="0"/>
    <x v="1"/>
    <n v="383"/>
    <x v="0"/>
    <x v="0"/>
    <n v="5"/>
    <x v="4"/>
    <x v="3"/>
    <n v="1"/>
    <x v="0"/>
    <n v="79"/>
    <x v="0"/>
    <n v="2"/>
    <x v="0"/>
    <n v="3"/>
    <x v="1"/>
    <x v="985"/>
    <n v="9282"/>
    <n v="7"/>
    <s v="Y"/>
    <x v="1"/>
    <n v="12"/>
    <n v="3"/>
    <n v="3"/>
    <n v="80"/>
    <n v="1"/>
    <n v="11"/>
    <n v="4"/>
    <n v="2"/>
    <n v="1"/>
    <n v="0"/>
    <n v="0"/>
    <n v="0"/>
  </r>
  <r>
    <n v="30"/>
    <x v="2"/>
    <x v="1"/>
    <n v="0"/>
    <x v="2"/>
    <n v="990"/>
    <x v="1"/>
    <x v="15"/>
    <n v="3"/>
    <x v="3"/>
    <x v="4"/>
    <n v="3"/>
    <x v="1"/>
    <n v="64"/>
    <x v="0"/>
    <n v="1"/>
    <x v="1"/>
    <n v="3"/>
    <x v="2"/>
    <x v="986"/>
    <n v="7152"/>
    <n v="1"/>
    <s v="Y"/>
    <x v="1"/>
    <n v="13"/>
    <n v="3"/>
    <n v="2"/>
    <n v="80"/>
    <n v="2"/>
    <n v="1"/>
    <n v="2"/>
    <n v="2"/>
    <n v="1"/>
    <n v="0"/>
    <n v="0"/>
    <n v="0"/>
  </r>
  <r>
    <n v="57"/>
    <x v="3"/>
    <x v="1"/>
    <n v="0"/>
    <x v="0"/>
    <n v="405"/>
    <x v="1"/>
    <x v="0"/>
    <n v="2"/>
    <x v="0"/>
    <x v="0"/>
    <n v="2"/>
    <x v="1"/>
    <n v="93"/>
    <x v="2"/>
    <n v="2"/>
    <x v="1"/>
    <n v="3"/>
    <x v="1"/>
    <x v="987"/>
    <n v="2721"/>
    <n v="0"/>
    <s v="Y"/>
    <x v="1"/>
    <n v="24"/>
    <n v="4"/>
    <n v="1"/>
    <n v="80"/>
    <n v="1"/>
    <n v="13"/>
    <n v="2"/>
    <n v="2"/>
    <n v="12"/>
    <n v="9"/>
    <n v="2"/>
    <n v="8"/>
  </r>
  <r>
    <n v="49"/>
    <x v="1"/>
    <x v="1"/>
    <n v="0"/>
    <x v="0"/>
    <n v="1490"/>
    <x v="1"/>
    <x v="15"/>
    <n v="4"/>
    <x v="2"/>
    <x v="0"/>
    <n v="3"/>
    <x v="1"/>
    <n v="35"/>
    <x v="0"/>
    <n v="3"/>
    <x v="4"/>
    <n v="2"/>
    <x v="2"/>
    <x v="988"/>
    <n v="20948"/>
    <n v="3"/>
    <s v="Y"/>
    <x v="1"/>
    <n v="14"/>
    <n v="3"/>
    <n v="2"/>
    <n v="80"/>
    <n v="2"/>
    <n v="29"/>
    <n v="3"/>
    <n v="3"/>
    <n v="8"/>
    <n v="7"/>
    <n v="0"/>
    <n v="7"/>
  </r>
  <r>
    <n v="34"/>
    <x v="2"/>
    <x v="1"/>
    <n v="0"/>
    <x v="1"/>
    <n v="829"/>
    <x v="1"/>
    <x v="8"/>
    <n v="3"/>
    <x v="3"/>
    <x v="2"/>
    <n v="2"/>
    <x v="1"/>
    <n v="71"/>
    <x v="0"/>
    <n v="4"/>
    <x v="7"/>
    <n v="1"/>
    <x v="2"/>
    <x v="989"/>
    <n v="11929"/>
    <n v="7"/>
    <s v="Y"/>
    <x v="1"/>
    <n v="14"/>
    <n v="3"/>
    <n v="4"/>
    <n v="80"/>
    <n v="2"/>
    <n v="16"/>
    <n v="3"/>
    <n v="2"/>
    <n v="14"/>
    <n v="8"/>
    <n v="6"/>
    <n v="9"/>
  </r>
  <r>
    <n v="28"/>
    <x v="2"/>
    <x v="0"/>
    <n v="1"/>
    <x v="1"/>
    <n v="1496"/>
    <x v="0"/>
    <x v="0"/>
    <n v="3"/>
    <x v="3"/>
    <x v="4"/>
    <n v="1"/>
    <x v="1"/>
    <n v="92"/>
    <x v="0"/>
    <n v="1"/>
    <x v="6"/>
    <n v="3"/>
    <x v="1"/>
    <x v="3"/>
    <n v="15747"/>
    <n v="3"/>
    <s v="Y"/>
    <x v="1"/>
    <n v="15"/>
    <n v="3"/>
    <n v="4"/>
    <n v="80"/>
    <n v="1"/>
    <n v="5"/>
    <n v="3"/>
    <n v="4"/>
    <n v="3"/>
    <n v="2"/>
    <n v="1"/>
    <n v="2"/>
  </r>
  <r>
    <n v="29"/>
    <x v="2"/>
    <x v="0"/>
    <n v="1"/>
    <x v="1"/>
    <n v="115"/>
    <x v="0"/>
    <x v="28"/>
    <n v="3"/>
    <x v="3"/>
    <x v="4"/>
    <n v="1"/>
    <x v="0"/>
    <n v="51"/>
    <x v="0"/>
    <n v="2"/>
    <x v="0"/>
    <n v="2"/>
    <x v="0"/>
    <x v="990"/>
    <n v="17485"/>
    <n v="5"/>
    <s v="Y"/>
    <x v="1"/>
    <n v="11"/>
    <n v="3"/>
    <n v="1"/>
    <n v="80"/>
    <n v="0"/>
    <n v="7"/>
    <n v="4"/>
    <n v="1"/>
    <n v="5"/>
    <n v="3"/>
    <n v="0"/>
    <n v="0"/>
  </r>
  <r>
    <n v="34"/>
    <x v="2"/>
    <x v="0"/>
    <n v="1"/>
    <x v="0"/>
    <n v="790"/>
    <x v="0"/>
    <x v="4"/>
    <n v="4"/>
    <x v="2"/>
    <x v="2"/>
    <n v="1"/>
    <x v="0"/>
    <n v="40"/>
    <x v="1"/>
    <n v="2"/>
    <x v="0"/>
    <n v="2"/>
    <x v="0"/>
    <x v="991"/>
    <n v="7815"/>
    <n v="0"/>
    <s v="Y"/>
    <x v="0"/>
    <n v="23"/>
    <n v="4"/>
    <n v="3"/>
    <n v="80"/>
    <n v="0"/>
    <n v="16"/>
    <n v="2"/>
    <n v="4"/>
    <n v="15"/>
    <n v="9"/>
    <n v="10"/>
    <n v="10"/>
  </r>
  <r>
    <n v="35"/>
    <x v="0"/>
    <x v="1"/>
    <n v="0"/>
    <x v="0"/>
    <n v="660"/>
    <x v="0"/>
    <x v="15"/>
    <n v="1"/>
    <x v="1"/>
    <x v="0"/>
    <n v="4"/>
    <x v="1"/>
    <n v="76"/>
    <x v="0"/>
    <n v="1"/>
    <x v="6"/>
    <n v="3"/>
    <x v="1"/>
    <x v="639"/>
    <n v="16192"/>
    <n v="1"/>
    <s v="Y"/>
    <x v="1"/>
    <n v="13"/>
    <n v="3"/>
    <n v="1"/>
    <n v="80"/>
    <n v="1"/>
    <n v="1"/>
    <n v="3"/>
    <n v="3"/>
    <n v="1"/>
    <n v="0"/>
    <n v="0"/>
    <n v="0"/>
  </r>
  <r>
    <n v="24"/>
    <x v="4"/>
    <x v="0"/>
    <n v="1"/>
    <x v="1"/>
    <n v="381"/>
    <x v="1"/>
    <x v="14"/>
    <n v="3"/>
    <x v="3"/>
    <x v="2"/>
    <n v="2"/>
    <x v="1"/>
    <n v="89"/>
    <x v="0"/>
    <n v="1"/>
    <x v="2"/>
    <n v="1"/>
    <x v="0"/>
    <x v="992"/>
    <n v="16998"/>
    <n v="2"/>
    <s v="Y"/>
    <x v="0"/>
    <n v="11"/>
    <n v="3"/>
    <n v="3"/>
    <n v="80"/>
    <n v="0"/>
    <n v="4"/>
    <n v="2"/>
    <n v="2"/>
    <n v="0"/>
    <n v="0"/>
    <n v="0"/>
    <n v="0"/>
  </r>
  <r>
    <n v="24"/>
    <x v="4"/>
    <x v="1"/>
    <n v="0"/>
    <x v="2"/>
    <n v="830"/>
    <x v="0"/>
    <x v="28"/>
    <n v="2"/>
    <x v="0"/>
    <x v="0"/>
    <n v="4"/>
    <x v="0"/>
    <n v="78"/>
    <x v="0"/>
    <n v="1"/>
    <x v="6"/>
    <n v="2"/>
    <x v="1"/>
    <x v="462"/>
    <n v="7103"/>
    <n v="1"/>
    <s v="Y"/>
    <x v="1"/>
    <n v="13"/>
    <n v="3"/>
    <n v="3"/>
    <n v="80"/>
    <n v="1"/>
    <n v="1"/>
    <n v="2"/>
    <n v="3"/>
    <n v="1"/>
    <n v="0"/>
    <n v="0"/>
    <n v="0"/>
  </r>
  <r>
    <n v="44"/>
    <x v="0"/>
    <x v="1"/>
    <n v="0"/>
    <x v="1"/>
    <n v="1193"/>
    <x v="1"/>
    <x v="2"/>
    <n v="1"/>
    <x v="1"/>
    <x v="2"/>
    <n v="2"/>
    <x v="1"/>
    <n v="86"/>
    <x v="0"/>
    <n v="3"/>
    <x v="3"/>
    <n v="3"/>
    <x v="0"/>
    <x v="993"/>
    <n v="19719"/>
    <n v="5"/>
    <s v="Y"/>
    <x v="0"/>
    <n v="18"/>
    <n v="3"/>
    <n v="2"/>
    <n v="80"/>
    <n v="0"/>
    <n v="16"/>
    <n v="2"/>
    <n v="2"/>
    <n v="2"/>
    <n v="2"/>
    <n v="2"/>
    <n v="2"/>
  </r>
  <r>
    <n v="29"/>
    <x v="2"/>
    <x v="1"/>
    <n v="0"/>
    <x v="0"/>
    <n v="1246"/>
    <x v="0"/>
    <x v="10"/>
    <n v="3"/>
    <x v="3"/>
    <x v="0"/>
    <n v="3"/>
    <x v="1"/>
    <n v="77"/>
    <x v="1"/>
    <n v="2"/>
    <x v="0"/>
    <n v="3"/>
    <x v="2"/>
    <x v="994"/>
    <n v="23757"/>
    <n v="1"/>
    <s v="Y"/>
    <x v="1"/>
    <n v="14"/>
    <n v="3"/>
    <n v="3"/>
    <n v="80"/>
    <n v="2"/>
    <n v="10"/>
    <n v="3"/>
    <n v="3"/>
    <n v="10"/>
    <n v="7"/>
    <n v="0"/>
    <n v="4"/>
  </r>
  <r>
    <n v="30"/>
    <x v="2"/>
    <x v="1"/>
    <n v="0"/>
    <x v="0"/>
    <n v="330"/>
    <x v="2"/>
    <x v="0"/>
    <n v="3"/>
    <x v="3"/>
    <x v="0"/>
    <n v="3"/>
    <x v="1"/>
    <n v="46"/>
    <x v="0"/>
    <n v="1"/>
    <x v="8"/>
    <n v="3"/>
    <x v="2"/>
    <x v="995"/>
    <n v="15428"/>
    <n v="0"/>
    <s v="Y"/>
    <x v="1"/>
    <n v="21"/>
    <n v="4"/>
    <n v="1"/>
    <n v="80"/>
    <n v="1"/>
    <n v="6"/>
    <n v="3"/>
    <n v="4"/>
    <n v="5"/>
    <n v="3"/>
    <n v="1"/>
    <n v="3"/>
  </r>
  <r>
    <n v="55"/>
    <x v="3"/>
    <x v="1"/>
    <n v="0"/>
    <x v="0"/>
    <n v="1229"/>
    <x v="1"/>
    <x v="18"/>
    <n v="4"/>
    <x v="2"/>
    <x v="0"/>
    <n v="4"/>
    <x v="1"/>
    <n v="30"/>
    <x v="0"/>
    <n v="2"/>
    <x v="4"/>
    <n v="3"/>
    <x v="1"/>
    <x v="996"/>
    <n v="16143"/>
    <n v="0"/>
    <s v="Y"/>
    <x v="0"/>
    <n v="16"/>
    <n v="3"/>
    <n v="2"/>
    <n v="80"/>
    <n v="0"/>
    <n v="4"/>
    <n v="2"/>
    <n v="3"/>
    <n v="3"/>
    <n v="2"/>
    <n v="1"/>
    <n v="2"/>
  </r>
  <r>
    <n v="33"/>
    <x v="2"/>
    <x v="1"/>
    <n v="0"/>
    <x v="0"/>
    <n v="1099"/>
    <x v="1"/>
    <x v="18"/>
    <n v="4"/>
    <x v="2"/>
    <x v="2"/>
    <n v="1"/>
    <x v="0"/>
    <n v="82"/>
    <x v="1"/>
    <n v="1"/>
    <x v="2"/>
    <n v="2"/>
    <x v="1"/>
    <x v="997"/>
    <n v="8192"/>
    <n v="8"/>
    <s v="Y"/>
    <x v="1"/>
    <n v="11"/>
    <n v="3"/>
    <n v="4"/>
    <n v="80"/>
    <n v="0"/>
    <n v="8"/>
    <n v="5"/>
    <n v="3"/>
    <n v="5"/>
    <n v="4"/>
    <n v="0"/>
    <n v="2"/>
  </r>
  <r>
    <n v="47"/>
    <x v="1"/>
    <x v="1"/>
    <n v="0"/>
    <x v="0"/>
    <n v="571"/>
    <x v="0"/>
    <x v="24"/>
    <n v="3"/>
    <x v="3"/>
    <x v="2"/>
    <n v="3"/>
    <x v="0"/>
    <n v="78"/>
    <x v="0"/>
    <n v="2"/>
    <x v="0"/>
    <n v="3"/>
    <x v="1"/>
    <x v="998"/>
    <n v="24200"/>
    <n v="3"/>
    <s v="Y"/>
    <x v="0"/>
    <n v="17"/>
    <n v="3"/>
    <n v="3"/>
    <n v="80"/>
    <n v="1"/>
    <n v="11"/>
    <n v="4"/>
    <n v="2"/>
    <n v="5"/>
    <n v="4"/>
    <n v="1"/>
    <n v="2"/>
  </r>
  <r>
    <n v="28"/>
    <x v="2"/>
    <x v="0"/>
    <n v="1"/>
    <x v="1"/>
    <n v="289"/>
    <x v="1"/>
    <x v="2"/>
    <n v="2"/>
    <x v="0"/>
    <x v="2"/>
    <n v="3"/>
    <x v="1"/>
    <n v="38"/>
    <x v="1"/>
    <n v="1"/>
    <x v="2"/>
    <n v="1"/>
    <x v="0"/>
    <x v="999"/>
    <n v="5355"/>
    <n v="7"/>
    <s v="Y"/>
    <x v="1"/>
    <n v="11"/>
    <n v="3"/>
    <n v="3"/>
    <n v="80"/>
    <n v="0"/>
    <n v="8"/>
    <n v="2"/>
    <n v="2"/>
    <n v="0"/>
    <n v="0"/>
    <n v="0"/>
    <n v="0"/>
  </r>
  <r>
    <n v="28"/>
    <x v="2"/>
    <x v="1"/>
    <n v="0"/>
    <x v="0"/>
    <n v="1423"/>
    <x v="1"/>
    <x v="0"/>
    <n v="3"/>
    <x v="3"/>
    <x v="0"/>
    <n v="1"/>
    <x v="1"/>
    <n v="72"/>
    <x v="1"/>
    <n v="1"/>
    <x v="1"/>
    <n v="3"/>
    <x v="2"/>
    <x v="1000"/>
    <n v="12530"/>
    <n v="1"/>
    <s v="Y"/>
    <x v="1"/>
    <n v="14"/>
    <n v="3"/>
    <n v="4"/>
    <n v="80"/>
    <n v="1"/>
    <n v="1"/>
    <n v="2"/>
    <n v="1"/>
    <n v="1"/>
    <n v="0"/>
    <n v="0"/>
    <n v="0"/>
  </r>
  <r>
    <n v="28"/>
    <x v="2"/>
    <x v="1"/>
    <n v="0"/>
    <x v="1"/>
    <n v="467"/>
    <x v="0"/>
    <x v="15"/>
    <n v="3"/>
    <x v="3"/>
    <x v="0"/>
    <n v="3"/>
    <x v="1"/>
    <n v="55"/>
    <x v="0"/>
    <n v="2"/>
    <x v="0"/>
    <n v="1"/>
    <x v="0"/>
    <x v="249"/>
    <n v="11827"/>
    <n v="0"/>
    <s v="Y"/>
    <x v="1"/>
    <n v="14"/>
    <n v="3"/>
    <n v="4"/>
    <n v="80"/>
    <n v="0"/>
    <n v="5"/>
    <n v="5"/>
    <n v="3"/>
    <n v="4"/>
    <n v="2"/>
    <n v="1"/>
    <n v="3"/>
  </r>
  <r>
    <n v="49"/>
    <x v="1"/>
    <x v="1"/>
    <n v="0"/>
    <x v="0"/>
    <n v="271"/>
    <x v="1"/>
    <x v="3"/>
    <n v="2"/>
    <x v="0"/>
    <x v="2"/>
    <n v="3"/>
    <x v="0"/>
    <n v="43"/>
    <x v="1"/>
    <n v="2"/>
    <x v="2"/>
    <n v="1"/>
    <x v="1"/>
    <x v="1001"/>
    <n v="23070"/>
    <n v="4"/>
    <s v="Y"/>
    <x v="1"/>
    <n v="25"/>
    <n v="4"/>
    <n v="1"/>
    <n v="80"/>
    <n v="1"/>
    <n v="10"/>
    <n v="3"/>
    <n v="3"/>
    <n v="3"/>
    <n v="2"/>
    <n v="1"/>
    <n v="2"/>
  </r>
  <r>
    <n v="29"/>
    <x v="2"/>
    <x v="1"/>
    <n v="0"/>
    <x v="1"/>
    <n v="410"/>
    <x v="1"/>
    <x v="2"/>
    <n v="1"/>
    <x v="1"/>
    <x v="0"/>
    <n v="4"/>
    <x v="0"/>
    <n v="97"/>
    <x v="0"/>
    <n v="1"/>
    <x v="2"/>
    <n v="2"/>
    <x v="1"/>
    <x v="1002"/>
    <n v="4668"/>
    <n v="0"/>
    <s v="Y"/>
    <x v="1"/>
    <n v="13"/>
    <n v="3"/>
    <n v="3"/>
    <n v="80"/>
    <n v="3"/>
    <n v="4"/>
    <n v="3"/>
    <n v="3"/>
    <n v="3"/>
    <n v="2"/>
    <n v="0"/>
    <n v="2"/>
  </r>
  <r>
    <n v="28"/>
    <x v="2"/>
    <x v="1"/>
    <n v="0"/>
    <x v="0"/>
    <n v="1083"/>
    <x v="1"/>
    <x v="22"/>
    <n v="1"/>
    <x v="1"/>
    <x v="0"/>
    <n v="3"/>
    <x v="1"/>
    <n v="96"/>
    <x v="3"/>
    <n v="2"/>
    <x v="3"/>
    <n v="2"/>
    <x v="1"/>
    <x v="1003"/>
    <n v="3173"/>
    <n v="1"/>
    <s v="Y"/>
    <x v="1"/>
    <n v="14"/>
    <n v="3"/>
    <n v="2"/>
    <n v="80"/>
    <n v="2"/>
    <n v="8"/>
    <n v="2"/>
    <n v="2"/>
    <n v="8"/>
    <n v="6"/>
    <n v="1"/>
    <n v="7"/>
  </r>
  <r>
    <n v="33"/>
    <x v="2"/>
    <x v="1"/>
    <n v="0"/>
    <x v="0"/>
    <n v="516"/>
    <x v="1"/>
    <x v="1"/>
    <n v="5"/>
    <x v="4"/>
    <x v="0"/>
    <n v="4"/>
    <x v="1"/>
    <n v="69"/>
    <x v="0"/>
    <n v="2"/>
    <x v="4"/>
    <n v="3"/>
    <x v="0"/>
    <x v="1004"/>
    <n v="22049"/>
    <n v="2"/>
    <s v="Y"/>
    <x v="0"/>
    <n v="17"/>
    <n v="3"/>
    <n v="1"/>
    <n v="80"/>
    <n v="0"/>
    <n v="14"/>
    <n v="6"/>
    <n v="3"/>
    <n v="0"/>
    <n v="0"/>
    <n v="0"/>
    <n v="0"/>
  </r>
  <r>
    <n v="32"/>
    <x v="2"/>
    <x v="1"/>
    <n v="0"/>
    <x v="0"/>
    <n v="495"/>
    <x v="1"/>
    <x v="17"/>
    <n v="3"/>
    <x v="3"/>
    <x v="2"/>
    <n v="3"/>
    <x v="1"/>
    <n v="64"/>
    <x v="0"/>
    <n v="3"/>
    <x v="5"/>
    <n v="4"/>
    <x v="0"/>
    <x v="1005"/>
    <n v="21072"/>
    <n v="2"/>
    <s v="Y"/>
    <x v="1"/>
    <n v="25"/>
    <n v="4"/>
    <n v="2"/>
    <n v="80"/>
    <n v="0"/>
    <n v="10"/>
    <n v="5"/>
    <n v="4"/>
    <n v="5"/>
    <n v="2"/>
    <n v="0"/>
    <n v="0"/>
  </r>
  <r>
    <n v="54"/>
    <x v="1"/>
    <x v="1"/>
    <n v="0"/>
    <x v="1"/>
    <n v="1050"/>
    <x v="1"/>
    <x v="13"/>
    <n v="4"/>
    <x v="2"/>
    <x v="2"/>
    <n v="2"/>
    <x v="0"/>
    <n v="87"/>
    <x v="0"/>
    <n v="4"/>
    <x v="5"/>
    <n v="4"/>
    <x v="2"/>
    <x v="1006"/>
    <n v="24456"/>
    <n v="3"/>
    <s v="Y"/>
    <x v="1"/>
    <n v="20"/>
    <n v="4"/>
    <n v="1"/>
    <n v="80"/>
    <n v="1"/>
    <n v="26"/>
    <n v="2"/>
    <n v="3"/>
    <n v="14"/>
    <n v="9"/>
    <n v="1"/>
    <n v="12"/>
  </r>
  <r>
    <n v="29"/>
    <x v="2"/>
    <x v="0"/>
    <n v="1"/>
    <x v="0"/>
    <n v="224"/>
    <x v="1"/>
    <x v="0"/>
    <n v="4"/>
    <x v="2"/>
    <x v="4"/>
    <n v="1"/>
    <x v="1"/>
    <n v="100"/>
    <x v="1"/>
    <n v="1"/>
    <x v="1"/>
    <n v="1"/>
    <x v="0"/>
    <x v="898"/>
    <n v="7568"/>
    <n v="6"/>
    <s v="Y"/>
    <x v="1"/>
    <n v="13"/>
    <n v="3"/>
    <n v="3"/>
    <n v="80"/>
    <n v="0"/>
    <n v="11"/>
    <n v="2"/>
    <n v="1"/>
    <n v="9"/>
    <n v="7"/>
    <n v="0"/>
    <n v="7"/>
  </r>
  <r>
    <n v="44"/>
    <x v="0"/>
    <x v="1"/>
    <n v="0"/>
    <x v="0"/>
    <n v="136"/>
    <x v="1"/>
    <x v="26"/>
    <n v="3"/>
    <x v="3"/>
    <x v="0"/>
    <n v="4"/>
    <x v="1"/>
    <n v="32"/>
    <x v="0"/>
    <n v="4"/>
    <x v="7"/>
    <n v="1"/>
    <x v="1"/>
    <x v="1007"/>
    <n v="22074"/>
    <n v="3"/>
    <s v="Y"/>
    <x v="1"/>
    <n v="13"/>
    <n v="3"/>
    <n v="3"/>
    <n v="80"/>
    <n v="1"/>
    <n v="24"/>
    <n v="1"/>
    <n v="4"/>
    <n v="20"/>
    <n v="6"/>
    <n v="14"/>
    <n v="17"/>
  </r>
  <r>
    <n v="39"/>
    <x v="0"/>
    <x v="1"/>
    <n v="0"/>
    <x v="0"/>
    <n v="1089"/>
    <x v="1"/>
    <x v="16"/>
    <n v="3"/>
    <x v="3"/>
    <x v="0"/>
    <n v="2"/>
    <x v="0"/>
    <n v="32"/>
    <x v="0"/>
    <n v="3"/>
    <x v="3"/>
    <n v="2"/>
    <x v="0"/>
    <x v="1008"/>
    <n v="9150"/>
    <n v="4"/>
    <s v="Y"/>
    <x v="1"/>
    <n v="18"/>
    <n v="3"/>
    <n v="4"/>
    <n v="80"/>
    <n v="0"/>
    <n v="9"/>
    <n v="3"/>
    <n v="3"/>
    <n v="2"/>
    <n v="0"/>
    <n v="2"/>
    <n v="2"/>
  </r>
  <r>
    <n v="46"/>
    <x v="1"/>
    <x v="1"/>
    <n v="0"/>
    <x v="0"/>
    <n v="228"/>
    <x v="0"/>
    <x v="3"/>
    <n v="3"/>
    <x v="3"/>
    <x v="0"/>
    <n v="3"/>
    <x v="0"/>
    <n v="51"/>
    <x v="0"/>
    <n v="4"/>
    <x v="5"/>
    <n v="2"/>
    <x v="1"/>
    <x v="1009"/>
    <n v="11380"/>
    <n v="8"/>
    <s v="Y"/>
    <x v="1"/>
    <n v="12"/>
    <n v="3"/>
    <n v="4"/>
    <n v="80"/>
    <n v="1"/>
    <n v="23"/>
    <n v="2"/>
    <n v="4"/>
    <n v="13"/>
    <n v="12"/>
    <n v="5"/>
    <n v="1"/>
  </r>
  <r>
    <n v="35"/>
    <x v="0"/>
    <x v="1"/>
    <n v="0"/>
    <x v="0"/>
    <n v="1029"/>
    <x v="1"/>
    <x v="7"/>
    <n v="3"/>
    <x v="3"/>
    <x v="0"/>
    <n v="4"/>
    <x v="0"/>
    <n v="91"/>
    <x v="1"/>
    <n v="3"/>
    <x v="4"/>
    <n v="2"/>
    <x v="0"/>
    <x v="1010"/>
    <n v="21195"/>
    <n v="1"/>
    <s v="Y"/>
    <x v="1"/>
    <n v="19"/>
    <n v="3"/>
    <n v="4"/>
    <n v="80"/>
    <n v="0"/>
    <n v="11"/>
    <n v="3"/>
    <n v="1"/>
    <n v="11"/>
    <n v="8"/>
    <n v="3"/>
    <n v="3"/>
  </r>
  <r>
    <n v="23"/>
    <x v="4"/>
    <x v="1"/>
    <n v="0"/>
    <x v="0"/>
    <n v="507"/>
    <x v="1"/>
    <x v="25"/>
    <n v="1"/>
    <x v="1"/>
    <x v="0"/>
    <n v="1"/>
    <x v="1"/>
    <n v="97"/>
    <x v="0"/>
    <n v="2"/>
    <x v="2"/>
    <n v="3"/>
    <x v="0"/>
    <x v="1011"/>
    <n v="24812"/>
    <n v="0"/>
    <s v="Y"/>
    <x v="1"/>
    <n v="14"/>
    <n v="3"/>
    <n v="2"/>
    <n v="80"/>
    <n v="0"/>
    <n v="5"/>
    <n v="2"/>
    <n v="3"/>
    <n v="4"/>
    <n v="3"/>
    <n v="1"/>
    <n v="2"/>
  </r>
  <r>
    <n v="40"/>
    <x v="0"/>
    <x v="0"/>
    <n v="1"/>
    <x v="0"/>
    <n v="676"/>
    <x v="1"/>
    <x v="14"/>
    <n v="4"/>
    <x v="2"/>
    <x v="0"/>
    <n v="4"/>
    <x v="1"/>
    <n v="86"/>
    <x v="0"/>
    <n v="1"/>
    <x v="2"/>
    <n v="1"/>
    <x v="0"/>
    <x v="1012"/>
    <n v="21831"/>
    <n v="3"/>
    <s v="Y"/>
    <x v="1"/>
    <n v="14"/>
    <n v="3"/>
    <n v="2"/>
    <n v="80"/>
    <n v="0"/>
    <n v="15"/>
    <n v="3"/>
    <n v="1"/>
    <n v="5"/>
    <n v="4"/>
    <n v="1"/>
    <n v="0"/>
  </r>
  <r>
    <n v="34"/>
    <x v="2"/>
    <x v="1"/>
    <n v="0"/>
    <x v="0"/>
    <n v="971"/>
    <x v="0"/>
    <x v="0"/>
    <n v="3"/>
    <x v="3"/>
    <x v="4"/>
    <n v="4"/>
    <x v="1"/>
    <n v="64"/>
    <x v="1"/>
    <n v="3"/>
    <x v="0"/>
    <n v="3"/>
    <x v="1"/>
    <x v="1013"/>
    <n v="12288"/>
    <n v="1"/>
    <s v="Y"/>
    <x v="0"/>
    <n v="14"/>
    <n v="3"/>
    <n v="4"/>
    <n v="80"/>
    <n v="0"/>
    <n v="10"/>
    <n v="3"/>
    <n v="3"/>
    <n v="10"/>
    <n v="9"/>
    <n v="8"/>
    <n v="6"/>
  </r>
  <r>
    <n v="31"/>
    <x v="2"/>
    <x v="0"/>
    <n v="1"/>
    <x v="1"/>
    <n v="561"/>
    <x v="1"/>
    <x v="3"/>
    <n v="3"/>
    <x v="3"/>
    <x v="0"/>
    <n v="4"/>
    <x v="0"/>
    <n v="33"/>
    <x v="0"/>
    <n v="1"/>
    <x v="1"/>
    <n v="3"/>
    <x v="0"/>
    <x v="1014"/>
    <n v="4156"/>
    <n v="1"/>
    <s v="Y"/>
    <x v="1"/>
    <n v="12"/>
    <n v="3"/>
    <n v="1"/>
    <n v="80"/>
    <n v="0"/>
    <n v="7"/>
    <n v="2"/>
    <n v="1"/>
    <n v="7"/>
    <n v="2"/>
    <n v="7"/>
    <n v="7"/>
  </r>
  <r>
    <n v="50"/>
    <x v="1"/>
    <x v="1"/>
    <n v="0"/>
    <x v="1"/>
    <n v="333"/>
    <x v="1"/>
    <x v="23"/>
    <n v="5"/>
    <x v="4"/>
    <x v="2"/>
    <n v="3"/>
    <x v="1"/>
    <n v="88"/>
    <x v="3"/>
    <n v="4"/>
    <x v="7"/>
    <n v="4"/>
    <x v="0"/>
    <x v="1015"/>
    <n v="24450"/>
    <n v="1"/>
    <s v="Y"/>
    <x v="0"/>
    <n v="13"/>
    <n v="3"/>
    <n v="4"/>
    <n v="80"/>
    <n v="0"/>
    <n v="32"/>
    <n v="2"/>
    <n v="3"/>
    <n v="32"/>
    <n v="6"/>
    <n v="13"/>
    <n v="9"/>
  </r>
  <r>
    <n v="34"/>
    <x v="2"/>
    <x v="1"/>
    <n v="0"/>
    <x v="0"/>
    <n v="1440"/>
    <x v="0"/>
    <x v="15"/>
    <n v="2"/>
    <x v="0"/>
    <x v="4"/>
    <n v="2"/>
    <x v="1"/>
    <n v="55"/>
    <x v="0"/>
    <n v="1"/>
    <x v="6"/>
    <n v="3"/>
    <x v="1"/>
    <x v="1016"/>
    <n v="4944"/>
    <n v="0"/>
    <s v="Y"/>
    <x v="0"/>
    <n v="25"/>
    <n v="4"/>
    <n v="2"/>
    <n v="80"/>
    <n v="1"/>
    <n v="12"/>
    <n v="4"/>
    <n v="3"/>
    <n v="11"/>
    <n v="10"/>
    <n v="5"/>
    <n v="7"/>
  </r>
  <r>
    <n v="42"/>
    <x v="0"/>
    <x v="1"/>
    <n v="0"/>
    <x v="0"/>
    <n v="1210"/>
    <x v="1"/>
    <x v="2"/>
    <n v="3"/>
    <x v="3"/>
    <x v="2"/>
    <n v="3"/>
    <x v="1"/>
    <n v="68"/>
    <x v="1"/>
    <n v="1"/>
    <x v="2"/>
    <n v="2"/>
    <x v="1"/>
    <x v="1017"/>
    <n v="24052"/>
    <n v="4"/>
    <s v="Y"/>
    <x v="1"/>
    <n v="14"/>
    <n v="3"/>
    <n v="2"/>
    <n v="80"/>
    <n v="1"/>
    <n v="4"/>
    <n v="3"/>
    <n v="3"/>
    <n v="1"/>
    <n v="0"/>
    <n v="0"/>
    <n v="0"/>
  </r>
  <r>
    <n v="37"/>
    <x v="0"/>
    <x v="1"/>
    <n v="0"/>
    <x v="0"/>
    <n v="674"/>
    <x v="1"/>
    <x v="28"/>
    <n v="3"/>
    <x v="3"/>
    <x v="2"/>
    <n v="1"/>
    <x v="1"/>
    <n v="47"/>
    <x v="0"/>
    <n v="2"/>
    <x v="1"/>
    <n v="4"/>
    <x v="1"/>
    <x v="1018"/>
    <n v="3031"/>
    <n v="1"/>
    <s v="Y"/>
    <x v="1"/>
    <n v="17"/>
    <n v="3"/>
    <n v="1"/>
    <n v="80"/>
    <n v="0"/>
    <n v="10"/>
    <n v="2"/>
    <n v="3"/>
    <n v="10"/>
    <n v="8"/>
    <n v="3"/>
    <n v="7"/>
  </r>
  <r>
    <n v="29"/>
    <x v="2"/>
    <x v="1"/>
    <n v="0"/>
    <x v="0"/>
    <n v="441"/>
    <x v="1"/>
    <x v="1"/>
    <n v="1"/>
    <x v="1"/>
    <x v="1"/>
    <n v="3"/>
    <x v="0"/>
    <n v="39"/>
    <x v="3"/>
    <n v="2"/>
    <x v="4"/>
    <n v="1"/>
    <x v="1"/>
    <x v="1019"/>
    <n v="7288"/>
    <n v="3"/>
    <s v="Y"/>
    <x v="1"/>
    <n v="13"/>
    <n v="3"/>
    <n v="3"/>
    <n v="80"/>
    <n v="1"/>
    <n v="9"/>
    <n v="3"/>
    <n v="3"/>
    <n v="7"/>
    <n v="7"/>
    <n v="0"/>
    <n v="7"/>
  </r>
  <r>
    <n v="33"/>
    <x v="2"/>
    <x v="1"/>
    <n v="0"/>
    <x v="0"/>
    <n v="575"/>
    <x v="1"/>
    <x v="19"/>
    <n v="3"/>
    <x v="3"/>
    <x v="0"/>
    <n v="4"/>
    <x v="1"/>
    <n v="44"/>
    <x v="1"/>
    <n v="2"/>
    <x v="3"/>
    <n v="2"/>
    <x v="0"/>
    <x v="1020"/>
    <n v="24152"/>
    <n v="1"/>
    <s v="Y"/>
    <x v="1"/>
    <n v="13"/>
    <n v="3"/>
    <n v="4"/>
    <n v="80"/>
    <n v="0"/>
    <n v="5"/>
    <n v="2"/>
    <n v="3"/>
    <n v="5"/>
    <n v="3"/>
    <n v="0"/>
    <n v="2"/>
  </r>
  <r>
    <n v="45"/>
    <x v="1"/>
    <x v="1"/>
    <n v="0"/>
    <x v="0"/>
    <n v="950"/>
    <x v="1"/>
    <x v="26"/>
    <n v="3"/>
    <x v="3"/>
    <x v="4"/>
    <n v="4"/>
    <x v="1"/>
    <n v="97"/>
    <x v="0"/>
    <n v="1"/>
    <x v="1"/>
    <n v="4"/>
    <x v="1"/>
    <x v="685"/>
    <n v="4585"/>
    <n v="4"/>
    <s v="Y"/>
    <x v="1"/>
    <n v="20"/>
    <n v="4"/>
    <n v="4"/>
    <n v="80"/>
    <n v="1"/>
    <n v="8"/>
    <n v="3"/>
    <n v="3"/>
    <n v="5"/>
    <n v="4"/>
    <n v="0"/>
    <n v="3"/>
  </r>
  <r>
    <n v="42"/>
    <x v="0"/>
    <x v="1"/>
    <n v="0"/>
    <x v="1"/>
    <n v="288"/>
    <x v="1"/>
    <x v="2"/>
    <n v="3"/>
    <x v="3"/>
    <x v="0"/>
    <n v="4"/>
    <x v="1"/>
    <n v="40"/>
    <x v="0"/>
    <n v="3"/>
    <x v="4"/>
    <n v="4"/>
    <x v="1"/>
    <x v="1021"/>
    <n v="18611"/>
    <n v="2"/>
    <s v="Y"/>
    <x v="0"/>
    <n v="14"/>
    <n v="3"/>
    <n v="3"/>
    <n v="80"/>
    <n v="1"/>
    <n v="24"/>
    <n v="3"/>
    <n v="1"/>
    <n v="20"/>
    <n v="8"/>
    <n v="13"/>
    <n v="9"/>
  </r>
  <r>
    <n v="40"/>
    <x v="0"/>
    <x v="1"/>
    <n v="0"/>
    <x v="0"/>
    <n v="1342"/>
    <x v="0"/>
    <x v="14"/>
    <n v="2"/>
    <x v="0"/>
    <x v="2"/>
    <n v="1"/>
    <x v="1"/>
    <n v="47"/>
    <x v="0"/>
    <n v="2"/>
    <x v="0"/>
    <n v="1"/>
    <x v="1"/>
    <x v="67"/>
    <n v="19345"/>
    <n v="0"/>
    <s v="Y"/>
    <x v="1"/>
    <n v="12"/>
    <n v="3"/>
    <n v="4"/>
    <n v="80"/>
    <n v="0"/>
    <n v="9"/>
    <n v="5"/>
    <n v="4"/>
    <n v="8"/>
    <n v="4"/>
    <n v="7"/>
    <n v="1"/>
  </r>
  <r>
    <n v="33"/>
    <x v="2"/>
    <x v="1"/>
    <n v="0"/>
    <x v="0"/>
    <n v="589"/>
    <x v="1"/>
    <x v="26"/>
    <n v="4"/>
    <x v="2"/>
    <x v="0"/>
    <n v="2"/>
    <x v="1"/>
    <n v="79"/>
    <x v="0"/>
    <n v="2"/>
    <x v="2"/>
    <n v="3"/>
    <x v="1"/>
    <x v="1022"/>
    <n v="22949"/>
    <n v="1"/>
    <s v="Y"/>
    <x v="0"/>
    <n v="12"/>
    <n v="3"/>
    <n v="2"/>
    <n v="80"/>
    <n v="1"/>
    <n v="15"/>
    <n v="3"/>
    <n v="3"/>
    <n v="15"/>
    <n v="14"/>
    <n v="5"/>
    <n v="7"/>
  </r>
  <r>
    <n v="40"/>
    <x v="0"/>
    <x v="1"/>
    <n v="0"/>
    <x v="0"/>
    <n v="898"/>
    <x v="2"/>
    <x v="16"/>
    <n v="2"/>
    <x v="0"/>
    <x v="2"/>
    <n v="3"/>
    <x v="1"/>
    <n v="38"/>
    <x v="0"/>
    <n v="4"/>
    <x v="5"/>
    <n v="4"/>
    <x v="0"/>
    <x v="1023"/>
    <n v="17381"/>
    <n v="1"/>
    <s v="Y"/>
    <x v="0"/>
    <n v="21"/>
    <n v="4"/>
    <n v="4"/>
    <n v="80"/>
    <n v="0"/>
    <n v="21"/>
    <n v="2"/>
    <n v="3"/>
    <n v="21"/>
    <n v="7"/>
    <n v="7"/>
    <n v="7"/>
  </r>
  <r>
    <n v="24"/>
    <x v="4"/>
    <x v="1"/>
    <n v="0"/>
    <x v="0"/>
    <n v="350"/>
    <x v="1"/>
    <x v="11"/>
    <n v="2"/>
    <x v="0"/>
    <x v="4"/>
    <n v="3"/>
    <x v="1"/>
    <n v="57"/>
    <x v="1"/>
    <n v="1"/>
    <x v="2"/>
    <n v="1"/>
    <x v="2"/>
    <x v="1024"/>
    <n v="10036"/>
    <n v="0"/>
    <s v="Y"/>
    <x v="1"/>
    <n v="14"/>
    <n v="3"/>
    <n v="2"/>
    <n v="80"/>
    <n v="3"/>
    <n v="2"/>
    <n v="3"/>
    <n v="3"/>
    <n v="1"/>
    <n v="1"/>
    <n v="0"/>
    <n v="0"/>
  </r>
  <r>
    <n v="40"/>
    <x v="0"/>
    <x v="1"/>
    <n v="0"/>
    <x v="2"/>
    <n v="1142"/>
    <x v="1"/>
    <x v="1"/>
    <n v="2"/>
    <x v="0"/>
    <x v="0"/>
    <n v="4"/>
    <x v="1"/>
    <n v="72"/>
    <x v="0"/>
    <n v="2"/>
    <x v="4"/>
    <n v="4"/>
    <x v="2"/>
    <x v="1025"/>
    <n v="8841"/>
    <n v="3"/>
    <s v="Y"/>
    <x v="0"/>
    <n v="18"/>
    <n v="3"/>
    <n v="3"/>
    <n v="80"/>
    <n v="0"/>
    <n v="8"/>
    <n v="2"/>
    <n v="3"/>
    <n v="2"/>
    <n v="2"/>
    <n v="2"/>
    <n v="2"/>
  </r>
  <r>
    <n v="45"/>
    <x v="1"/>
    <x v="1"/>
    <n v="0"/>
    <x v="0"/>
    <n v="538"/>
    <x v="1"/>
    <x v="0"/>
    <n v="4"/>
    <x v="2"/>
    <x v="4"/>
    <n v="1"/>
    <x v="1"/>
    <n v="66"/>
    <x v="0"/>
    <n v="3"/>
    <x v="4"/>
    <n v="2"/>
    <x v="2"/>
    <x v="1026"/>
    <n v="20933"/>
    <n v="1"/>
    <s v="Y"/>
    <x v="1"/>
    <n v="12"/>
    <n v="3"/>
    <n v="1"/>
    <n v="80"/>
    <n v="3"/>
    <n v="10"/>
    <n v="4"/>
    <n v="3"/>
    <n v="10"/>
    <n v="8"/>
    <n v="7"/>
    <n v="7"/>
  </r>
  <r>
    <n v="35"/>
    <x v="0"/>
    <x v="1"/>
    <n v="0"/>
    <x v="0"/>
    <n v="1402"/>
    <x v="0"/>
    <x v="26"/>
    <n v="4"/>
    <x v="2"/>
    <x v="0"/>
    <n v="2"/>
    <x v="0"/>
    <n v="98"/>
    <x v="1"/>
    <n v="1"/>
    <x v="6"/>
    <n v="3"/>
    <x v="1"/>
    <x v="1027"/>
    <n v="26204"/>
    <n v="0"/>
    <s v="Y"/>
    <x v="1"/>
    <n v="23"/>
    <n v="4"/>
    <n v="1"/>
    <n v="80"/>
    <n v="2"/>
    <n v="6"/>
    <n v="5"/>
    <n v="3"/>
    <n v="5"/>
    <n v="3"/>
    <n v="4"/>
    <n v="2"/>
  </r>
  <r>
    <n v="32"/>
    <x v="2"/>
    <x v="1"/>
    <n v="0"/>
    <x v="0"/>
    <n v="824"/>
    <x v="1"/>
    <x v="12"/>
    <n v="2"/>
    <x v="0"/>
    <x v="0"/>
    <n v="4"/>
    <x v="0"/>
    <n v="67"/>
    <x v="1"/>
    <n v="2"/>
    <x v="1"/>
    <n v="2"/>
    <x v="1"/>
    <x v="1028"/>
    <n v="15624"/>
    <n v="3"/>
    <s v="Y"/>
    <x v="1"/>
    <n v="12"/>
    <n v="3"/>
    <n v="1"/>
    <n v="80"/>
    <n v="1"/>
    <n v="12"/>
    <n v="2"/>
    <n v="3"/>
    <n v="7"/>
    <n v="1"/>
    <n v="2"/>
    <n v="5"/>
  </r>
  <r>
    <n v="36"/>
    <x v="0"/>
    <x v="1"/>
    <n v="0"/>
    <x v="0"/>
    <n v="1157"/>
    <x v="0"/>
    <x v="2"/>
    <n v="4"/>
    <x v="2"/>
    <x v="0"/>
    <n v="3"/>
    <x v="1"/>
    <n v="70"/>
    <x v="0"/>
    <n v="1"/>
    <x v="6"/>
    <n v="4"/>
    <x v="0"/>
    <x v="1029"/>
    <n v="17001"/>
    <n v="3"/>
    <s v="Y"/>
    <x v="0"/>
    <n v="21"/>
    <n v="4"/>
    <n v="4"/>
    <n v="80"/>
    <n v="0"/>
    <n v="7"/>
    <n v="3"/>
    <n v="2"/>
    <n v="3"/>
    <n v="2"/>
    <n v="1"/>
    <n v="2"/>
  </r>
  <r>
    <n v="48"/>
    <x v="1"/>
    <x v="1"/>
    <n v="0"/>
    <x v="0"/>
    <n v="492"/>
    <x v="0"/>
    <x v="7"/>
    <n v="4"/>
    <x v="2"/>
    <x v="0"/>
    <n v="3"/>
    <x v="0"/>
    <n v="96"/>
    <x v="0"/>
    <n v="2"/>
    <x v="0"/>
    <n v="3"/>
    <x v="2"/>
    <x v="1030"/>
    <n v="13693"/>
    <n v="8"/>
    <s v="Y"/>
    <x v="1"/>
    <n v="14"/>
    <n v="3"/>
    <n v="3"/>
    <n v="80"/>
    <n v="1"/>
    <n v="18"/>
    <n v="2"/>
    <n v="3"/>
    <n v="8"/>
    <n v="7"/>
    <n v="7"/>
    <n v="7"/>
  </r>
  <r>
    <n v="29"/>
    <x v="2"/>
    <x v="1"/>
    <n v="0"/>
    <x v="0"/>
    <n v="598"/>
    <x v="1"/>
    <x v="14"/>
    <n v="3"/>
    <x v="3"/>
    <x v="0"/>
    <n v="3"/>
    <x v="1"/>
    <n v="91"/>
    <x v="2"/>
    <n v="1"/>
    <x v="1"/>
    <n v="3"/>
    <x v="1"/>
    <x v="163"/>
    <n v="22376"/>
    <n v="6"/>
    <s v="Y"/>
    <x v="1"/>
    <n v="18"/>
    <n v="3"/>
    <n v="1"/>
    <n v="80"/>
    <n v="2"/>
    <n v="5"/>
    <n v="2"/>
    <n v="2"/>
    <n v="1"/>
    <n v="0"/>
    <n v="0"/>
    <n v="0"/>
  </r>
  <r>
    <n v="33"/>
    <x v="2"/>
    <x v="1"/>
    <n v="0"/>
    <x v="0"/>
    <n v="1242"/>
    <x v="0"/>
    <x v="1"/>
    <n v="4"/>
    <x v="2"/>
    <x v="0"/>
    <n v="1"/>
    <x v="1"/>
    <n v="46"/>
    <x v="0"/>
    <n v="2"/>
    <x v="0"/>
    <n v="1"/>
    <x v="1"/>
    <x v="1031"/>
    <n v="10589"/>
    <n v="2"/>
    <s v="Y"/>
    <x v="1"/>
    <n v="13"/>
    <n v="3"/>
    <n v="4"/>
    <n v="80"/>
    <n v="1"/>
    <n v="8"/>
    <n v="6"/>
    <n v="1"/>
    <n v="2"/>
    <n v="2"/>
    <n v="2"/>
    <n v="2"/>
  </r>
  <r>
    <n v="30"/>
    <x v="2"/>
    <x v="0"/>
    <n v="1"/>
    <x v="0"/>
    <n v="740"/>
    <x v="0"/>
    <x v="0"/>
    <n v="3"/>
    <x v="3"/>
    <x v="0"/>
    <n v="2"/>
    <x v="1"/>
    <n v="64"/>
    <x v="1"/>
    <n v="2"/>
    <x v="0"/>
    <n v="1"/>
    <x v="1"/>
    <x v="1032"/>
    <n v="5323"/>
    <n v="1"/>
    <s v="Y"/>
    <x v="1"/>
    <n v="11"/>
    <n v="3"/>
    <n v="4"/>
    <n v="80"/>
    <n v="1"/>
    <n v="10"/>
    <n v="4"/>
    <n v="3"/>
    <n v="10"/>
    <n v="8"/>
    <n v="6"/>
    <n v="7"/>
  </r>
  <r>
    <n v="38"/>
    <x v="0"/>
    <x v="1"/>
    <n v="0"/>
    <x v="1"/>
    <n v="888"/>
    <x v="2"/>
    <x v="17"/>
    <n v="4"/>
    <x v="2"/>
    <x v="5"/>
    <n v="3"/>
    <x v="1"/>
    <n v="71"/>
    <x v="0"/>
    <n v="2"/>
    <x v="8"/>
    <n v="3"/>
    <x v="1"/>
    <x v="1033"/>
    <n v="14814"/>
    <n v="3"/>
    <s v="Y"/>
    <x v="1"/>
    <n v="11"/>
    <n v="3"/>
    <n v="3"/>
    <n v="80"/>
    <n v="0"/>
    <n v="10"/>
    <n v="2"/>
    <n v="3"/>
    <n v="6"/>
    <n v="3"/>
    <n v="1"/>
    <n v="2"/>
  </r>
  <r>
    <n v="35"/>
    <x v="0"/>
    <x v="1"/>
    <n v="0"/>
    <x v="0"/>
    <n v="992"/>
    <x v="1"/>
    <x v="0"/>
    <n v="3"/>
    <x v="3"/>
    <x v="2"/>
    <n v="4"/>
    <x v="1"/>
    <n v="68"/>
    <x v="1"/>
    <n v="1"/>
    <x v="2"/>
    <n v="1"/>
    <x v="0"/>
    <x v="533"/>
    <n v="21731"/>
    <n v="1"/>
    <s v="Y"/>
    <x v="1"/>
    <n v="19"/>
    <n v="3"/>
    <n v="2"/>
    <n v="80"/>
    <n v="0"/>
    <n v="3"/>
    <n v="3"/>
    <n v="3"/>
    <n v="3"/>
    <n v="0"/>
    <n v="1"/>
    <n v="2"/>
  </r>
  <r>
    <n v="30"/>
    <x v="2"/>
    <x v="1"/>
    <n v="0"/>
    <x v="0"/>
    <n v="1288"/>
    <x v="0"/>
    <x v="22"/>
    <n v="4"/>
    <x v="2"/>
    <x v="4"/>
    <n v="3"/>
    <x v="1"/>
    <n v="33"/>
    <x v="0"/>
    <n v="3"/>
    <x v="0"/>
    <n v="2"/>
    <x v="1"/>
    <x v="1034"/>
    <n v="17799"/>
    <n v="3"/>
    <s v="Y"/>
    <x v="1"/>
    <n v="12"/>
    <n v="3"/>
    <n v="2"/>
    <n v="80"/>
    <n v="1"/>
    <n v="9"/>
    <n v="3"/>
    <n v="3"/>
    <n v="4"/>
    <n v="2"/>
    <n v="1"/>
    <n v="3"/>
  </r>
  <r>
    <n v="35"/>
    <x v="0"/>
    <x v="0"/>
    <n v="1"/>
    <x v="0"/>
    <n v="104"/>
    <x v="1"/>
    <x v="2"/>
    <n v="3"/>
    <x v="3"/>
    <x v="0"/>
    <n v="1"/>
    <x v="0"/>
    <n v="69"/>
    <x v="0"/>
    <n v="1"/>
    <x v="2"/>
    <n v="1"/>
    <x v="2"/>
    <x v="1035"/>
    <n v="26619"/>
    <n v="1"/>
    <s v="Y"/>
    <x v="0"/>
    <n v="12"/>
    <n v="3"/>
    <n v="4"/>
    <n v="80"/>
    <n v="1"/>
    <n v="1"/>
    <n v="2"/>
    <n v="3"/>
    <n v="1"/>
    <n v="0"/>
    <n v="0"/>
    <n v="0"/>
  </r>
  <r>
    <n v="53"/>
    <x v="1"/>
    <x v="0"/>
    <n v="1"/>
    <x v="0"/>
    <n v="607"/>
    <x v="1"/>
    <x v="2"/>
    <n v="5"/>
    <x v="4"/>
    <x v="4"/>
    <n v="3"/>
    <x v="0"/>
    <n v="78"/>
    <x v="1"/>
    <n v="3"/>
    <x v="3"/>
    <n v="4"/>
    <x v="1"/>
    <x v="1036"/>
    <n v="14618"/>
    <n v="0"/>
    <s v="Y"/>
    <x v="1"/>
    <n v="16"/>
    <n v="3"/>
    <n v="2"/>
    <n v="80"/>
    <n v="1"/>
    <n v="34"/>
    <n v="4"/>
    <n v="3"/>
    <n v="33"/>
    <n v="7"/>
    <n v="1"/>
    <n v="9"/>
  </r>
  <r>
    <n v="38"/>
    <x v="0"/>
    <x v="0"/>
    <n v="1"/>
    <x v="0"/>
    <n v="903"/>
    <x v="1"/>
    <x v="2"/>
    <n v="3"/>
    <x v="3"/>
    <x v="2"/>
    <n v="3"/>
    <x v="1"/>
    <n v="81"/>
    <x v="0"/>
    <n v="2"/>
    <x v="3"/>
    <n v="2"/>
    <x v="1"/>
    <x v="1037"/>
    <n v="7653"/>
    <n v="4"/>
    <s v="Y"/>
    <x v="1"/>
    <n v="11"/>
    <n v="3"/>
    <n v="1"/>
    <n v="80"/>
    <n v="2"/>
    <n v="7"/>
    <n v="2"/>
    <n v="3"/>
    <n v="5"/>
    <n v="2"/>
    <n v="1"/>
    <n v="4"/>
  </r>
  <r>
    <n v="32"/>
    <x v="2"/>
    <x v="1"/>
    <n v="0"/>
    <x v="2"/>
    <n v="1200"/>
    <x v="1"/>
    <x v="0"/>
    <n v="4"/>
    <x v="2"/>
    <x v="4"/>
    <n v="4"/>
    <x v="1"/>
    <n v="62"/>
    <x v="0"/>
    <n v="2"/>
    <x v="1"/>
    <n v="1"/>
    <x v="1"/>
    <x v="1038"/>
    <n v="25174"/>
    <n v="4"/>
    <s v="Y"/>
    <x v="1"/>
    <n v="14"/>
    <n v="3"/>
    <n v="2"/>
    <n v="80"/>
    <n v="1"/>
    <n v="9"/>
    <n v="3"/>
    <n v="2"/>
    <n v="6"/>
    <n v="5"/>
    <n v="1"/>
    <n v="2"/>
  </r>
  <r>
    <n v="48"/>
    <x v="1"/>
    <x v="1"/>
    <n v="0"/>
    <x v="0"/>
    <n v="1108"/>
    <x v="1"/>
    <x v="8"/>
    <n v="4"/>
    <x v="2"/>
    <x v="1"/>
    <n v="3"/>
    <x v="0"/>
    <n v="65"/>
    <x v="0"/>
    <n v="1"/>
    <x v="1"/>
    <n v="1"/>
    <x v="1"/>
    <x v="1039"/>
    <n v="16530"/>
    <n v="8"/>
    <s v="Y"/>
    <x v="1"/>
    <n v="12"/>
    <n v="3"/>
    <n v="4"/>
    <n v="80"/>
    <n v="1"/>
    <n v="10"/>
    <n v="3"/>
    <n v="2"/>
    <n v="8"/>
    <n v="2"/>
    <n v="7"/>
    <n v="6"/>
  </r>
  <r>
    <n v="34"/>
    <x v="2"/>
    <x v="1"/>
    <n v="0"/>
    <x v="0"/>
    <n v="479"/>
    <x v="1"/>
    <x v="15"/>
    <n v="4"/>
    <x v="2"/>
    <x v="2"/>
    <n v="1"/>
    <x v="1"/>
    <n v="35"/>
    <x v="0"/>
    <n v="1"/>
    <x v="1"/>
    <n v="4"/>
    <x v="0"/>
    <x v="1040"/>
    <n v="22061"/>
    <n v="1"/>
    <s v="Y"/>
    <x v="1"/>
    <n v="13"/>
    <n v="3"/>
    <n v="3"/>
    <n v="80"/>
    <n v="0"/>
    <n v="1"/>
    <n v="4"/>
    <n v="1"/>
    <n v="1"/>
    <n v="0"/>
    <n v="0"/>
    <n v="0"/>
  </r>
  <r>
    <n v="55"/>
    <x v="3"/>
    <x v="1"/>
    <n v="0"/>
    <x v="0"/>
    <n v="685"/>
    <x v="0"/>
    <x v="9"/>
    <n v="5"/>
    <x v="4"/>
    <x v="3"/>
    <n v="3"/>
    <x v="1"/>
    <n v="60"/>
    <x v="1"/>
    <n v="5"/>
    <x v="5"/>
    <n v="4"/>
    <x v="1"/>
    <x v="1041"/>
    <n v="23037"/>
    <n v="1"/>
    <s v="Y"/>
    <x v="1"/>
    <n v="21"/>
    <n v="4"/>
    <n v="3"/>
    <n v="80"/>
    <n v="1"/>
    <n v="36"/>
    <n v="3"/>
    <n v="3"/>
    <n v="36"/>
    <n v="6"/>
    <n v="2"/>
    <n v="13"/>
  </r>
  <r>
    <n v="34"/>
    <x v="2"/>
    <x v="1"/>
    <n v="0"/>
    <x v="0"/>
    <n v="1351"/>
    <x v="1"/>
    <x v="0"/>
    <n v="4"/>
    <x v="2"/>
    <x v="0"/>
    <n v="2"/>
    <x v="1"/>
    <n v="45"/>
    <x v="0"/>
    <n v="2"/>
    <x v="1"/>
    <n v="4"/>
    <x v="1"/>
    <x v="299"/>
    <n v="13008"/>
    <n v="9"/>
    <s v="Y"/>
    <x v="1"/>
    <n v="17"/>
    <n v="3"/>
    <n v="2"/>
    <n v="80"/>
    <n v="1"/>
    <n v="9"/>
    <n v="3"/>
    <n v="2"/>
    <n v="2"/>
    <n v="2"/>
    <n v="2"/>
    <n v="1"/>
  </r>
  <r>
    <n v="26"/>
    <x v="2"/>
    <x v="1"/>
    <n v="0"/>
    <x v="0"/>
    <n v="474"/>
    <x v="1"/>
    <x v="3"/>
    <n v="3"/>
    <x v="3"/>
    <x v="0"/>
    <n v="1"/>
    <x v="0"/>
    <n v="89"/>
    <x v="0"/>
    <n v="1"/>
    <x v="1"/>
    <n v="4"/>
    <x v="1"/>
    <x v="1042"/>
    <n v="11133"/>
    <n v="1"/>
    <s v="Y"/>
    <x v="1"/>
    <n v="21"/>
    <n v="4"/>
    <n v="1"/>
    <n v="80"/>
    <n v="0"/>
    <n v="1"/>
    <n v="5"/>
    <n v="3"/>
    <n v="1"/>
    <n v="0"/>
    <n v="0"/>
    <n v="0"/>
  </r>
  <r>
    <n v="38"/>
    <x v="0"/>
    <x v="1"/>
    <n v="0"/>
    <x v="0"/>
    <n v="1245"/>
    <x v="0"/>
    <x v="24"/>
    <n v="3"/>
    <x v="3"/>
    <x v="0"/>
    <n v="3"/>
    <x v="1"/>
    <n v="80"/>
    <x v="0"/>
    <n v="2"/>
    <x v="0"/>
    <n v="2"/>
    <x v="1"/>
    <x v="1043"/>
    <n v="12355"/>
    <n v="0"/>
    <s v="Y"/>
    <x v="1"/>
    <n v="11"/>
    <n v="3"/>
    <n v="4"/>
    <n v="80"/>
    <n v="1"/>
    <n v="10"/>
    <n v="3"/>
    <n v="3"/>
    <n v="9"/>
    <n v="8"/>
    <n v="7"/>
    <n v="7"/>
  </r>
  <r>
    <n v="38"/>
    <x v="0"/>
    <x v="1"/>
    <n v="0"/>
    <x v="0"/>
    <n v="437"/>
    <x v="0"/>
    <x v="7"/>
    <n v="3"/>
    <x v="3"/>
    <x v="0"/>
    <n v="2"/>
    <x v="0"/>
    <n v="90"/>
    <x v="0"/>
    <n v="2"/>
    <x v="0"/>
    <n v="2"/>
    <x v="0"/>
    <x v="1044"/>
    <n v="16379"/>
    <n v="2"/>
    <s v="Y"/>
    <x v="1"/>
    <n v="12"/>
    <n v="3"/>
    <n v="2"/>
    <n v="80"/>
    <n v="0"/>
    <n v="8"/>
    <n v="5"/>
    <n v="4"/>
    <n v="3"/>
    <n v="2"/>
    <n v="1"/>
    <n v="2"/>
  </r>
  <r>
    <n v="36"/>
    <x v="0"/>
    <x v="1"/>
    <n v="0"/>
    <x v="0"/>
    <n v="884"/>
    <x v="0"/>
    <x v="0"/>
    <n v="4"/>
    <x v="2"/>
    <x v="0"/>
    <n v="2"/>
    <x v="0"/>
    <n v="73"/>
    <x v="0"/>
    <n v="2"/>
    <x v="0"/>
    <n v="3"/>
    <x v="0"/>
    <x v="1045"/>
    <n v="21447"/>
    <n v="6"/>
    <s v="Y"/>
    <x v="1"/>
    <n v="13"/>
    <n v="3"/>
    <n v="1"/>
    <n v="80"/>
    <n v="0"/>
    <n v="15"/>
    <n v="5"/>
    <n v="3"/>
    <n v="1"/>
    <n v="0"/>
    <n v="0"/>
    <n v="0"/>
  </r>
  <r>
    <n v="29"/>
    <x v="2"/>
    <x v="1"/>
    <n v="0"/>
    <x v="0"/>
    <n v="1370"/>
    <x v="1"/>
    <x v="3"/>
    <n v="1"/>
    <x v="1"/>
    <x v="2"/>
    <n v="2"/>
    <x v="1"/>
    <n v="87"/>
    <x v="0"/>
    <n v="1"/>
    <x v="2"/>
    <n v="1"/>
    <x v="0"/>
    <x v="1046"/>
    <n v="16213"/>
    <n v="1"/>
    <s v="Y"/>
    <x v="0"/>
    <n v="18"/>
    <n v="3"/>
    <n v="4"/>
    <n v="80"/>
    <n v="0"/>
    <n v="10"/>
    <n v="3"/>
    <n v="3"/>
    <n v="10"/>
    <n v="9"/>
    <n v="1"/>
    <n v="5"/>
  </r>
  <r>
    <n v="35"/>
    <x v="0"/>
    <x v="1"/>
    <n v="0"/>
    <x v="0"/>
    <n v="670"/>
    <x v="1"/>
    <x v="17"/>
    <n v="4"/>
    <x v="2"/>
    <x v="2"/>
    <n v="1"/>
    <x v="0"/>
    <n v="51"/>
    <x v="0"/>
    <n v="2"/>
    <x v="4"/>
    <n v="3"/>
    <x v="0"/>
    <x v="528"/>
    <n v="4223"/>
    <n v="3"/>
    <s v="Y"/>
    <x v="0"/>
    <n v="16"/>
    <n v="3"/>
    <n v="3"/>
    <n v="80"/>
    <n v="0"/>
    <n v="10"/>
    <n v="4"/>
    <n v="3"/>
    <n v="5"/>
    <n v="2"/>
    <n v="0"/>
    <n v="4"/>
  </r>
  <r>
    <n v="39"/>
    <x v="0"/>
    <x v="1"/>
    <n v="0"/>
    <x v="0"/>
    <n v="1462"/>
    <x v="0"/>
    <x v="16"/>
    <n v="3"/>
    <x v="3"/>
    <x v="2"/>
    <n v="4"/>
    <x v="1"/>
    <n v="38"/>
    <x v="2"/>
    <n v="3"/>
    <x v="0"/>
    <n v="3"/>
    <x v="1"/>
    <x v="1047"/>
    <n v="4658"/>
    <n v="2"/>
    <s v="Y"/>
    <x v="1"/>
    <n v="11"/>
    <n v="3"/>
    <n v="1"/>
    <n v="80"/>
    <n v="1"/>
    <n v="11"/>
    <n v="3"/>
    <n v="3"/>
    <n v="7"/>
    <n v="6"/>
    <n v="7"/>
    <n v="6"/>
  </r>
  <r>
    <n v="29"/>
    <x v="2"/>
    <x v="1"/>
    <n v="0"/>
    <x v="1"/>
    <n v="995"/>
    <x v="1"/>
    <x v="2"/>
    <n v="1"/>
    <x v="1"/>
    <x v="0"/>
    <n v="1"/>
    <x v="1"/>
    <n v="87"/>
    <x v="0"/>
    <n v="2"/>
    <x v="4"/>
    <n v="4"/>
    <x v="2"/>
    <x v="1048"/>
    <n v="24483"/>
    <n v="1"/>
    <s v="Y"/>
    <x v="1"/>
    <n v="19"/>
    <n v="3"/>
    <n v="4"/>
    <n v="80"/>
    <n v="1"/>
    <n v="6"/>
    <n v="0"/>
    <n v="4"/>
    <n v="6"/>
    <n v="4"/>
    <n v="1"/>
    <n v="3"/>
  </r>
  <r>
    <n v="50"/>
    <x v="1"/>
    <x v="1"/>
    <n v="0"/>
    <x v="0"/>
    <n v="264"/>
    <x v="0"/>
    <x v="14"/>
    <n v="3"/>
    <x v="3"/>
    <x v="3"/>
    <n v="3"/>
    <x v="1"/>
    <n v="59"/>
    <x v="0"/>
    <n v="5"/>
    <x v="5"/>
    <n v="3"/>
    <x v="1"/>
    <x v="1049"/>
    <n v="19519"/>
    <n v="4"/>
    <s v="Y"/>
    <x v="0"/>
    <n v="16"/>
    <n v="3"/>
    <n v="3"/>
    <n v="80"/>
    <n v="1"/>
    <n v="27"/>
    <n v="2"/>
    <n v="3"/>
    <n v="1"/>
    <n v="0"/>
    <n v="0"/>
    <n v="0"/>
  </r>
  <r>
    <n v="23"/>
    <x v="4"/>
    <x v="1"/>
    <n v="0"/>
    <x v="0"/>
    <n v="977"/>
    <x v="1"/>
    <x v="17"/>
    <n v="3"/>
    <x v="3"/>
    <x v="4"/>
    <n v="4"/>
    <x v="1"/>
    <n v="45"/>
    <x v="2"/>
    <n v="1"/>
    <x v="1"/>
    <n v="3"/>
    <x v="1"/>
    <x v="97"/>
    <n v="12826"/>
    <n v="2"/>
    <s v="Y"/>
    <x v="1"/>
    <n v="16"/>
    <n v="3"/>
    <n v="4"/>
    <n v="80"/>
    <n v="1"/>
    <n v="4"/>
    <n v="2"/>
    <n v="3"/>
    <n v="2"/>
    <n v="2"/>
    <n v="2"/>
    <n v="2"/>
  </r>
  <r>
    <n v="36"/>
    <x v="0"/>
    <x v="1"/>
    <n v="0"/>
    <x v="1"/>
    <n v="1302"/>
    <x v="1"/>
    <x v="16"/>
    <n v="4"/>
    <x v="2"/>
    <x v="0"/>
    <n v="1"/>
    <x v="1"/>
    <n v="80"/>
    <x v="2"/>
    <n v="2"/>
    <x v="2"/>
    <n v="1"/>
    <x v="1"/>
    <x v="622"/>
    <n v="19711"/>
    <n v="3"/>
    <s v="Y"/>
    <x v="0"/>
    <n v="13"/>
    <n v="3"/>
    <n v="4"/>
    <n v="80"/>
    <n v="1"/>
    <n v="9"/>
    <n v="3"/>
    <n v="3"/>
    <n v="3"/>
    <n v="2"/>
    <n v="0"/>
    <n v="2"/>
  </r>
  <r>
    <n v="42"/>
    <x v="0"/>
    <x v="1"/>
    <n v="0"/>
    <x v="0"/>
    <n v="1059"/>
    <x v="1"/>
    <x v="14"/>
    <n v="2"/>
    <x v="0"/>
    <x v="1"/>
    <n v="4"/>
    <x v="1"/>
    <n v="93"/>
    <x v="1"/>
    <n v="5"/>
    <x v="5"/>
    <n v="4"/>
    <x v="0"/>
    <x v="1050"/>
    <n v="26362"/>
    <n v="8"/>
    <s v="Y"/>
    <x v="1"/>
    <n v="22"/>
    <n v="4"/>
    <n v="4"/>
    <n v="80"/>
    <n v="0"/>
    <n v="24"/>
    <n v="2"/>
    <n v="3"/>
    <n v="1"/>
    <n v="0"/>
    <n v="0"/>
    <n v="1"/>
  </r>
  <r>
    <n v="35"/>
    <x v="0"/>
    <x v="1"/>
    <n v="0"/>
    <x v="0"/>
    <n v="750"/>
    <x v="1"/>
    <x v="26"/>
    <n v="3"/>
    <x v="3"/>
    <x v="0"/>
    <n v="2"/>
    <x v="1"/>
    <n v="46"/>
    <x v="2"/>
    <n v="2"/>
    <x v="2"/>
    <n v="3"/>
    <x v="1"/>
    <x v="21"/>
    <n v="25348"/>
    <n v="1"/>
    <s v="Y"/>
    <x v="1"/>
    <n v="17"/>
    <n v="3"/>
    <n v="4"/>
    <n v="80"/>
    <n v="2"/>
    <n v="10"/>
    <n v="3"/>
    <n v="2"/>
    <n v="10"/>
    <n v="9"/>
    <n v="6"/>
    <n v="8"/>
  </r>
  <r>
    <n v="34"/>
    <x v="2"/>
    <x v="1"/>
    <n v="0"/>
    <x v="1"/>
    <n v="653"/>
    <x v="1"/>
    <x v="17"/>
    <n v="4"/>
    <x v="2"/>
    <x v="4"/>
    <n v="4"/>
    <x v="1"/>
    <n v="92"/>
    <x v="1"/>
    <n v="2"/>
    <x v="4"/>
    <n v="3"/>
    <x v="1"/>
    <x v="1051"/>
    <n v="15332"/>
    <n v="1"/>
    <s v="Y"/>
    <x v="1"/>
    <n v="14"/>
    <n v="3"/>
    <n v="2"/>
    <n v="80"/>
    <n v="1"/>
    <n v="8"/>
    <n v="3"/>
    <n v="2"/>
    <n v="8"/>
    <n v="2"/>
    <n v="7"/>
    <n v="7"/>
  </r>
  <r>
    <n v="40"/>
    <x v="0"/>
    <x v="1"/>
    <n v="0"/>
    <x v="0"/>
    <n v="118"/>
    <x v="0"/>
    <x v="24"/>
    <n v="2"/>
    <x v="0"/>
    <x v="0"/>
    <n v="4"/>
    <x v="0"/>
    <n v="84"/>
    <x v="0"/>
    <n v="2"/>
    <x v="0"/>
    <n v="1"/>
    <x v="1"/>
    <x v="912"/>
    <n v="11262"/>
    <n v="1"/>
    <s v="Y"/>
    <x v="1"/>
    <n v="15"/>
    <n v="3"/>
    <n v="3"/>
    <n v="80"/>
    <n v="1"/>
    <n v="5"/>
    <n v="2"/>
    <n v="3"/>
    <n v="5"/>
    <n v="4"/>
    <n v="1"/>
    <n v="2"/>
  </r>
  <r>
    <n v="43"/>
    <x v="0"/>
    <x v="1"/>
    <n v="0"/>
    <x v="0"/>
    <n v="990"/>
    <x v="1"/>
    <x v="6"/>
    <n v="3"/>
    <x v="3"/>
    <x v="4"/>
    <n v="4"/>
    <x v="1"/>
    <n v="87"/>
    <x v="2"/>
    <n v="1"/>
    <x v="2"/>
    <n v="2"/>
    <x v="2"/>
    <x v="204"/>
    <n v="5855"/>
    <n v="5"/>
    <s v="Y"/>
    <x v="1"/>
    <n v="12"/>
    <n v="3"/>
    <n v="3"/>
    <n v="80"/>
    <n v="1"/>
    <n v="8"/>
    <n v="0"/>
    <n v="3"/>
    <n v="6"/>
    <n v="4"/>
    <n v="0"/>
    <n v="2"/>
  </r>
  <r>
    <n v="35"/>
    <x v="0"/>
    <x v="1"/>
    <n v="0"/>
    <x v="0"/>
    <n v="1349"/>
    <x v="1"/>
    <x v="15"/>
    <n v="2"/>
    <x v="0"/>
    <x v="0"/>
    <n v="3"/>
    <x v="1"/>
    <n v="63"/>
    <x v="1"/>
    <n v="1"/>
    <x v="2"/>
    <n v="4"/>
    <x v="1"/>
    <x v="1052"/>
    <n v="7713"/>
    <n v="1"/>
    <s v="Y"/>
    <x v="1"/>
    <n v="18"/>
    <n v="3"/>
    <n v="4"/>
    <n v="80"/>
    <n v="1"/>
    <n v="1"/>
    <n v="5"/>
    <n v="2"/>
    <n v="1"/>
    <n v="0"/>
    <n v="0"/>
    <n v="1"/>
  </r>
  <r>
    <n v="46"/>
    <x v="1"/>
    <x v="1"/>
    <n v="0"/>
    <x v="0"/>
    <n v="563"/>
    <x v="0"/>
    <x v="0"/>
    <n v="4"/>
    <x v="2"/>
    <x v="0"/>
    <n v="4"/>
    <x v="1"/>
    <n v="56"/>
    <x v="2"/>
    <n v="4"/>
    <x v="5"/>
    <n v="1"/>
    <x v="0"/>
    <x v="1053"/>
    <n v="3156"/>
    <n v="1"/>
    <s v="Y"/>
    <x v="1"/>
    <n v="15"/>
    <n v="3"/>
    <n v="2"/>
    <n v="80"/>
    <n v="0"/>
    <n v="27"/>
    <n v="5"/>
    <n v="1"/>
    <n v="26"/>
    <n v="0"/>
    <n v="0"/>
    <n v="12"/>
  </r>
  <r>
    <n v="28"/>
    <x v="2"/>
    <x v="0"/>
    <n v="1"/>
    <x v="0"/>
    <n v="329"/>
    <x v="1"/>
    <x v="4"/>
    <n v="3"/>
    <x v="3"/>
    <x v="2"/>
    <n v="3"/>
    <x v="1"/>
    <n v="51"/>
    <x v="0"/>
    <n v="1"/>
    <x v="2"/>
    <n v="2"/>
    <x v="1"/>
    <x v="1054"/>
    <n v="7324"/>
    <n v="1"/>
    <s v="Y"/>
    <x v="0"/>
    <n v="17"/>
    <n v="3"/>
    <n v="3"/>
    <n v="80"/>
    <n v="3"/>
    <n v="1"/>
    <n v="3"/>
    <n v="3"/>
    <n v="1"/>
    <n v="1"/>
    <n v="0"/>
    <n v="0"/>
  </r>
  <r>
    <n v="22"/>
    <x v="4"/>
    <x v="1"/>
    <n v="0"/>
    <x v="2"/>
    <n v="457"/>
    <x v="1"/>
    <x v="9"/>
    <n v="2"/>
    <x v="0"/>
    <x v="1"/>
    <n v="2"/>
    <x v="0"/>
    <n v="85"/>
    <x v="1"/>
    <n v="1"/>
    <x v="1"/>
    <n v="3"/>
    <x v="1"/>
    <x v="1055"/>
    <n v="10293"/>
    <n v="1"/>
    <s v="Y"/>
    <x v="0"/>
    <n v="14"/>
    <n v="3"/>
    <n v="2"/>
    <n v="80"/>
    <n v="0"/>
    <n v="4"/>
    <n v="2"/>
    <n v="2"/>
    <n v="4"/>
    <n v="2"/>
    <n v="1"/>
    <n v="3"/>
  </r>
  <r>
    <n v="50"/>
    <x v="1"/>
    <x v="1"/>
    <n v="0"/>
    <x v="1"/>
    <n v="1234"/>
    <x v="1"/>
    <x v="25"/>
    <n v="5"/>
    <x v="4"/>
    <x v="2"/>
    <n v="2"/>
    <x v="1"/>
    <n v="41"/>
    <x v="0"/>
    <n v="4"/>
    <x v="4"/>
    <n v="3"/>
    <x v="1"/>
    <x v="1056"/>
    <n v="20689"/>
    <n v="2"/>
    <s v="Y"/>
    <x v="0"/>
    <n v="15"/>
    <n v="3"/>
    <n v="3"/>
    <n v="80"/>
    <n v="1"/>
    <n v="32"/>
    <n v="3"/>
    <n v="3"/>
    <n v="30"/>
    <n v="8"/>
    <n v="12"/>
    <n v="13"/>
  </r>
  <r>
    <n v="32"/>
    <x v="2"/>
    <x v="1"/>
    <n v="0"/>
    <x v="0"/>
    <n v="634"/>
    <x v="1"/>
    <x v="12"/>
    <n v="4"/>
    <x v="2"/>
    <x v="1"/>
    <n v="2"/>
    <x v="0"/>
    <n v="35"/>
    <x v="2"/>
    <n v="1"/>
    <x v="1"/>
    <n v="4"/>
    <x v="1"/>
    <x v="1057"/>
    <n v="18783"/>
    <n v="3"/>
    <s v="Y"/>
    <x v="1"/>
    <n v="17"/>
    <n v="3"/>
    <n v="4"/>
    <n v="80"/>
    <n v="2"/>
    <n v="6"/>
    <n v="3"/>
    <n v="3"/>
    <n v="3"/>
    <n v="2"/>
    <n v="0"/>
    <n v="2"/>
  </r>
  <r>
    <n v="44"/>
    <x v="0"/>
    <x v="1"/>
    <n v="0"/>
    <x v="0"/>
    <n v="1313"/>
    <x v="1"/>
    <x v="15"/>
    <n v="3"/>
    <x v="3"/>
    <x v="2"/>
    <n v="2"/>
    <x v="0"/>
    <n v="31"/>
    <x v="0"/>
    <n v="5"/>
    <x v="7"/>
    <n v="4"/>
    <x v="2"/>
    <x v="1058"/>
    <n v="3549"/>
    <n v="0"/>
    <s v="Y"/>
    <x v="0"/>
    <n v="14"/>
    <n v="3"/>
    <n v="4"/>
    <n v="80"/>
    <n v="1"/>
    <n v="23"/>
    <n v="4"/>
    <n v="2"/>
    <n v="22"/>
    <n v="7"/>
    <n v="1"/>
    <n v="10"/>
  </r>
  <r>
    <n v="30"/>
    <x v="2"/>
    <x v="1"/>
    <n v="0"/>
    <x v="0"/>
    <n v="241"/>
    <x v="1"/>
    <x v="15"/>
    <n v="3"/>
    <x v="3"/>
    <x v="2"/>
    <n v="2"/>
    <x v="1"/>
    <n v="48"/>
    <x v="1"/>
    <n v="1"/>
    <x v="1"/>
    <n v="2"/>
    <x v="1"/>
    <x v="1059"/>
    <n v="5348"/>
    <n v="1"/>
    <s v="Y"/>
    <x v="1"/>
    <n v="12"/>
    <n v="3"/>
    <n v="2"/>
    <n v="80"/>
    <n v="1"/>
    <n v="6"/>
    <n v="3"/>
    <n v="2"/>
    <n v="6"/>
    <n v="4"/>
    <n v="1"/>
    <n v="1"/>
  </r>
  <r>
    <n v="45"/>
    <x v="1"/>
    <x v="1"/>
    <n v="0"/>
    <x v="0"/>
    <n v="1015"/>
    <x v="1"/>
    <x v="12"/>
    <n v="5"/>
    <x v="4"/>
    <x v="2"/>
    <n v="3"/>
    <x v="0"/>
    <n v="50"/>
    <x v="3"/>
    <n v="2"/>
    <x v="2"/>
    <n v="1"/>
    <x v="0"/>
    <x v="939"/>
    <n v="23447"/>
    <n v="1"/>
    <s v="Y"/>
    <x v="0"/>
    <n v="14"/>
    <n v="3"/>
    <n v="1"/>
    <n v="80"/>
    <n v="0"/>
    <n v="10"/>
    <n v="3"/>
    <n v="3"/>
    <n v="10"/>
    <n v="7"/>
    <n v="1"/>
    <n v="4"/>
  </r>
  <r>
    <n v="45"/>
    <x v="1"/>
    <x v="1"/>
    <n v="0"/>
    <x v="2"/>
    <n v="336"/>
    <x v="0"/>
    <x v="9"/>
    <n v="3"/>
    <x v="3"/>
    <x v="3"/>
    <n v="1"/>
    <x v="1"/>
    <n v="52"/>
    <x v="1"/>
    <n v="2"/>
    <x v="0"/>
    <n v="1"/>
    <x v="1"/>
    <x v="1060"/>
    <n v="24162"/>
    <n v="1"/>
    <s v="Y"/>
    <x v="1"/>
    <n v="15"/>
    <n v="3"/>
    <n v="1"/>
    <n v="80"/>
    <n v="1"/>
    <n v="10"/>
    <n v="2"/>
    <n v="3"/>
    <n v="10"/>
    <n v="7"/>
    <n v="4"/>
    <n v="5"/>
  </r>
  <r>
    <n v="31"/>
    <x v="2"/>
    <x v="1"/>
    <n v="0"/>
    <x v="1"/>
    <n v="715"/>
    <x v="0"/>
    <x v="2"/>
    <n v="4"/>
    <x v="2"/>
    <x v="1"/>
    <n v="4"/>
    <x v="1"/>
    <n v="54"/>
    <x v="0"/>
    <n v="2"/>
    <x v="0"/>
    <n v="1"/>
    <x v="0"/>
    <x v="1061"/>
    <n v="21602"/>
    <n v="7"/>
    <s v="Y"/>
    <x v="1"/>
    <n v="13"/>
    <n v="3"/>
    <n v="4"/>
    <n v="80"/>
    <n v="0"/>
    <n v="10"/>
    <n v="3"/>
    <n v="3"/>
    <n v="5"/>
    <n v="2"/>
    <n v="0"/>
    <n v="3"/>
  </r>
  <r>
    <n v="36"/>
    <x v="0"/>
    <x v="1"/>
    <n v="0"/>
    <x v="0"/>
    <n v="559"/>
    <x v="1"/>
    <x v="20"/>
    <n v="4"/>
    <x v="2"/>
    <x v="0"/>
    <n v="3"/>
    <x v="0"/>
    <n v="76"/>
    <x v="0"/>
    <n v="2"/>
    <x v="3"/>
    <n v="3"/>
    <x v="1"/>
    <x v="1062"/>
    <n v="12421"/>
    <n v="9"/>
    <s v="Y"/>
    <x v="0"/>
    <n v="12"/>
    <n v="3"/>
    <n v="2"/>
    <n v="80"/>
    <n v="2"/>
    <n v="7"/>
    <n v="2"/>
    <n v="3"/>
    <n v="3"/>
    <n v="2"/>
    <n v="1"/>
    <n v="1"/>
  </r>
  <r>
    <n v="34"/>
    <x v="2"/>
    <x v="1"/>
    <n v="0"/>
    <x v="1"/>
    <n v="426"/>
    <x v="1"/>
    <x v="17"/>
    <n v="4"/>
    <x v="2"/>
    <x v="0"/>
    <n v="3"/>
    <x v="1"/>
    <n v="42"/>
    <x v="2"/>
    <n v="2"/>
    <x v="3"/>
    <n v="4"/>
    <x v="2"/>
    <x v="927"/>
    <n v="17000"/>
    <n v="1"/>
    <s v="Y"/>
    <x v="1"/>
    <n v="13"/>
    <n v="3"/>
    <n v="1"/>
    <n v="80"/>
    <n v="1"/>
    <n v="9"/>
    <n v="3"/>
    <n v="3"/>
    <n v="9"/>
    <n v="7"/>
    <n v="7"/>
    <n v="2"/>
  </r>
  <r>
    <n v="49"/>
    <x v="1"/>
    <x v="1"/>
    <n v="0"/>
    <x v="0"/>
    <n v="722"/>
    <x v="1"/>
    <x v="19"/>
    <n v="4"/>
    <x v="2"/>
    <x v="0"/>
    <n v="3"/>
    <x v="0"/>
    <n v="84"/>
    <x v="0"/>
    <n v="1"/>
    <x v="2"/>
    <n v="1"/>
    <x v="1"/>
    <x v="1063"/>
    <n v="22102"/>
    <n v="1"/>
    <s v="Y"/>
    <x v="1"/>
    <n v="14"/>
    <n v="3"/>
    <n v="4"/>
    <n v="80"/>
    <n v="1"/>
    <n v="10"/>
    <n v="3"/>
    <n v="2"/>
    <n v="9"/>
    <n v="6"/>
    <n v="1"/>
    <n v="4"/>
  </r>
  <r>
    <n v="39"/>
    <x v="0"/>
    <x v="1"/>
    <n v="0"/>
    <x v="0"/>
    <n v="1387"/>
    <x v="1"/>
    <x v="17"/>
    <n v="5"/>
    <x v="4"/>
    <x v="2"/>
    <n v="2"/>
    <x v="1"/>
    <n v="76"/>
    <x v="0"/>
    <n v="2"/>
    <x v="3"/>
    <n v="1"/>
    <x v="1"/>
    <x v="1064"/>
    <n v="3835"/>
    <n v="2"/>
    <s v="Y"/>
    <x v="1"/>
    <n v="13"/>
    <n v="3"/>
    <n v="4"/>
    <n v="80"/>
    <n v="3"/>
    <n v="10"/>
    <n v="3"/>
    <n v="3"/>
    <n v="7"/>
    <n v="7"/>
    <n v="7"/>
    <n v="7"/>
  </r>
  <r>
    <n v="27"/>
    <x v="2"/>
    <x v="1"/>
    <n v="0"/>
    <x v="0"/>
    <n v="1302"/>
    <x v="1"/>
    <x v="10"/>
    <n v="3"/>
    <x v="3"/>
    <x v="1"/>
    <n v="4"/>
    <x v="1"/>
    <n v="67"/>
    <x v="1"/>
    <n v="1"/>
    <x v="2"/>
    <n v="1"/>
    <x v="2"/>
    <x v="1065"/>
    <n v="16290"/>
    <n v="1"/>
    <s v="Y"/>
    <x v="1"/>
    <n v="11"/>
    <n v="3"/>
    <n v="1"/>
    <n v="80"/>
    <n v="2"/>
    <n v="7"/>
    <n v="3"/>
    <n v="3"/>
    <n v="7"/>
    <n v="7"/>
    <n v="0"/>
    <n v="7"/>
  </r>
  <r>
    <n v="35"/>
    <x v="0"/>
    <x v="1"/>
    <n v="0"/>
    <x v="0"/>
    <n v="819"/>
    <x v="1"/>
    <x v="21"/>
    <n v="5"/>
    <x v="4"/>
    <x v="0"/>
    <n v="2"/>
    <x v="1"/>
    <n v="48"/>
    <x v="2"/>
    <n v="2"/>
    <x v="1"/>
    <n v="1"/>
    <x v="1"/>
    <x v="1066"/>
    <n v="26312"/>
    <n v="1"/>
    <s v="Y"/>
    <x v="1"/>
    <n v="11"/>
    <n v="3"/>
    <n v="4"/>
    <n v="80"/>
    <n v="0"/>
    <n v="16"/>
    <n v="2"/>
    <n v="3"/>
    <n v="16"/>
    <n v="15"/>
    <n v="1"/>
    <n v="10"/>
  </r>
  <r>
    <n v="28"/>
    <x v="2"/>
    <x v="1"/>
    <n v="0"/>
    <x v="0"/>
    <n v="580"/>
    <x v="1"/>
    <x v="6"/>
    <n v="3"/>
    <x v="3"/>
    <x v="2"/>
    <n v="2"/>
    <x v="0"/>
    <n v="39"/>
    <x v="3"/>
    <n v="2"/>
    <x v="3"/>
    <n v="1"/>
    <x v="2"/>
    <x v="1067"/>
    <n v="20460"/>
    <n v="0"/>
    <s v="Y"/>
    <x v="1"/>
    <n v="21"/>
    <n v="4"/>
    <n v="2"/>
    <n v="80"/>
    <n v="1"/>
    <n v="6"/>
    <n v="5"/>
    <n v="2"/>
    <n v="5"/>
    <n v="3"/>
    <n v="0"/>
    <n v="0"/>
  </r>
  <r>
    <n v="21"/>
    <x v="4"/>
    <x v="1"/>
    <n v="0"/>
    <x v="0"/>
    <n v="546"/>
    <x v="1"/>
    <x v="12"/>
    <n v="1"/>
    <x v="1"/>
    <x v="2"/>
    <n v="3"/>
    <x v="1"/>
    <n v="97"/>
    <x v="0"/>
    <n v="1"/>
    <x v="1"/>
    <n v="4"/>
    <x v="0"/>
    <x v="1068"/>
    <n v="26009"/>
    <n v="1"/>
    <s v="Y"/>
    <x v="1"/>
    <n v="18"/>
    <n v="3"/>
    <n v="3"/>
    <n v="80"/>
    <n v="0"/>
    <n v="3"/>
    <n v="2"/>
    <n v="3"/>
    <n v="2"/>
    <n v="2"/>
    <n v="2"/>
    <n v="2"/>
  </r>
  <r>
    <n v="18"/>
    <x v="4"/>
    <x v="0"/>
    <n v="1"/>
    <x v="1"/>
    <n v="544"/>
    <x v="0"/>
    <x v="3"/>
    <n v="2"/>
    <x v="0"/>
    <x v="2"/>
    <n v="2"/>
    <x v="0"/>
    <n v="70"/>
    <x v="0"/>
    <n v="1"/>
    <x v="6"/>
    <n v="4"/>
    <x v="0"/>
    <x v="1069"/>
    <n v="18420"/>
    <n v="1"/>
    <s v="Y"/>
    <x v="0"/>
    <n v="12"/>
    <n v="3"/>
    <n v="3"/>
    <n v="80"/>
    <n v="0"/>
    <n v="0"/>
    <n v="2"/>
    <n v="4"/>
    <n v="0"/>
    <n v="0"/>
    <n v="0"/>
    <n v="0"/>
  </r>
  <r>
    <n v="47"/>
    <x v="1"/>
    <x v="1"/>
    <n v="0"/>
    <x v="0"/>
    <n v="1176"/>
    <x v="2"/>
    <x v="9"/>
    <n v="4"/>
    <x v="2"/>
    <x v="0"/>
    <n v="4"/>
    <x v="0"/>
    <n v="98"/>
    <x v="0"/>
    <n v="5"/>
    <x v="5"/>
    <n v="3"/>
    <x v="1"/>
    <x v="1070"/>
    <n v="5220"/>
    <n v="3"/>
    <s v="Y"/>
    <x v="1"/>
    <n v="11"/>
    <n v="3"/>
    <n v="3"/>
    <n v="80"/>
    <n v="1"/>
    <n v="27"/>
    <n v="2"/>
    <n v="3"/>
    <n v="5"/>
    <n v="2"/>
    <n v="1"/>
    <n v="0"/>
  </r>
  <r>
    <n v="39"/>
    <x v="0"/>
    <x v="1"/>
    <n v="0"/>
    <x v="0"/>
    <n v="170"/>
    <x v="1"/>
    <x v="3"/>
    <n v="2"/>
    <x v="0"/>
    <x v="2"/>
    <n v="3"/>
    <x v="1"/>
    <n v="76"/>
    <x v="1"/>
    <n v="2"/>
    <x v="2"/>
    <n v="3"/>
    <x v="2"/>
    <x v="1071"/>
    <n v="10302"/>
    <n v="0"/>
    <s v="Y"/>
    <x v="1"/>
    <n v="15"/>
    <n v="3"/>
    <n v="4"/>
    <n v="80"/>
    <n v="1"/>
    <n v="11"/>
    <n v="3"/>
    <n v="3"/>
    <n v="10"/>
    <n v="8"/>
    <n v="0"/>
    <n v="7"/>
  </r>
  <r>
    <n v="40"/>
    <x v="0"/>
    <x v="1"/>
    <n v="0"/>
    <x v="0"/>
    <n v="884"/>
    <x v="1"/>
    <x v="8"/>
    <n v="3"/>
    <x v="3"/>
    <x v="0"/>
    <n v="1"/>
    <x v="0"/>
    <n v="80"/>
    <x v="1"/>
    <n v="3"/>
    <x v="3"/>
    <n v="3"/>
    <x v="1"/>
    <x v="1072"/>
    <n v="25800"/>
    <n v="1"/>
    <s v="Y"/>
    <x v="1"/>
    <n v="13"/>
    <n v="3"/>
    <n v="4"/>
    <n v="80"/>
    <n v="2"/>
    <n v="18"/>
    <n v="2"/>
    <n v="3"/>
    <n v="18"/>
    <n v="15"/>
    <n v="14"/>
    <n v="12"/>
  </r>
  <r>
    <n v="35"/>
    <x v="0"/>
    <x v="1"/>
    <n v="0"/>
    <x v="2"/>
    <n v="208"/>
    <x v="1"/>
    <x v="1"/>
    <n v="4"/>
    <x v="2"/>
    <x v="0"/>
    <n v="3"/>
    <x v="0"/>
    <n v="52"/>
    <x v="0"/>
    <n v="2"/>
    <x v="4"/>
    <n v="3"/>
    <x v="1"/>
    <x v="691"/>
    <n v="12250"/>
    <n v="1"/>
    <s v="Y"/>
    <x v="1"/>
    <n v="12"/>
    <n v="3"/>
    <n v="4"/>
    <n v="80"/>
    <n v="1"/>
    <n v="15"/>
    <n v="5"/>
    <n v="3"/>
    <n v="14"/>
    <n v="11"/>
    <n v="2"/>
    <n v="9"/>
  </r>
  <r>
    <n v="37"/>
    <x v="0"/>
    <x v="1"/>
    <n v="0"/>
    <x v="0"/>
    <n v="671"/>
    <x v="1"/>
    <x v="10"/>
    <n v="3"/>
    <x v="3"/>
    <x v="0"/>
    <n v="3"/>
    <x v="1"/>
    <n v="85"/>
    <x v="0"/>
    <n v="2"/>
    <x v="3"/>
    <n v="3"/>
    <x v="1"/>
    <x v="1073"/>
    <n v="26493"/>
    <n v="3"/>
    <s v="Y"/>
    <x v="1"/>
    <n v="17"/>
    <n v="3"/>
    <n v="1"/>
    <n v="80"/>
    <n v="3"/>
    <n v="9"/>
    <n v="2"/>
    <n v="2"/>
    <n v="4"/>
    <n v="3"/>
    <n v="0"/>
    <n v="2"/>
  </r>
  <r>
    <n v="39"/>
    <x v="0"/>
    <x v="1"/>
    <n v="0"/>
    <x v="1"/>
    <n v="711"/>
    <x v="1"/>
    <x v="18"/>
    <n v="3"/>
    <x v="3"/>
    <x v="2"/>
    <n v="1"/>
    <x v="0"/>
    <n v="81"/>
    <x v="0"/>
    <n v="2"/>
    <x v="3"/>
    <n v="3"/>
    <x v="0"/>
    <x v="1074"/>
    <n v="3140"/>
    <n v="0"/>
    <s v="Y"/>
    <x v="1"/>
    <n v="13"/>
    <n v="3"/>
    <n v="4"/>
    <n v="80"/>
    <n v="0"/>
    <n v="10"/>
    <n v="2"/>
    <n v="1"/>
    <n v="9"/>
    <n v="2"/>
    <n v="3"/>
    <n v="8"/>
  </r>
  <r>
    <n v="45"/>
    <x v="1"/>
    <x v="1"/>
    <n v="0"/>
    <x v="0"/>
    <n v="1329"/>
    <x v="1"/>
    <x v="2"/>
    <n v="2"/>
    <x v="0"/>
    <x v="1"/>
    <n v="4"/>
    <x v="0"/>
    <n v="59"/>
    <x v="1"/>
    <n v="2"/>
    <x v="3"/>
    <n v="4"/>
    <x v="2"/>
    <x v="1075"/>
    <n v="5388"/>
    <n v="1"/>
    <s v="Y"/>
    <x v="1"/>
    <n v="19"/>
    <n v="3"/>
    <n v="1"/>
    <n v="80"/>
    <n v="2"/>
    <n v="10"/>
    <n v="3"/>
    <n v="3"/>
    <n v="10"/>
    <n v="7"/>
    <n v="3"/>
    <n v="9"/>
  </r>
  <r>
    <n v="38"/>
    <x v="0"/>
    <x v="1"/>
    <n v="0"/>
    <x v="0"/>
    <n v="397"/>
    <x v="1"/>
    <x v="2"/>
    <n v="2"/>
    <x v="0"/>
    <x v="2"/>
    <n v="4"/>
    <x v="0"/>
    <n v="54"/>
    <x v="1"/>
    <n v="3"/>
    <x v="3"/>
    <n v="3"/>
    <x v="1"/>
    <x v="751"/>
    <n v="14199"/>
    <n v="3"/>
    <s v="Y"/>
    <x v="0"/>
    <n v="19"/>
    <n v="3"/>
    <n v="4"/>
    <n v="80"/>
    <n v="1"/>
    <n v="10"/>
    <n v="6"/>
    <n v="4"/>
    <n v="5"/>
    <n v="4"/>
    <n v="0"/>
    <n v="2"/>
  </r>
  <r>
    <n v="35"/>
    <x v="0"/>
    <x v="0"/>
    <n v="1"/>
    <x v="0"/>
    <n v="737"/>
    <x v="0"/>
    <x v="17"/>
    <n v="3"/>
    <x v="3"/>
    <x v="2"/>
    <n v="4"/>
    <x v="1"/>
    <n v="55"/>
    <x v="1"/>
    <n v="3"/>
    <x v="0"/>
    <n v="1"/>
    <x v="1"/>
    <x v="1076"/>
    <n v="21530"/>
    <n v="9"/>
    <s v="Y"/>
    <x v="1"/>
    <n v="17"/>
    <n v="3"/>
    <n v="3"/>
    <n v="80"/>
    <n v="0"/>
    <n v="15"/>
    <n v="3"/>
    <n v="3"/>
    <n v="13"/>
    <n v="12"/>
    <n v="6"/>
    <n v="0"/>
  </r>
  <r>
    <n v="37"/>
    <x v="0"/>
    <x v="1"/>
    <n v="0"/>
    <x v="0"/>
    <n v="1470"/>
    <x v="1"/>
    <x v="17"/>
    <n v="3"/>
    <x v="3"/>
    <x v="2"/>
    <n v="2"/>
    <x v="0"/>
    <n v="71"/>
    <x v="0"/>
    <n v="1"/>
    <x v="1"/>
    <n v="2"/>
    <x v="1"/>
    <x v="1077"/>
    <n v="9953"/>
    <n v="1"/>
    <s v="Y"/>
    <x v="1"/>
    <n v="11"/>
    <n v="3"/>
    <n v="1"/>
    <n v="80"/>
    <n v="1"/>
    <n v="8"/>
    <n v="2"/>
    <n v="1"/>
    <n v="8"/>
    <n v="4"/>
    <n v="7"/>
    <n v="7"/>
  </r>
  <r>
    <n v="40"/>
    <x v="0"/>
    <x v="1"/>
    <n v="0"/>
    <x v="0"/>
    <n v="448"/>
    <x v="1"/>
    <x v="7"/>
    <n v="3"/>
    <x v="3"/>
    <x v="0"/>
    <n v="3"/>
    <x v="0"/>
    <n v="84"/>
    <x v="0"/>
    <n v="3"/>
    <x v="3"/>
    <n v="4"/>
    <x v="0"/>
    <x v="1078"/>
    <n v="19948"/>
    <n v="6"/>
    <s v="Y"/>
    <x v="0"/>
    <n v="15"/>
    <n v="3"/>
    <n v="4"/>
    <n v="80"/>
    <n v="0"/>
    <n v="18"/>
    <n v="2"/>
    <n v="2"/>
    <n v="4"/>
    <n v="2"/>
    <n v="3"/>
    <n v="3"/>
  </r>
  <r>
    <n v="44"/>
    <x v="0"/>
    <x v="1"/>
    <n v="0"/>
    <x v="1"/>
    <n v="602"/>
    <x v="2"/>
    <x v="0"/>
    <n v="5"/>
    <x v="4"/>
    <x v="5"/>
    <n v="1"/>
    <x v="1"/>
    <n v="37"/>
    <x v="0"/>
    <n v="2"/>
    <x v="8"/>
    <n v="4"/>
    <x v="1"/>
    <x v="1079"/>
    <n v="10503"/>
    <n v="4"/>
    <s v="Y"/>
    <x v="0"/>
    <n v="11"/>
    <n v="3"/>
    <n v="3"/>
    <n v="80"/>
    <n v="0"/>
    <n v="14"/>
    <n v="3"/>
    <n v="3"/>
    <n v="10"/>
    <n v="7"/>
    <n v="0"/>
    <n v="2"/>
  </r>
  <r>
    <n v="48"/>
    <x v="1"/>
    <x v="1"/>
    <n v="0"/>
    <x v="1"/>
    <n v="365"/>
    <x v="1"/>
    <x v="18"/>
    <n v="5"/>
    <x v="4"/>
    <x v="2"/>
    <n v="3"/>
    <x v="1"/>
    <n v="89"/>
    <x v="1"/>
    <n v="4"/>
    <x v="5"/>
    <n v="4"/>
    <x v="1"/>
    <x v="1080"/>
    <n v="5602"/>
    <n v="2"/>
    <s v="Y"/>
    <x v="1"/>
    <n v="25"/>
    <n v="4"/>
    <n v="2"/>
    <n v="80"/>
    <n v="1"/>
    <n v="23"/>
    <n v="3"/>
    <n v="3"/>
    <n v="2"/>
    <n v="2"/>
    <n v="2"/>
    <n v="2"/>
  </r>
  <r>
    <n v="35"/>
    <x v="0"/>
    <x v="0"/>
    <n v="1"/>
    <x v="0"/>
    <n v="763"/>
    <x v="0"/>
    <x v="8"/>
    <n v="2"/>
    <x v="0"/>
    <x v="2"/>
    <n v="1"/>
    <x v="1"/>
    <n v="59"/>
    <x v="3"/>
    <n v="2"/>
    <x v="0"/>
    <n v="4"/>
    <x v="2"/>
    <x v="1081"/>
    <n v="22098"/>
    <n v="6"/>
    <s v="Y"/>
    <x v="0"/>
    <n v="14"/>
    <n v="3"/>
    <n v="4"/>
    <n v="80"/>
    <n v="2"/>
    <n v="7"/>
    <n v="2"/>
    <n v="2"/>
    <n v="2"/>
    <n v="2"/>
    <n v="2"/>
    <n v="2"/>
  </r>
  <r>
    <n v="24"/>
    <x v="4"/>
    <x v="1"/>
    <n v="0"/>
    <x v="1"/>
    <n v="567"/>
    <x v="1"/>
    <x v="2"/>
    <n v="1"/>
    <x v="1"/>
    <x v="4"/>
    <n v="1"/>
    <x v="0"/>
    <n v="32"/>
    <x v="0"/>
    <n v="1"/>
    <x v="1"/>
    <n v="4"/>
    <x v="0"/>
    <x v="841"/>
    <n v="17218"/>
    <n v="1"/>
    <s v="Y"/>
    <x v="0"/>
    <n v="13"/>
    <n v="3"/>
    <n v="3"/>
    <n v="80"/>
    <n v="0"/>
    <n v="6"/>
    <n v="2"/>
    <n v="3"/>
    <n v="6"/>
    <n v="3"/>
    <n v="1"/>
    <n v="3"/>
  </r>
  <r>
    <n v="27"/>
    <x v="2"/>
    <x v="1"/>
    <n v="0"/>
    <x v="0"/>
    <n v="486"/>
    <x v="1"/>
    <x v="1"/>
    <n v="3"/>
    <x v="3"/>
    <x v="2"/>
    <n v="2"/>
    <x v="0"/>
    <n v="86"/>
    <x v="2"/>
    <n v="1"/>
    <x v="1"/>
    <n v="3"/>
    <x v="1"/>
    <x v="1082"/>
    <n v="22490"/>
    <n v="7"/>
    <s v="Y"/>
    <x v="1"/>
    <n v="17"/>
    <n v="3"/>
    <n v="1"/>
    <n v="80"/>
    <n v="0"/>
    <n v="5"/>
    <n v="0"/>
    <n v="3"/>
    <n v="3"/>
    <n v="2"/>
    <n v="0"/>
    <n v="2"/>
  </r>
  <r>
    <n v="27"/>
    <x v="2"/>
    <x v="1"/>
    <n v="0"/>
    <x v="1"/>
    <n v="591"/>
    <x v="1"/>
    <x v="2"/>
    <n v="3"/>
    <x v="3"/>
    <x v="2"/>
    <n v="4"/>
    <x v="1"/>
    <n v="87"/>
    <x v="0"/>
    <n v="1"/>
    <x v="1"/>
    <n v="4"/>
    <x v="0"/>
    <x v="1083"/>
    <n v="6297"/>
    <n v="2"/>
    <s v="Y"/>
    <x v="1"/>
    <n v="13"/>
    <n v="3"/>
    <n v="3"/>
    <n v="80"/>
    <n v="0"/>
    <n v="6"/>
    <n v="0"/>
    <n v="2"/>
    <n v="4"/>
    <n v="2"/>
    <n v="1"/>
    <n v="2"/>
  </r>
  <r>
    <n v="40"/>
    <x v="0"/>
    <x v="0"/>
    <n v="1"/>
    <x v="0"/>
    <n v="1329"/>
    <x v="1"/>
    <x v="15"/>
    <n v="3"/>
    <x v="3"/>
    <x v="0"/>
    <n v="1"/>
    <x v="1"/>
    <n v="73"/>
    <x v="0"/>
    <n v="1"/>
    <x v="2"/>
    <n v="1"/>
    <x v="0"/>
    <x v="1084"/>
    <n v="3339"/>
    <n v="3"/>
    <s v="Y"/>
    <x v="0"/>
    <n v="14"/>
    <n v="3"/>
    <n v="2"/>
    <n v="80"/>
    <n v="0"/>
    <n v="10"/>
    <n v="3"/>
    <n v="1"/>
    <n v="4"/>
    <n v="2"/>
    <n v="0"/>
    <n v="3"/>
  </r>
  <r>
    <n v="29"/>
    <x v="2"/>
    <x v="1"/>
    <n v="0"/>
    <x v="0"/>
    <n v="469"/>
    <x v="0"/>
    <x v="17"/>
    <n v="3"/>
    <x v="3"/>
    <x v="2"/>
    <n v="3"/>
    <x v="1"/>
    <n v="42"/>
    <x v="1"/>
    <n v="2"/>
    <x v="0"/>
    <n v="3"/>
    <x v="0"/>
    <x v="1085"/>
    <n v="23413"/>
    <n v="9"/>
    <s v="Y"/>
    <x v="1"/>
    <n v="11"/>
    <n v="3"/>
    <n v="3"/>
    <n v="80"/>
    <n v="0"/>
    <n v="8"/>
    <n v="2"/>
    <n v="3"/>
    <n v="5"/>
    <n v="2"/>
    <n v="1"/>
    <n v="4"/>
  </r>
  <r>
    <n v="36"/>
    <x v="0"/>
    <x v="1"/>
    <n v="0"/>
    <x v="0"/>
    <n v="711"/>
    <x v="1"/>
    <x v="12"/>
    <n v="4"/>
    <x v="2"/>
    <x v="0"/>
    <n v="2"/>
    <x v="0"/>
    <n v="42"/>
    <x v="0"/>
    <n v="3"/>
    <x v="4"/>
    <n v="1"/>
    <x v="1"/>
    <x v="1086"/>
    <n v="22792"/>
    <n v="4"/>
    <s v="Y"/>
    <x v="1"/>
    <n v="12"/>
    <n v="3"/>
    <n v="3"/>
    <n v="80"/>
    <n v="2"/>
    <n v="9"/>
    <n v="6"/>
    <n v="3"/>
    <n v="3"/>
    <n v="2"/>
    <n v="0"/>
    <n v="2"/>
  </r>
  <r>
    <n v="25"/>
    <x v="2"/>
    <x v="1"/>
    <n v="0"/>
    <x v="1"/>
    <n v="772"/>
    <x v="1"/>
    <x v="2"/>
    <n v="1"/>
    <x v="1"/>
    <x v="0"/>
    <n v="4"/>
    <x v="1"/>
    <n v="77"/>
    <x v="2"/>
    <n v="2"/>
    <x v="3"/>
    <n v="3"/>
    <x v="2"/>
    <x v="1087"/>
    <n v="4973"/>
    <n v="1"/>
    <s v="Y"/>
    <x v="1"/>
    <n v="17"/>
    <n v="3"/>
    <n v="3"/>
    <n v="80"/>
    <n v="2"/>
    <n v="7"/>
    <n v="6"/>
    <n v="3"/>
    <n v="7"/>
    <n v="7"/>
    <n v="0"/>
    <n v="7"/>
  </r>
  <r>
    <n v="39"/>
    <x v="0"/>
    <x v="1"/>
    <n v="0"/>
    <x v="0"/>
    <n v="492"/>
    <x v="1"/>
    <x v="20"/>
    <n v="3"/>
    <x v="3"/>
    <x v="2"/>
    <n v="4"/>
    <x v="1"/>
    <n v="66"/>
    <x v="0"/>
    <n v="2"/>
    <x v="3"/>
    <n v="2"/>
    <x v="1"/>
    <x v="1088"/>
    <n v="7693"/>
    <n v="4"/>
    <s v="Y"/>
    <x v="1"/>
    <n v="21"/>
    <n v="4"/>
    <n v="3"/>
    <n v="80"/>
    <n v="0"/>
    <n v="7"/>
    <n v="3"/>
    <n v="3"/>
    <n v="5"/>
    <n v="4"/>
    <n v="1"/>
    <n v="0"/>
  </r>
  <r>
    <n v="49"/>
    <x v="1"/>
    <x v="1"/>
    <n v="0"/>
    <x v="0"/>
    <n v="301"/>
    <x v="1"/>
    <x v="23"/>
    <n v="4"/>
    <x v="2"/>
    <x v="1"/>
    <n v="1"/>
    <x v="0"/>
    <n v="72"/>
    <x v="0"/>
    <n v="4"/>
    <x v="7"/>
    <n v="2"/>
    <x v="1"/>
    <x v="1089"/>
    <n v="3498"/>
    <n v="3"/>
    <s v="Y"/>
    <x v="1"/>
    <n v="16"/>
    <n v="3"/>
    <n v="2"/>
    <n v="80"/>
    <n v="2"/>
    <n v="27"/>
    <n v="2"/>
    <n v="3"/>
    <n v="4"/>
    <n v="2"/>
    <n v="1"/>
    <n v="2"/>
  </r>
  <r>
    <n v="50"/>
    <x v="1"/>
    <x v="1"/>
    <n v="0"/>
    <x v="0"/>
    <n v="813"/>
    <x v="1"/>
    <x v="27"/>
    <n v="5"/>
    <x v="4"/>
    <x v="0"/>
    <n v="4"/>
    <x v="0"/>
    <n v="50"/>
    <x v="1"/>
    <n v="3"/>
    <x v="7"/>
    <n v="1"/>
    <x v="2"/>
    <x v="1090"/>
    <n v="21981"/>
    <n v="5"/>
    <s v="Y"/>
    <x v="1"/>
    <n v="15"/>
    <n v="3"/>
    <n v="3"/>
    <n v="80"/>
    <n v="3"/>
    <n v="19"/>
    <n v="3"/>
    <n v="3"/>
    <n v="14"/>
    <n v="11"/>
    <n v="1"/>
    <n v="11"/>
  </r>
  <r>
    <n v="20"/>
    <x v="4"/>
    <x v="1"/>
    <n v="0"/>
    <x v="0"/>
    <n v="1141"/>
    <x v="0"/>
    <x v="2"/>
    <n v="3"/>
    <x v="3"/>
    <x v="2"/>
    <n v="3"/>
    <x v="0"/>
    <n v="31"/>
    <x v="0"/>
    <n v="1"/>
    <x v="6"/>
    <n v="3"/>
    <x v="0"/>
    <x v="1091"/>
    <n v="13251"/>
    <n v="1"/>
    <s v="Y"/>
    <x v="1"/>
    <n v="19"/>
    <n v="3"/>
    <n v="1"/>
    <n v="80"/>
    <n v="0"/>
    <n v="2"/>
    <n v="3"/>
    <n v="3"/>
    <n v="2"/>
    <n v="2"/>
    <n v="2"/>
    <n v="2"/>
  </r>
  <r>
    <n v="34"/>
    <x v="2"/>
    <x v="1"/>
    <n v="0"/>
    <x v="0"/>
    <n v="1130"/>
    <x v="1"/>
    <x v="3"/>
    <n v="3"/>
    <x v="3"/>
    <x v="0"/>
    <n v="4"/>
    <x v="0"/>
    <n v="66"/>
    <x v="0"/>
    <n v="2"/>
    <x v="1"/>
    <n v="2"/>
    <x v="2"/>
    <x v="1092"/>
    <n v="19332"/>
    <n v="1"/>
    <s v="Y"/>
    <x v="1"/>
    <n v="12"/>
    <n v="3"/>
    <n v="3"/>
    <n v="80"/>
    <n v="1"/>
    <n v="11"/>
    <n v="2"/>
    <n v="3"/>
    <n v="11"/>
    <n v="8"/>
    <n v="7"/>
    <n v="9"/>
  </r>
  <r>
    <n v="36"/>
    <x v="0"/>
    <x v="1"/>
    <n v="0"/>
    <x v="0"/>
    <n v="311"/>
    <x v="1"/>
    <x v="15"/>
    <n v="3"/>
    <x v="3"/>
    <x v="0"/>
    <n v="1"/>
    <x v="1"/>
    <n v="77"/>
    <x v="0"/>
    <n v="1"/>
    <x v="2"/>
    <n v="2"/>
    <x v="0"/>
    <x v="1093"/>
    <n v="10950"/>
    <n v="2"/>
    <s v="Y"/>
    <x v="1"/>
    <n v="11"/>
    <n v="3"/>
    <n v="3"/>
    <n v="80"/>
    <n v="0"/>
    <n v="15"/>
    <n v="4"/>
    <n v="3"/>
    <n v="4"/>
    <n v="3"/>
    <n v="1"/>
    <n v="3"/>
  </r>
  <r>
    <n v="49"/>
    <x v="1"/>
    <x v="1"/>
    <n v="0"/>
    <x v="0"/>
    <n v="465"/>
    <x v="1"/>
    <x v="16"/>
    <n v="1"/>
    <x v="1"/>
    <x v="0"/>
    <n v="3"/>
    <x v="0"/>
    <n v="41"/>
    <x v="1"/>
    <n v="4"/>
    <x v="4"/>
    <n v="3"/>
    <x v="1"/>
    <x v="1094"/>
    <n v="11652"/>
    <n v="2"/>
    <s v="Y"/>
    <x v="0"/>
    <n v="19"/>
    <n v="3"/>
    <n v="2"/>
    <n v="80"/>
    <n v="1"/>
    <n v="30"/>
    <n v="3"/>
    <n v="3"/>
    <n v="15"/>
    <n v="11"/>
    <n v="2"/>
    <n v="12"/>
  </r>
  <r>
    <n v="36"/>
    <x v="0"/>
    <x v="1"/>
    <n v="0"/>
    <x v="2"/>
    <n v="894"/>
    <x v="1"/>
    <x v="0"/>
    <n v="4"/>
    <x v="2"/>
    <x v="2"/>
    <n v="4"/>
    <x v="0"/>
    <n v="33"/>
    <x v="1"/>
    <n v="2"/>
    <x v="3"/>
    <n v="3"/>
    <x v="1"/>
    <x v="1095"/>
    <n v="15411"/>
    <n v="0"/>
    <s v="Y"/>
    <x v="1"/>
    <n v="15"/>
    <n v="3"/>
    <n v="3"/>
    <n v="80"/>
    <n v="0"/>
    <n v="4"/>
    <n v="6"/>
    <n v="3"/>
    <n v="3"/>
    <n v="2"/>
    <n v="1"/>
    <n v="2"/>
  </r>
  <r>
    <n v="36"/>
    <x v="0"/>
    <x v="1"/>
    <n v="0"/>
    <x v="0"/>
    <n v="1040"/>
    <x v="1"/>
    <x v="3"/>
    <n v="2"/>
    <x v="0"/>
    <x v="0"/>
    <n v="4"/>
    <x v="1"/>
    <n v="79"/>
    <x v="2"/>
    <n v="2"/>
    <x v="4"/>
    <n v="1"/>
    <x v="2"/>
    <x v="1096"/>
    <n v="26308"/>
    <n v="6"/>
    <s v="Y"/>
    <x v="1"/>
    <n v="20"/>
    <n v="4"/>
    <n v="1"/>
    <n v="80"/>
    <n v="1"/>
    <n v="13"/>
    <n v="3"/>
    <n v="3"/>
    <n v="5"/>
    <n v="4"/>
    <n v="0"/>
    <n v="4"/>
  </r>
  <r>
    <n v="54"/>
    <x v="1"/>
    <x v="1"/>
    <n v="0"/>
    <x v="0"/>
    <n v="584"/>
    <x v="1"/>
    <x v="23"/>
    <n v="5"/>
    <x v="4"/>
    <x v="2"/>
    <n v="2"/>
    <x v="0"/>
    <n v="91"/>
    <x v="0"/>
    <n v="4"/>
    <x v="5"/>
    <n v="3"/>
    <x v="1"/>
    <x v="1097"/>
    <n v="18685"/>
    <n v="3"/>
    <s v="Y"/>
    <x v="1"/>
    <n v="25"/>
    <n v="4"/>
    <n v="3"/>
    <n v="80"/>
    <n v="1"/>
    <n v="36"/>
    <n v="6"/>
    <n v="3"/>
    <n v="10"/>
    <n v="8"/>
    <n v="4"/>
    <n v="7"/>
  </r>
  <r>
    <n v="43"/>
    <x v="0"/>
    <x v="1"/>
    <n v="0"/>
    <x v="0"/>
    <n v="1291"/>
    <x v="1"/>
    <x v="8"/>
    <n v="2"/>
    <x v="0"/>
    <x v="0"/>
    <n v="3"/>
    <x v="1"/>
    <n v="65"/>
    <x v="1"/>
    <n v="4"/>
    <x v="7"/>
    <n v="3"/>
    <x v="1"/>
    <x v="1098"/>
    <n v="3525"/>
    <n v="1"/>
    <s v="Y"/>
    <x v="1"/>
    <n v="24"/>
    <n v="4"/>
    <n v="1"/>
    <n v="80"/>
    <n v="1"/>
    <n v="14"/>
    <n v="3"/>
    <n v="3"/>
    <n v="14"/>
    <n v="10"/>
    <n v="6"/>
    <n v="11"/>
  </r>
  <r>
    <n v="35"/>
    <x v="0"/>
    <x v="0"/>
    <n v="1"/>
    <x v="1"/>
    <n v="880"/>
    <x v="0"/>
    <x v="20"/>
    <n v="4"/>
    <x v="2"/>
    <x v="1"/>
    <n v="4"/>
    <x v="1"/>
    <n v="36"/>
    <x v="0"/>
    <n v="2"/>
    <x v="0"/>
    <n v="4"/>
    <x v="0"/>
    <x v="1099"/>
    <n v="10414"/>
    <n v="3"/>
    <s v="Y"/>
    <x v="0"/>
    <n v="24"/>
    <n v="4"/>
    <n v="1"/>
    <n v="80"/>
    <n v="0"/>
    <n v="13"/>
    <n v="2"/>
    <n v="4"/>
    <n v="11"/>
    <n v="9"/>
    <n v="6"/>
    <n v="7"/>
  </r>
  <r>
    <n v="38"/>
    <x v="0"/>
    <x v="1"/>
    <n v="0"/>
    <x v="1"/>
    <n v="1189"/>
    <x v="1"/>
    <x v="0"/>
    <n v="3"/>
    <x v="3"/>
    <x v="0"/>
    <n v="4"/>
    <x v="1"/>
    <n v="90"/>
    <x v="0"/>
    <n v="2"/>
    <x v="1"/>
    <n v="4"/>
    <x v="1"/>
    <x v="1100"/>
    <n v="9867"/>
    <n v="7"/>
    <s v="Y"/>
    <x v="1"/>
    <n v="15"/>
    <n v="3"/>
    <n v="4"/>
    <n v="80"/>
    <n v="2"/>
    <n v="19"/>
    <n v="4"/>
    <n v="4"/>
    <n v="13"/>
    <n v="11"/>
    <n v="2"/>
    <n v="9"/>
  </r>
  <r>
    <n v="29"/>
    <x v="2"/>
    <x v="1"/>
    <n v="0"/>
    <x v="0"/>
    <n v="991"/>
    <x v="0"/>
    <x v="12"/>
    <n v="3"/>
    <x v="3"/>
    <x v="2"/>
    <n v="1"/>
    <x v="1"/>
    <n v="43"/>
    <x v="1"/>
    <n v="2"/>
    <x v="0"/>
    <n v="2"/>
    <x v="2"/>
    <x v="1101"/>
    <n v="3356"/>
    <n v="1"/>
    <s v="Y"/>
    <x v="0"/>
    <n v="13"/>
    <n v="3"/>
    <n v="2"/>
    <n v="80"/>
    <n v="1"/>
    <n v="10"/>
    <n v="3"/>
    <n v="2"/>
    <n v="10"/>
    <n v="0"/>
    <n v="0"/>
    <n v="9"/>
  </r>
  <r>
    <n v="33"/>
    <x v="2"/>
    <x v="1"/>
    <n v="0"/>
    <x v="0"/>
    <n v="392"/>
    <x v="0"/>
    <x v="2"/>
    <n v="4"/>
    <x v="2"/>
    <x v="2"/>
    <n v="4"/>
    <x v="1"/>
    <n v="93"/>
    <x v="0"/>
    <n v="2"/>
    <x v="0"/>
    <n v="4"/>
    <x v="2"/>
    <x v="1102"/>
    <n v="3921"/>
    <n v="1"/>
    <s v="Y"/>
    <x v="1"/>
    <n v="14"/>
    <n v="3"/>
    <n v="3"/>
    <n v="80"/>
    <n v="2"/>
    <n v="6"/>
    <n v="5"/>
    <n v="3"/>
    <n v="6"/>
    <n v="2"/>
    <n v="0"/>
    <n v="4"/>
  </r>
  <r>
    <n v="32"/>
    <x v="2"/>
    <x v="1"/>
    <n v="0"/>
    <x v="0"/>
    <n v="977"/>
    <x v="1"/>
    <x v="2"/>
    <n v="3"/>
    <x v="3"/>
    <x v="2"/>
    <n v="4"/>
    <x v="1"/>
    <n v="45"/>
    <x v="0"/>
    <n v="2"/>
    <x v="1"/>
    <n v="2"/>
    <x v="2"/>
    <x v="1103"/>
    <n v="25518"/>
    <n v="0"/>
    <s v="Y"/>
    <x v="1"/>
    <n v="13"/>
    <n v="3"/>
    <n v="3"/>
    <n v="80"/>
    <n v="2"/>
    <n v="10"/>
    <n v="4"/>
    <n v="2"/>
    <n v="9"/>
    <n v="5"/>
    <n v="1"/>
    <n v="6"/>
  </r>
  <r>
    <n v="31"/>
    <x v="2"/>
    <x v="1"/>
    <n v="0"/>
    <x v="0"/>
    <n v="1112"/>
    <x v="0"/>
    <x v="12"/>
    <n v="4"/>
    <x v="2"/>
    <x v="0"/>
    <n v="1"/>
    <x v="0"/>
    <n v="67"/>
    <x v="0"/>
    <n v="2"/>
    <x v="0"/>
    <n v="4"/>
    <x v="1"/>
    <x v="1104"/>
    <n v="22589"/>
    <n v="1"/>
    <s v="Y"/>
    <x v="1"/>
    <n v="11"/>
    <n v="3"/>
    <n v="1"/>
    <n v="80"/>
    <n v="2"/>
    <n v="10"/>
    <n v="2"/>
    <n v="3"/>
    <n v="10"/>
    <n v="0"/>
    <n v="0"/>
    <n v="2"/>
  </r>
  <r>
    <n v="49"/>
    <x v="1"/>
    <x v="1"/>
    <n v="0"/>
    <x v="0"/>
    <n v="464"/>
    <x v="1"/>
    <x v="7"/>
    <n v="3"/>
    <x v="3"/>
    <x v="2"/>
    <n v="4"/>
    <x v="0"/>
    <n v="74"/>
    <x v="0"/>
    <n v="1"/>
    <x v="2"/>
    <n v="1"/>
    <x v="2"/>
    <x v="1105"/>
    <n v="24941"/>
    <n v="4"/>
    <s v="Y"/>
    <x v="0"/>
    <n v="16"/>
    <n v="3"/>
    <n v="2"/>
    <n v="80"/>
    <n v="1"/>
    <n v="17"/>
    <n v="2"/>
    <n v="2"/>
    <n v="2"/>
    <n v="2"/>
    <n v="2"/>
    <n v="2"/>
  </r>
  <r>
    <n v="38"/>
    <x v="0"/>
    <x v="1"/>
    <n v="0"/>
    <x v="1"/>
    <n v="148"/>
    <x v="1"/>
    <x v="2"/>
    <n v="3"/>
    <x v="3"/>
    <x v="2"/>
    <n v="4"/>
    <x v="0"/>
    <n v="42"/>
    <x v="1"/>
    <n v="1"/>
    <x v="2"/>
    <n v="2"/>
    <x v="0"/>
    <x v="1106"/>
    <n v="23826"/>
    <n v="1"/>
    <s v="Y"/>
    <x v="1"/>
    <n v="22"/>
    <n v="4"/>
    <n v="2"/>
    <n v="80"/>
    <n v="0"/>
    <n v="4"/>
    <n v="3"/>
    <n v="3"/>
    <n v="4"/>
    <n v="3"/>
    <n v="3"/>
    <n v="3"/>
  </r>
  <r>
    <n v="47"/>
    <x v="1"/>
    <x v="1"/>
    <n v="0"/>
    <x v="0"/>
    <n v="1225"/>
    <x v="0"/>
    <x v="2"/>
    <n v="4"/>
    <x v="2"/>
    <x v="0"/>
    <n v="2"/>
    <x v="0"/>
    <n v="47"/>
    <x v="2"/>
    <n v="4"/>
    <x v="5"/>
    <n v="2"/>
    <x v="2"/>
    <x v="1107"/>
    <n v="21086"/>
    <n v="6"/>
    <s v="Y"/>
    <x v="1"/>
    <n v="14"/>
    <n v="3"/>
    <n v="3"/>
    <n v="80"/>
    <n v="3"/>
    <n v="29"/>
    <n v="2"/>
    <n v="3"/>
    <n v="3"/>
    <n v="2"/>
    <n v="1"/>
    <n v="2"/>
  </r>
  <r>
    <n v="49"/>
    <x v="1"/>
    <x v="1"/>
    <n v="0"/>
    <x v="0"/>
    <n v="809"/>
    <x v="1"/>
    <x v="0"/>
    <n v="3"/>
    <x v="3"/>
    <x v="0"/>
    <n v="3"/>
    <x v="1"/>
    <n v="36"/>
    <x v="0"/>
    <n v="4"/>
    <x v="5"/>
    <n v="3"/>
    <x v="0"/>
    <x v="1108"/>
    <n v="22384"/>
    <n v="4"/>
    <s v="Y"/>
    <x v="1"/>
    <n v="14"/>
    <n v="3"/>
    <n v="1"/>
    <n v="80"/>
    <n v="0"/>
    <n v="23"/>
    <n v="2"/>
    <n v="3"/>
    <n v="8"/>
    <n v="7"/>
    <n v="0"/>
    <n v="0"/>
  </r>
  <r>
    <n v="41"/>
    <x v="0"/>
    <x v="1"/>
    <n v="0"/>
    <x v="0"/>
    <n v="1206"/>
    <x v="0"/>
    <x v="5"/>
    <n v="2"/>
    <x v="0"/>
    <x v="0"/>
    <n v="4"/>
    <x v="1"/>
    <n v="80"/>
    <x v="0"/>
    <n v="3"/>
    <x v="0"/>
    <n v="3"/>
    <x v="0"/>
    <x v="1109"/>
    <n v="11591"/>
    <n v="3"/>
    <s v="Y"/>
    <x v="0"/>
    <n v="16"/>
    <n v="3"/>
    <n v="4"/>
    <n v="80"/>
    <n v="0"/>
    <n v="21"/>
    <n v="2"/>
    <n v="3"/>
    <n v="2"/>
    <n v="0"/>
    <n v="0"/>
    <n v="2"/>
  </r>
  <r>
    <n v="20"/>
    <x v="4"/>
    <x v="1"/>
    <n v="0"/>
    <x v="0"/>
    <n v="727"/>
    <x v="0"/>
    <x v="14"/>
    <n v="1"/>
    <x v="1"/>
    <x v="0"/>
    <n v="4"/>
    <x v="1"/>
    <n v="54"/>
    <x v="0"/>
    <n v="1"/>
    <x v="6"/>
    <n v="1"/>
    <x v="0"/>
    <x v="1110"/>
    <n v="21082"/>
    <n v="1"/>
    <s v="Y"/>
    <x v="1"/>
    <n v="11"/>
    <n v="3"/>
    <n v="1"/>
    <n v="80"/>
    <n v="0"/>
    <n v="2"/>
    <n v="3"/>
    <n v="3"/>
    <n v="2"/>
    <n v="2"/>
    <n v="0"/>
    <n v="2"/>
  </r>
  <r>
    <n v="33"/>
    <x v="2"/>
    <x v="1"/>
    <n v="0"/>
    <x v="2"/>
    <n v="530"/>
    <x v="0"/>
    <x v="7"/>
    <n v="3"/>
    <x v="3"/>
    <x v="0"/>
    <n v="3"/>
    <x v="0"/>
    <n v="36"/>
    <x v="0"/>
    <n v="2"/>
    <x v="0"/>
    <n v="4"/>
    <x v="2"/>
    <x v="1111"/>
    <n v="16130"/>
    <n v="1"/>
    <s v="Y"/>
    <x v="0"/>
    <n v="25"/>
    <n v="4"/>
    <n v="3"/>
    <n v="80"/>
    <n v="1"/>
    <n v="7"/>
    <n v="2"/>
    <n v="3"/>
    <n v="6"/>
    <n v="5"/>
    <n v="1"/>
    <n v="2"/>
  </r>
  <r>
    <n v="36"/>
    <x v="0"/>
    <x v="1"/>
    <n v="0"/>
    <x v="0"/>
    <n v="1351"/>
    <x v="1"/>
    <x v="9"/>
    <n v="4"/>
    <x v="2"/>
    <x v="0"/>
    <n v="1"/>
    <x v="1"/>
    <n v="80"/>
    <x v="0"/>
    <n v="2"/>
    <x v="4"/>
    <n v="3"/>
    <x v="1"/>
    <x v="1112"/>
    <n v="7419"/>
    <n v="6"/>
    <s v="Y"/>
    <x v="1"/>
    <n v="14"/>
    <n v="3"/>
    <n v="2"/>
    <n v="80"/>
    <n v="2"/>
    <n v="10"/>
    <n v="2"/>
    <n v="2"/>
    <n v="3"/>
    <n v="2"/>
    <n v="0"/>
    <n v="2"/>
  </r>
  <r>
    <n v="44"/>
    <x v="0"/>
    <x v="1"/>
    <n v="0"/>
    <x v="0"/>
    <n v="528"/>
    <x v="2"/>
    <x v="0"/>
    <n v="3"/>
    <x v="3"/>
    <x v="0"/>
    <n v="3"/>
    <x v="0"/>
    <n v="44"/>
    <x v="0"/>
    <n v="1"/>
    <x v="8"/>
    <n v="4"/>
    <x v="2"/>
    <x v="1113"/>
    <n v="4167"/>
    <n v="4"/>
    <s v="Y"/>
    <x v="0"/>
    <n v="18"/>
    <n v="3"/>
    <n v="1"/>
    <n v="80"/>
    <n v="3"/>
    <n v="8"/>
    <n v="2"/>
    <n v="3"/>
    <n v="2"/>
    <n v="2"/>
    <n v="2"/>
    <n v="2"/>
  </r>
  <r>
    <n v="23"/>
    <x v="4"/>
    <x v="0"/>
    <n v="1"/>
    <x v="0"/>
    <n v="1320"/>
    <x v="1"/>
    <x v="1"/>
    <n v="1"/>
    <x v="1"/>
    <x v="2"/>
    <n v="4"/>
    <x v="1"/>
    <n v="93"/>
    <x v="1"/>
    <n v="1"/>
    <x v="2"/>
    <n v="3"/>
    <x v="0"/>
    <x v="1114"/>
    <n v="20586"/>
    <n v="1"/>
    <s v="Y"/>
    <x v="0"/>
    <n v="11"/>
    <n v="3"/>
    <n v="1"/>
    <n v="80"/>
    <n v="0"/>
    <n v="5"/>
    <n v="2"/>
    <n v="3"/>
    <n v="5"/>
    <n v="4"/>
    <n v="1"/>
    <n v="2"/>
  </r>
  <r>
    <n v="38"/>
    <x v="0"/>
    <x v="1"/>
    <n v="0"/>
    <x v="0"/>
    <n v="1495"/>
    <x v="1"/>
    <x v="18"/>
    <n v="2"/>
    <x v="0"/>
    <x v="2"/>
    <n v="4"/>
    <x v="0"/>
    <n v="87"/>
    <x v="0"/>
    <n v="1"/>
    <x v="2"/>
    <n v="3"/>
    <x v="1"/>
    <x v="1115"/>
    <n v="26176"/>
    <n v="7"/>
    <s v="Y"/>
    <x v="1"/>
    <n v="19"/>
    <n v="3"/>
    <n v="4"/>
    <n v="80"/>
    <n v="1"/>
    <n v="7"/>
    <n v="5"/>
    <n v="2"/>
    <n v="0"/>
    <n v="0"/>
    <n v="0"/>
    <n v="0"/>
  </r>
  <r>
    <n v="53"/>
    <x v="1"/>
    <x v="1"/>
    <n v="0"/>
    <x v="0"/>
    <n v="1395"/>
    <x v="1"/>
    <x v="4"/>
    <n v="4"/>
    <x v="2"/>
    <x v="2"/>
    <n v="2"/>
    <x v="1"/>
    <n v="48"/>
    <x v="2"/>
    <n v="3"/>
    <x v="4"/>
    <n v="4"/>
    <x v="1"/>
    <x v="1116"/>
    <n v="3458"/>
    <n v="3"/>
    <s v="Y"/>
    <x v="1"/>
    <n v="15"/>
    <n v="3"/>
    <n v="3"/>
    <n v="80"/>
    <n v="0"/>
    <n v="11"/>
    <n v="2"/>
    <n v="3"/>
    <n v="4"/>
    <n v="3"/>
    <n v="1"/>
    <n v="2"/>
  </r>
  <r>
    <n v="48"/>
    <x v="1"/>
    <x v="0"/>
    <n v="1"/>
    <x v="1"/>
    <n v="708"/>
    <x v="0"/>
    <x v="15"/>
    <n v="2"/>
    <x v="0"/>
    <x v="2"/>
    <n v="4"/>
    <x v="0"/>
    <n v="95"/>
    <x v="0"/>
    <n v="1"/>
    <x v="6"/>
    <n v="3"/>
    <x v="1"/>
    <x v="1117"/>
    <n v="11740"/>
    <n v="2"/>
    <s v="Y"/>
    <x v="0"/>
    <n v="11"/>
    <n v="3"/>
    <n v="3"/>
    <n v="80"/>
    <n v="2"/>
    <n v="19"/>
    <n v="3"/>
    <n v="3"/>
    <n v="9"/>
    <n v="7"/>
    <n v="7"/>
    <n v="7"/>
  </r>
  <r>
    <n v="32"/>
    <x v="2"/>
    <x v="0"/>
    <n v="1"/>
    <x v="0"/>
    <n v="1259"/>
    <x v="1"/>
    <x v="2"/>
    <n v="4"/>
    <x v="2"/>
    <x v="0"/>
    <n v="4"/>
    <x v="1"/>
    <n v="95"/>
    <x v="0"/>
    <n v="1"/>
    <x v="2"/>
    <n v="2"/>
    <x v="0"/>
    <x v="1118"/>
    <n v="24852"/>
    <n v="1"/>
    <s v="Y"/>
    <x v="1"/>
    <n v="12"/>
    <n v="3"/>
    <n v="1"/>
    <n v="80"/>
    <n v="0"/>
    <n v="1"/>
    <n v="2"/>
    <n v="3"/>
    <n v="1"/>
    <n v="0"/>
    <n v="0"/>
    <n v="0"/>
  </r>
  <r>
    <n v="26"/>
    <x v="2"/>
    <x v="1"/>
    <n v="0"/>
    <x v="2"/>
    <n v="786"/>
    <x v="1"/>
    <x v="15"/>
    <n v="3"/>
    <x v="3"/>
    <x v="2"/>
    <n v="4"/>
    <x v="1"/>
    <n v="76"/>
    <x v="0"/>
    <n v="1"/>
    <x v="2"/>
    <n v="4"/>
    <x v="0"/>
    <x v="1119"/>
    <n v="11925"/>
    <n v="1"/>
    <s v="Y"/>
    <x v="1"/>
    <n v="20"/>
    <n v="4"/>
    <n v="3"/>
    <n v="80"/>
    <n v="0"/>
    <n v="7"/>
    <n v="5"/>
    <n v="3"/>
    <n v="7"/>
    <n v="7"/>
    <n v="5"/>
    <n v="7"/>
  </r>
  <r>
    <n v="55"/>
    <x v="3"/>
    <x v="1"/>
    <n v="0"/>
    <x v="0"/>
    <n v="1441"/>
    <x v="1"/>
    <x v="23"/>
    <n v="3"/>
    <x v="3"/>
    <x v="4"/>
    <n v="1"/>
    <x v="1"/>
    <n v="94"/>
    <x v="1"/>
    <n v="1"/>
    <x v="1"/>
    <n v="2"/>
    <x v="2"/>
    <x v="1120"/>
    <n v="23737"/>
    <n v="5"/>
    <s v="Y"/>
    <x v="1"/>
    <n v="12"/>
    <n v="3"/>
    <n v="4"/>
    <n v="80"/>
    <n v="1"/>
    <n v="8"/>
    <n v="1"/>
    <n v="3"/>
    <n v="4"/>
    <n v="2"/>
    <n v="1"/>
    <n v="2"/>
  </r>
  <r>
    <n v="34"/>
    <x v="2"/>
    <x v="1"/>
    <n v="0"/>
    <x v="0"/>
    <n v="1157"/>
    <x v="1"/>
    <x v="12"/>
    <n v="2"/>
    <x v="0"/>
    <x v="2"/>
    <n v="2"/>
    <x v="1"/>
    <n v="57"/>
    <x v="1"/>
    <n v="2"/>
    <x v="2"/>
    <n v="4"/>
    <x v="1"/>
    <x v="1121"/>
    <n v="11912"/>
    <n v="1"/>
    <s v="Y"/>
    <x v="1"/>
    <n v="14"/>
    <n v="3"/>
    <n v="3"/>
    <n v="80"/>
    <n v="1"/>
    <n v="15"/>
    <n v="3"/>
    <n v="4"/>
    <n v="15"/>
    <n v="10"/>
    <n v="4"/>
    <n v="13"/>
  </r>
  <r>
    <n v="60"/>
    <x v="3"/>
    <x v="1"/>
    <n v="0"/>
    <x v="0"/>
    <n v="370"/>
    <x v="1"/>
    <x v="0"/>
    <n v="4"/>
    <x v="2"/>
    <x v="2"/>
    <n v="3"/>
    <x v="1"/>
    <n v="92"/>
    <x v="3"/>
    <n v="3"/>
    <x v="4"/>
    <n v="4"/>
    <x v="2"/>
    <x v="1122"/>
    <n v="20467"/>
    <n v="3"/>
    <s v="Y"/>
    <x v="1"/>
    <n v="20"/>
    <n v="4"/>
    <n v="3"/>
    <n v="80"/>
    <n v="1"/>
    <n v="19"/>
    <n v="2"/>
    <n v="4"/>
    <n v="1"/>
    <n v="0"/>
    <n v="0"/>
    <n v="0"/>
  </r>
  <r>
    <n v="33"/>
    <x v="2"/>
    <x v="1"/>
    <n v="0"/>
    <x v="0"/>
    <n v="267"/>
    <x v="1"/>
    <x v="11"/>
    <n v="3"/>
    <x v="3"/>
    <x v="2"/>
    <n v="2"/>
    <x v="1"/>
    <n v="79"/>
    <x v="2"/>
    <n v="1"/>
    <x v="2"/>
    <n v="2"/>
    <x v="1"/>
    <x v="14"/>
    <n v="13637"/>
    <n v="1"/>
    <s v="Y"/>
    <x v="1"/>
    <n v="18"/>
    <n v="3"/>
    <n v="4"/>
    <n v="80"/>
    <n v="3"/>
    <n v="14"/>
    <n v="6"/>
    <n v="3"/>
    <n v="14"/>
    <n v="11"/>
    <n v="2"/>
    <n v="13"/>
  </r>
  <r>
    <n v="37"/>
    <x v="0"/>
    <x v="1"/>
    <n v="0"/>
    <x v="1"/>
    <n v="1278"/>
    <x v="0"/>
    <x v="0"/>
    <n v="4"/>
    <x v="2"/>
    <x v="2"/>
    <n v="3"/>
    <x v="1"/>
    <n v="31"/>
    <x v="3"/>
    <n v="2"/>
    <x v="0"/>
    <n v="4"/>
    <x v="2"/>
    <x v="1123"/>
    <n v="7677"/>
    <n v="1"/>
    <s v="Y"/>
    <x v="1"/>
    <n v="14"/>
    <n v="3"/>
    <n v="3"/>
    <n v="80"/>
    <n v="2"/>
    <n v="6"/>
    <n v="2"/>
    <n v="2"/>
    <n v="6"/>
    <n v="3"/>
    <n v="1"/>
    <n v="3"/>
  </r>
  <r>
    <n v="34"/>
    <x v="2"/>
    <x v="1"/>
    <n v="0"/>
    <x v="0"/>
    <n v="678"/>
    <x v="1"/>
    <x v="10"/>
    <n v="3"/>
    <x v="3"/>
    <x v="0"/>
    <n v="2"/>
    <x v="0"/>
    <n v="35"/>
    <x v="1"/>
    <n v="1"/>
    <x v="1"/>
    <n v="4"/>
    <x v="1"/>
    <x v="1124"/>
    <n v="20338"/>
    <n v="1"/>
    <s v="Y"/>
    <x v="1"/>
    <n v="12"/>
    <n v="3"/>
    <n v="2"/>
    <n v="80"/>
    <n v="0"/>
    <n v="10"/>
    <n v="3"/>
    <n v="3"/>
    <n v="10"/>
    <n v="9"/>
    <n v="8"/>
    <n v="7"/>
  </r>
  <r>
    <n v="23"/>
    <x v="4"/>
    <x v="0"/>
    <n v="1"/>
    <x v="0"/>
    <n v="427"/>
    <x v="0"/>
    <x v="15"/>
    <n v="3"/>
    <x v="3"/>
    <x v="0"/>
    <n v="3"/>
    <x v="1"/>
    <n v="99"/>
    <x v="0"/>
    <n v="1"/>
    <x v="6"/>
    <n v="4"/>
    <x v="2"/>
    <x v="1125"/>
    <n v="25103"/>
    <n v="1"/>
    <s v="Y"/>
    <x v="0"/>
    <n v="21"/>
    <n v="4"/>
    <n v="2"/>
    <n v="80"/>
    <n v="1"/>
    <n v="3"/>
    <n v="2"/>
    <n v="3"/>
    <n v="3"/>
    <n v="2"/>
    <n v="0"/>
    <n v="2"/>
  </r>
  <r>
    <n v="44"/>
    <x v="0"/>
    <x v="1"/>
    <n v="0"/>
    <x v="0"/>
    <n v="921"/>
    <x v="1"/>
    <x v="2"/>
    <n v="3"/>
    <x v="3"/>
    <x v="0"/>
    <n v="3"/>
    <x v="0"/>
    <n v="96"/>
    <x v="2"/>
    <n v="3"/>
    <x v="4"/>
    <n v="4"/>
    <x v="1"/>
    <x v="1126"/>
    <n v="14810"/>
    <n v="1"/>
    <s v="Y"/>
    <x v="0"/>
    <n v="19"/>
    <n v="3"/>
    <n v="2"/>
    <n v="80"/>
    <n v="1"/>
    <n v="9"/>
    <n v="2"/>
    <n v="3"/>
    <n v="8"/>
    <n v="7"/>
    <n v="6"/>
    <n v="7"/>
  </r>
  <r>
    <n v="35"/>
    <x v="0"/>
    <x v="1"/>
    <n v="0"/>
    <x v="1"/>
    <n v="146"/>
    <x v="1"/>
    <x v="2"/>
    <n v="4"/>
    <x v="2"/>
    <x v="2"/>
    <n v="1"/>
    <x v="1"/>
    <n v="79"/>
    <x v="1"/>
    <n v="1"/>
    <x v="1"/>
    <n v="4"/>
    <x v="0"/>
    <x v="1127"/>
    <n v="13970"/>
    <n v="0"/>
    <s v="Y"/>
    <x v="0"/>
    <n v="14"/>
    <n v="3"/>
    <n v="3"/>
    <n v="80"/>
    <n v="0"/>
    <n v="6"/>
    <n v="2"/>
    <n v="4"/>
    <n v="5"/>
    <n v="4"/>
    <n v="1"/>
    <n v="4"/>
  </r>
  <r>
    <n v="43"/>
    <x v="0"/>
    <x v="1"/>
    <n v="0"/>
    <x v="0"/>
    <n v="1179"/>
    <x v="0"/>
    <x v="2"/>
    <n v="3"/>
    <x v="3"/>
    <x v="2"/>
    <n v="4"/>
    <x v="1"/>
    <n v="73"/>
    <x v="0"/>
    <n v="2"/>
    <x v="0"/>
    <n v="4"/>
    <x v="1"/>
    <x v="1128"/>
    <n v="6069"/>
    <n v="1"/>
    <s v="Y"/>
    <x v="0"/>
    <n v="17"/>
    <n v="3"/>
    <n v="1"/>
    <n v="80"/>
    <n v="1"/>
    <n v="10"/>
    <n v="3"/>
    <n v="3"/>
    <n v="10"/>
    <n v="9"/>
    <n v="8"/>
    <n v="8"/>
  </r>
  <r>
    <n v="24"/>
    <x v="4"/>
    <x v="1"/>
    <n v="0"/>
    <x v="0"/>
    <n v="581"/>
    <x v="1"/>
    <x v="14"/>
    <n v="3"/>
    <x v="3"/>
    <x v="2"/>
    <n v="3"/>
    <x v="1"/>
    <n v="62"/>
    <x v="2"/>
    <n v="1"/>
    <x v="1"/>
    <n v="3"/>
    <x v="1"/>
    <x v="1129"/>
    <n v="17616"/>
    <n v="1"/>
    <s v="Y"/>
    <x v="1"/>
    <n v="16"/>
    <n v="3"/>
    <n v="4"/>
    <n v="80"/>
    <n v="1"/>
    <n v="5"/>
    <n v="1"/>
    <n v="3"/>
    <n v="5"/>
    <n v="3"/>
    <n v="0"/>
    <n v="4"/>
  </r>
  <r>
    <n v="41"/>
    <x v="0"/>
    <x v="1"/>
    <n v="0"/>
    <x v="0"/>
    <n v="918"/>
    <x v="0"/>
    <x v="16"/>
    <n v="3"/>
    <x v="3"/>
    <x v="3"/>
    <n v="4"/>
    <x v="1"/>
    <n v="35"/>
    <x v="0"/>
    <n v="3"/>
    <x v="0"/>
    <n v="3"/>
    <x v="0"/>
    <x v="1130"/>
    <n v="15869"/>
    <n v="1"/>
    <s v="Y"/>
    <x v="1"/>
    <n v="12"/>
    <n v="3"/>
    <n v="2"/>
    <n v="80"/>
    <n v="0"/>
    <n v="10"/>
    <n v="3"/>
    <n v="3"/>
    <n v="10"/>
    <n v="8"/>
    <n v="8"/>
    <n v="7"/>
  </r>
  <r>
    <n v="29"/>
    <x v="2"/>
    <x v="1"/>
    <n v="0"/>
    <x v="0"/>
    <n v="1082"/>
    <x v="1"/>
    <x v="14"/>
    <n v="4"/>
    <x v="2"/>
    <x v="2"/>
    <n v="4"/>
    <x v="0"/>
    <n v="43"/>
    <x v="0"/>
    <n v="1"/>
    <x v="2"/>
    <n v="3"/>
    <x v="1"/>
    <x v="1131"/>
    <n v="25412"/>
    <n v="9"/>
    <s v="Y"/>
    <x v="1"/>
    <n v="17"/>
    <n v="3"/>
    <n v="3"/>
    <n v="80"/>
    <n v="1"/>
    <n v="9"/>
    <n v="2"/>
    <n v="3"/>
    <n v="5"/>
    <n v="3"/>
    <n v="1"/>
    <n v="2"/>
  </r>
  <r>
    <n v="36"/>
    <x v="0"/>
    <x v="1"/>
    <n v="0"/>
    <x v="0"/>
    <n v="530"/>
    <x v="0"/>
    <x v="2"/>
    <n v="4"/>
    <x v="2"/>
    <x v="0"/>
    <n v="3"/>
    <x v="0"/>
    <n v="51"/>
    <x v="0"/>
    <n v="2"/>
    <x v="6"/>
    <n v="4"/>
    <x v="0"/>
    <x v="1132"/>
    <n v="7439"/>
    <n v="3"/>
    <s v="Y"/>
    <x v="1"/>
    <n v="15"/>
    <n v="3"/>
    <n v="3"/>
    <n v="80"/>
    <n v="0"/>
    <n v="17"/>
    <n v="2"/>
    <n v="2"/>
    <n v="13"/>
    <n v="7"/>
    <n v="6"/>
    <n v="7"/>
  </r>
  <r>
    <n v="45"/>
    <x v="1"/>
    <x v="1"/>
    <n v="0"/>
    <x v="2"/>
    <n v="1238"/>
    <x v="1"/>
    <x v="0"/>
    <n v="1"/>
    <x v="1"/>
    <x v="0"/>
    <n v="3"/>
    <x v="1"/>
    <n v="74"/>
    <x v="1"/>
    <n v="3"/>
    <x v="4"/>
    <n v="3"/>
    <x v="1"/>
    <x v="1133"/>
    <n v="3395"/>
    <n v="3"/>
    <s v="Y"/>
    <x v="1"/>
    <n v="23"/>
    <n v="4"/>
    <n v="4"/>
    <n v="80"/>
    <n v="1"/>
    <n v="25"/>
    <n v="3"/>
    <n v="2"/>
    <n v="23"/>
    <n v="15"/>
    <n v="14"/>
    <n v="4"/>
  </r>
  <r>
    <n v="24"/>
    <x v="4"/>
    <x v="0"/>
    <n v="1"/>
    <x v="0"/>
    <n v="240"/>
    <x v="2"/>
    <x v="23"/>
    <n v="1"/>
    <x v="1"/>
    <x v="5"/>
    <n v="4"/>
    <x v="1"/>
    <n v="58"/>
    <x v="3"/>
    <n v="1"/>
    <x v="8"/>
    <n v="3"/>
    <x v="1"/>
    <x v="1134"/>
    <n v="11585"/>
    <n v="1"/>
    <s v="Y"/>
    <x v="1"/>
    <n v="11"/>
    <n v="3"/>
    <n v="3"/>
    <n v="80"/>
    <n v="1"/>
    <n v="1"/>
    <n v="2"/>
    <n v="3"/>
    <n v="1"/>
    <n v="0"/>
    <n v="0"/>
    <n v="0"/>
  </r>
  <r>
    <n v="47"/>
    <x v="1"/>
    <x v="0"/>
    <n v="1"/>
    <x v="1"/>
    <n v="1093"/>
    <x v="0"/>
    <x v="14"/>
    <n v="3"/>
    <x v="3"/>
    <x v="0"/>
    <n v="3"/>
    <x v="1"/>
    <n v="82"/>
    <x v="3"/>
    <n v="4"/>
    <x v="0"/>
    <n v="3"/>
    <x v="1"/>
    <x v="1135"/>
    <n v="24164"/>
    <n v="7"/>
    <s v="Y"/>
    <x v="1"/>
    <n v="11"/>
    <n v="3"/>
    <n v="3"/>
    <n v="80"/>
    <n v="0"/>
    <n v="25"/>
    <n v="3"/>
    <n v="1"/>
    <n v="23"/>
    <n v="5"/>
    <n v="14"/>
    <n v="10"/>
  </r>
  <r>
    <n v="26"/>
    <x v="2"/>
    <x v="1"/>
    <n v="0"/>
    <x v="0"/>
    <n v="390"/>
    <x v="1"/>
    <x v="27"/>
    <n v="4"/>
    <x v="2"/>
    <x v="2"/>
    <n v="4"/>
    <x v="1"/>
    <n v="62"/>
    <x v="3"/>
    <n v="1"/>
    <x v="2"/>
    <n v="3"/>
    <x v="1"/>
    <x v="1136"/>
    <n v="6217"/>
    <n v="1"/>
    <s v="Y"/>
    <x v="1"/>
    <n v="15"/>
    <n v="3"/>
    <n v="3"/>
    <n v="80"/>
    <n v="3"/>
    <n v="3"/>
    <n v="3"/>
    <n v="4"/>
    <n v="3"/>
    <n v="2"/>
    <n v="0"/>
    <n v="2"/>
  </r>
  <r>
    <n v="45"/>
    <x v="1"/>
    <x v="1"/>
    <n v="0"/>
    <x v="0"/>
    <n v="1005"/>
    <x v="1"/>
    <x v="26"/>
    <n v="2"/>
    <x v="0"/>
    <x v="4"/>
    <n v="4"/>
    <x v="0"/>
    <n v="48"/>
    <x v="1"/>
    <n v="4"/>
    <x v="7"/>
    <n v="2"/>
    <x v="0"/>
    <x v="1137"/>
    <n v="17119"/>
    <n v="1"/>
    <s v="Y"/>
    <x v="1"/>
    <n v="11"/>
    <n v="3"/>
    <n v="3"/>
    <n v="80"/>
    <n v="0"/>
    <n v="21"/>
    <n v="2"/>
    <n v="3"/>
    <n v="21"/>
    <n v="6"/>
    <n v="8"/>
    <n v="6"/>
  </r>
  <r>
    <n v="32"/>
    <x v="2"/>
    <x v="1"/>
    <n v="0"/>
    <x v="1"/>
    <n v="585"/>
    <x v="1"/>
    <x v="17"/>
    <n v="3"/>
    <x v="3"/>
    <x v="0"/>
    <n v="1"/>
    <x v="1"/>
    <n v="56"/>
    <x v="0"/>
    <n v="1"/>
    <x v="1"/>
    <n v="3"/>
    <x v="1"/>
    <x v="1138"/>
    <n v="17360"/>
    <n v="6"/>
    <s v="Y"/>
    <x v="1"/>
    <n v="13"/>
    <n v="3"/>
    <n v="1"/>
    <n v="80"/>
    <n v="1"/>
    <n v="10"/>
    <n v="3"/>
    <n v="2"/>
    <n v="5"/>
    <n v="2"/>
    <n v="1"/>
    <n v="3"/>
  </r>
  <r>
    <n v="31"/>
    <x v="2"/>
    <x v="1"/>
    <n v="0"/>
    <x v="0"/>
    <n v="741"/>
    <x v="1"/>
    <x v="2"/>
    <n v="4"/>
    <x v="2"/>
    <x v="0"/>
    <n v="2"/>
    <x v="1"/>
    <n v="69"/>
    <x v="0"/>
    <n v="1"/>
    <x v="2"/>
    <n v="3"/>
    <x v="1"/>
    <x v="1139"/>
    <n v="18103"/>
    <n v="1"/>
    <s v="Y"/>
    <x v="1"/>
    <n v="14"/>
    <n v="3"/>
    <n v="4"/>
    <n v="80"/>
    <n v="1"/>
    <n v="6"/>
    <n v="2"/>
    <n v="4"/>
    <n v="5"/>
    <n v="2"/>
    <n v="0"/>
    <n v="3"/>
  </r>
  <r>
    <n v="41"/>
    <x v="0"/>
    <x v="1"/>
    <n v="0"/>
    <x v="2"/>
    <n v="552"/>
    <x v="2"/>
    <x v="18"/>
    <n v="3"/>
    <x v="3"/>
    <x v="5"/>
    <n v="3"/>
    <x v="1"/>
    <n v="60"/>
    <x v="3"/>
    <n v="2"/>
    <x v="8"/>
    <n v="2"/>
    <x v="1"/>
    <x v="1140"/>
    <n v="20794"/>
    <n v="6"/>
    <s v="Y"/>
    <x v="1"/>
    <n v="19"/>
    <n v="3"/>
    <n v="2"/>
    <n v="80"/>
    <n v="1"/>
    <n v="10"/>
    <n v="4"/>
    <n v="3"/>
    <n v="3"/>
    <n v="2"/>
    <n v="1"/>
    <n v="2"/>
  </r>
  <r>
    <n v="40"/>
    <x v="0"/>
    <x v="1"/>
    <n v="0"/>
    <x v="0"/>
    <n v="369"/>
    <x v="1"/>
    <x v="1"/>
    <n v="2"/>
    <x v="0"/>
    <x v="0"/>
    <n v="2"/>
    <x v="0"/>
    <n v="92"/>
    <x v="0"/>
    <n v="2"/>
    <x v="3"/>
    <n v="1"/>
    <x v="1"/>
    <x v="1141"/>
    <n v="5041"/>
    <n v="2"/>
    <s v="Y"/>
    <x v="0"/>
    <n v="16"/>
    <n v="3"/>
    <n v="2"/>
    <n v="80"/>
    <n v="1"/>
    <n v="18"/>
    <n v="3"/>
    <n v="3"/>
    <n v="1"/>
    <n v="0"/>
    <n v="0"/>
    <n v="0"/>
  </r>
  <r>
    <n v="24"/>
    <x v="4"/>
    <x v="1"/>
    <n v="0"/>
    <x v="0"/>
    <n v="506"/>
    <x v="1"/>
    <x v="22"/>
    <n v="1"/>
    <x v="1"/>
    <x v="2"/>
    <n v="2"/>
    <x v="1"/>
    <n v="91"/>
    <x v="0"/>
    <n v="1"/>
    <x v="2"/>
    <n v="1"/>
    <x v="2"/>
    <x v="1142"/>
    <n v="3622"/>
    <n v="1"/>
    <s v="Y"/>
    <x v="1"/>
    <n v="13"/>
    <n v="3"/>
    <n v="2"/>
    <n v="80"/>
    <n v="3"/>
    <n v="6"/>
    <n v="2"/>
    <n v="4"/>
    <n v="6"/>
    <n v="2"/>
    <n v="1"/>
    <n v="2"/>
  </r>
  <r>
    <n v="46"/>
    <x v="1"/>
    <x v="1"/>
    <n v="0"/>
    <x v="0"/>
    <n v="717"/>
    <x v="1"/>
    <x v="28"/>
    <n v="4"/>
    <x v="2"/>
    <x v="0"/>
    <n v="3"/>
    <x v="1"/>
    <n v="34"/>
    <x v="0"/>
    <n v="2"/>
    <x v="4"/>
    <n v="2"/>
    <x v="0"/>
    <x v="622"/>
    <n v="9697"/>
    <n v="6"/>
    <s v="Y"/>
    <x v="1"/>
    <n v="14"/>
    <n v="3"/>
    <n v="4"/>
    <n v="80"/>
    <n v="0"/>
    <n v="19"/>
    <n v="3"/>
    <n v="3"/>
    <n v="10"/>
    <n v="7"/>
    <n v="0"/>
    <n v="9"/>
  </r>
  <r>
    <n v="35"/>
    <x v="0"/>
    <x v="1"/>
    <n v="0"/>
    <x v="0"/>
    <n v="1370"/>
    <x v="1"/>
    <x v="6"/>
    <n v="4"/>
    <x v="2"/>
    <x v="0"/>
    <n v="4"/>
    <x v="1"/>
    <n v="49"/>
    <x v="0"/>
    <n v="2"/>
    <x v="3"/>
    <n v="3"/>
    <x v="1"/>
    <x v="1143"/>
    <n v="5151"/>
    <n v="2"/>
    <s v="Y"/>
    <x v="1"/>
    <n v="16"/>
    <n v="3"/>
    <n v="2"/>
    <n v="80"/>
    <n v="1"/>
    <n v="17"/>
    <n v="3"/>
    <n v="3"/>
    <n v="7"/>
    <n v="7"/>
    <n v="0"/>
    <n v="7"/>
  </r>
  <r>
    <n v="30"/>
    <x v="2"/>
    <x v="1"/>
    <n v="0"/>
    <x v="0"/>
    <n v="793"/>
    <x v="1"/>
    <x v="7"/>
    <n v="1"/>
    <x v="1"/>
    <x v="0"/>
    <n v="2"/>
    <x v="1"/>
    <n v="33"/>
    <x v="0"/>
    <n v="1"/>
    <x v="1"/>
    <n v="4"/>
    <x v="1"/>
    <x v="1144"/>
    <n v="3811"/>
    <n v="1"/>
    <s v="Y"/>
    <x v="1"/>
    <n v="12"/>
    <n v="3"/>
    <n v="2"/>
    <n v="80"/>
    <n v="1"/>
    <n v="10"/>
    <n v="2"/>
    <n v="2"/>
    <n v="10"/>
    <n v="0"/>
    <n v="0"/>
    <n v="8"/>
  </r>
  <r>
    <n v="47"/>
    <x v="1"/>
    <x v="1"/>
    <n v="0"/>
    <x v="2"/>
    <n v="543"/>
    <x v="0"/>
    <x v="2"/>
    <n v="4"/>
    <x v="2"/>
    <x v="3"/>
    <n v="3"/>
    <x v="1"/>
    <n v="87"/>
    <x v="0"/>
    <n v="2"/>
    <x v="0"/>
    <n v="2"/>
    <x v="1"/>
    <x v="1145"/>
    <n v="3536"/>
    <n v="7"/>
    <s v="Y"/>
    <x v="1"/>
    <n v="11"/>
    <n v="3"/>
    <n v="4"/>
    <n v="80"/>
    <n v="1"/>
    <n v="4"/>
    <n v="3"/>
    <n v="1"/>
    <n v="1"/>
    <n v="0"/>
    <n v="0"/>
    <n v="0"/>
  </r>
  <r>
    <n v="46"/>
    <x v="1"/>
    <x v="1"/>
    <n v="0"/>
    <x v="0"/>
    <n v="1277"/>
    <x v="0"/>
    <x v="2"/>
    <n v="3"/>
    <x v="3"/>
    <x v="0"/>
    <n v="3"/>
    <x v="1"/>
    <n v="74"/>
    <x v="0"/>
    <n v="3"/>
    <x v="0"/>
    <n v="4"/>
    <x v="2"/>
    <x v="1146"/>
    <n v="5596"/>
    <n v="4"/>
    <s v="Y"/>
    <x v="0"/>
    <n v="12"/>
    <n v="3"/>
    <n v="2"/>
    <n v="80"/>
    <n v="1"/>
    <n v="13"/>
    <n v="5"/>
    <n v="2"/>
    <n v="10"/>
    <n v="6"/>
    <n v="0"/>
    <n v="3"/>
  </r>
  <r>
    <n v="36"/>
    <x v="0"/>
    <x v="0"/>
    <n v="1"/>
    <x v="0"/>
    <n v="1456"/>
    <x v="0"/>
    <x v="28"/>
    <n v="5"/>
    <x v="4"/>
    <x v="3"/>
    <n v="2"/>
    <x v="1"/>
    <n v="96"/>
    <x v="1"/>
    <n v="2"/>
    <x v="0"/>
    <n v="1"/>
    <x v="2"/>
    <x v="1147"/>
    <n v="8658"/>
    <n v="5"/>
    <s v="Y"/>
    <x v="0"/>
    <n v="13"/>
    <n v="3"/>
    <n v="2"/>
    <n v="80"/>
    <n v="3"/>
    <n v="16"/>
    <n v="3"/>
    <n v="3"/>
    <n v="2"/>
    <n v="2"/>
    <n v="2"/>
    <n v="2"/>
  </r>
  <r>
    <n v="32"/>
    <x v="2"/>
    <x v="0"/>
    <n v="1"/>
    <x v="0"/>
    <n v="964"/>
    <x v="0"/>
    <x v="0"/>
    <n v="2"/>
    <x v="0"/>
    <x v="0"/>
    <n v="1"/>
    <x v="1"/>
    <n v="34"/>
    <x v="3"/>
    <n v="2"/>
    <x v="0"/>
    <n v="2"/>
    <x v="0"/>
    <x v="1148"/>
    <n v="12147"/>
    <n v="6"/>
    <s v="Y"/>
    <x v="1"/>
    <n v="15"/>
    <n v="3"/>
    <n v="2"/>
    <n v="80"/>
    <n v="0"/>
    <n v="10"/>
    <n v="2"/>
    <n v="3"/>
    <n v="0"/>
    <n v="0"/>
    <n v="0"/>
    <n v="0"/>
  </r>
  <r>
    <n v="23"/>
    <x v="4"/>
    <x v="1"/>
    <n v="0"/>
    <x v="0"/>
    <n v="160"/>
    <x v="1"/>
    <x v="18"/>
    <n v="1"/>
    <x v="1"/>
    <x v="2"/>
    <n v="3"/>
    <x v="0"/>
    <n v="51"/>
    <x v="0"/>
    <n v="1"/>
    <x v="2"/>
    <n v="2"/>
    <x v="0"/>
    <x v="1149"/>
    <n v="12862"/>
    <n v="1"/>
    <s v="Y"/>
    <x v="1"/>
    <n v="13"/>
    <n v="3"/>
    <n v="3"/>
    <n v="80"/>
    <n v="0"/>
    <n v="3"/>
    <n v="3"/>
    <n v="1"/>
    <n v="3"/>
    <n v="2"/>
    <n v="1"/>
    <n v="2"/>
  </r>
  <r>
    <n v="31"/>
    <x v="2"/>
    <x v="1"/>
    <n v="0"/>
    <x v="1"/>
    <n v="163"/>
    <x v="1"/>
    <x v="4"/>
    <n v="1"/>
    <x v="1"/>
    <x v="4"/>
    <n v="4"/>
    <x v="0"/>
    <n v="30"/>
    <x v="0"/>
    <n v="2"/>
    <x v="3"/>
    <n v="4"/>
    <x v="0"/>
    <x v="319"/>
    <n v="6670"/>
    <n v="2"/>
    <s v="Y"/>
    <x v="1"/>
    <n v="20"/>
    <n v="4"/>
    <n v="4"/>
    <n v="80"/>
    <n v="0"/>
    <n v="9"/>
    <n v="3"/>
    <n v="2"/>
    <n v="5"/>
    <n v="4"/>
    <n v="1"/>
    <n v="4"/>
  </r>
  <r>
    <n v="39"/>
    <x v="0"/>
    <x v="1"/>
    <n v="0"/>
    <x v="2"/>
    <n v="792"/>
    <x v="1"/>
    <x v="0"/>
    <n v="3"/>
    <x v="3"/>
    <x v="0"/>
    <n v="4"/>
    <x v="1"/>
    <n v="77"/>
    <x v="0"/>
    <n v="2"/>
    <x v="2"/>
    <n v="4"/>
    <x v="1"/>
    <x v="1150"/>
    <n v="8989"/>
    <n v="1"/>
    <s v="Y"/>
    <x v="0"/>
    <n v="15"/>
    <n v="3"/>
    <n v="4"/>
    <n v="80"/>
    <n v="1"/>
    <n v="9"/>
    <n v="2"/>
    <n v="3"/>
    <n v="9"/>
    <n v="8"/>
    <n v="5"/>
    <n v="8"/>
  </r>
  <r>
    <n v="32"/>
    <x v="2"/>
    <x v="1"/>
    <n v="0"/>
    <x v="0"/>
    <n v="371"/>
    <x v="0"/>
    <x v="10"/>
    <n v="3"/>
    <x v="3"/>
    <x v="0"/>
    <n v="4"/>
    <x v="1"/>
    <n v="80"/>
    <x v="3"/>
    <n v="3"/>
    <x v="0"/>
    <n v="3"/>
    <x v="1"/>
    <x v="1151"/>
    <n v="3840"/>
    <n v="3"/>
    <s v="Y"/>
    <x v="1"/>
    <n v="13"/>
    <n v="3"/>
    <n v="3"/>
    <n v="80"/>
    <n v="1"/>
    <n v="10"/>
    <n v="2"/>
    <n v="1"/>
    <n v="4"/>
    <n v="3"/>
    <n v="0"/>
    <n v="2"/>
  </r>
  <r>
    <n v="40"/>
    <x v="0"/>
    <x v="1"/>
    <n v="0"/>
    <x v="0"/>
    <n v="611"/>
    <x v="0"/>
    <x v="15"/>
    <n v="4"/>
    <x v="2"/>
    <x v="2"/>
    <n v="2"/>
    <x v="1"/>
    <n v="88"/>
    <x v="0"/>
    <n v="5"/>
    <x v="5"/>
    <n v="2"/>
    <x v="0"/>
    <x v="1152"/>
    <n v="4349"/>
    <n v="1"/>
    <s v="Y"/>
    <x v="1"/>
    <n v="14"/>
    <n v="3"/>
    <n v="2"/>
    <n v="80"/>
    <n v="0"/>
    <n v="21"/>
    <n v="3"/>
    <n v="2"/>
    <n v="21"/>
    <n v="8"/>
    <n v="12"/>
    <n v="8"/>
  </r>
  <r>
    <n v="45"/>
    <x v="1"/>
    <x v="1"/>
    <n v="0"/>
    <x v="0"/>
    <n v="176"/>
    <x v="2"/>
    <x v="18"/>
    <n v="3"/>
    <x v="3"/>
    <x v="0"/>
    <n v="3"/>
    <x v="0"/>
    <n v="56"/>
    <x v="3"/>
    <n v="3"/>
    <x v="8"/>
    <n v="3"/>
    <x v="1"/>
    <x v="1153"/>
    <n v="6595"/>
    <n v="4"/>
    <s v="Y"/>
    <x v="1"/>
    <n v="21"/>
    <n v="4"/>
    <n v="3"/>
    <n v="80"/>
    <n v="2"/>
    <n v="9"/>
    <n v="2"/>
    <n v="4"/>
    <n v="5"/>
    <n v="0"/>
    <n v="0"/>
    <n v="3"/>
  </r>
  <r>
    <n v="30"/>
    <x v="2"/>
    <x v="1"/>
    <n v="0"/>
    <x v="1"/>
    <n v="1312"/>
    <x v="1"/>
    <x v="2"/>
    <n v="4"/>
    <x v="2"/>
    <x v="4"/>
    <n v="4"/>
    <x v="0"/>
    <n v="78"/>
    <x v="1"/>
    <n v="1"/>
    <x v="1"/>
    <n v="1"/>
    <x v="0"/>
    <x v="775"/>
    <n v="26427"/>
    <n v="0"/>
    <s v="Y"/>
    <x v="1"/>
    <n v="16"/>
    <n v="3"/>
    <n v="4"/>
    <n v="80"/>
    <n v="0"/>
    <n v="10"/>
    <n v="2"/>
    <n v="3"/>
    <n v="9"/>
    <n v="7"/>
    <n v="0"/>
    <n v="7"/>
  </r>
  <r>
    <n v="24"/>
    <x v="4"/>
    <x v="1"/>
    <n v="0"/>
    <x v="1"/>
    <n v="897"/>
    <x v="2"/>
    <x v="17"/>
    <n v="3"/>
    <x v="3"/>
    <x v="2"/>
    <n v="1"/>
    <x v="1"/>
    <n v="59"/>
    <x v="0"/>
    <n v="1"/>
    <x v="8"/>
    <n v="4"/>
    <x v="1"/>
    <x v="1154"/>
    <n v="2097"/>
    <n v="0"/>
    <s v="Y"/>
    <x v="1"/>
    <n v="14"/>
    <n v="3"/>
    <n v="4"/>
    <n v="80"/>
    <n v="1"/>
    <n v="3"/>
    <n v="2"/>
    <n v="3"/>
    <n v="2"/>
    <n v="2"/>
    <n v="2"/>
    <n v="1"/>
  </r>
  <r>
    <n v="30"/>
    <x v="2"/>
    <x v="0"/>
    <n v="1"/>
    <x v="1"/>
    <n v="600"/>
    <x v="2"/>
    <x v="1"/>
    <n v="3"/>
    <x v="3"/>
    <x v="5"/>
    <n v="3"/>
    <x v="0"/>
    <n v="66"/>
    <x v="1"/>
    <n v="1"/>
    <x v="8"/>
    <n v="4"/>
    <x v="2"/>
    <x v="1155"/>
    <n v="9732"/>
    <n v="6"/>
    <s v="Y"/>
    <x v="1"/>
    <n v="11"/>
    <n v="3"/>
    <n v="3"/>
    <n v="80"/>
    <n v="1"/>
    <n v="6"/>
    <n v="0"/>
    <n v="2"/>
    <n v="4"/>
    <n v="2"/>
    <n v="1"/>
    <n v="2"/>
  </r>
  <r>
    <n v="31"/>
    <x v="2"/>
    <x v="1"/>
    <n v="0"/>
    <x v="0"/>
    <n v="1003"/>
    <x v="0"/>
    <x v="12"/>
    <n v="3"/>
    <x v="3"/>
    <x v="4"/>
    <n v="1"/>
    <x v="1"/>
    <n v="51"/>
    <x v="0"/>
    <n v="2"/>
    <x v="0"/>
    <n v="3"/>
    <x v="1"/>
    <x v="1156"/>
    <n v="20943"/>
    <n v="1"/>
    <s v="Y"/>
    <x v="1"/>
    <n v="19"/>
    <n v="3"/>
    <n v="3"/>
    <n v="80"/>
    <n v="1"/>
    <n v="6"/>
    <n v="3"/>
    <n v="3"/>
    <n v="5"/>
    <n v="2"/>
    <n v="0"/>
    <n v="2"/>
  </r>
  <r>
    <n v="27"/>
    <x v="2"/>
    <x v="1"/>
    <n v="0"/>
    <x v="0"/>
    <n v="1054"/>
    <x v="1"/>
    <x v="1"/>
    <n v="3"/>
    <x v="3"/>
    <x v="2"/>
    <n v="3"/>
    <x v="0"/>
    <n v="67"/>
    <x v="0"/>
    <n v="1"/>
    <x v="1"/>
    <n v="4"/>
    <x v="0"/>
    <x v="1157"/>
    <n v="6152"/>
    <n v="1"/>
    <s v="Y"/>
    <x v="1"/>
    <n v="11"/>
    <n v="3"/>
    <n v="3"/>
    <n v="80"/>
    <n v="0"/>
    <n v="6"/>
    <n v="5"/>
    <n v="2"/>
    <n v="6"/>
    <n v="2"/>
    <n v="1"/>
    <n v="4"/>
  </r>
  <r>
    <n v="29"/>
    <x v="2"/>
    <x v="0"/>
    <n v="1"/>
    <x v="0"/>
    <n v="428"/>
    <x v="0"/>
    <x v="14"/>
    <n v="3"/>
    <x v="3"/>
    <x v="3"/>
    <n v="2"/>
    <x v="0"/>
    <n v="52"/>
    <x v="3"/>
    <n v="1"/>
    <x v="6"/>
    <n v="2"/>
    <x v="0"/>
    <x v="1158"/>
    <n v="14630"/>
    <n v="1"/>
    <s v="Y"/>
    <x v="1"/>
    <n v="13"/>
    <n v="3"/>
    <n v="3"/>
    <n v="80"/>
    <n v="0"/>
    <n v="2"/>
    <n v="3"/>
    <n v="3"/>
    <n v="2"/>
    <n v="2"/>
    <n v="2"/>
    <n v="2"/>
  </r>
  <r>
    <n v="29"/>
    <x v="2"/>
    <x v="1"/>
    <n v="0"/>
    <x v="1"/>
    <n v="461"/>
    <x v="1"/>
    <x v="0"/>
    <n v="3"/>
    <x v="3"/>
    <x v="0"/>
    <n v="4"/>
    <x v="1"/>
    <n v="70"/>
    <x v="2"/>
    <n v="2"/>
    <x v="4"/>
    <n v="3"/>
    <x v="0"/>
    <x v="1159"/>
    <n v="23060"/>
    <n v="8"/>
    <s v="Y"/>
    <x v="0"/>
    <n v="12"/>
    <n v="3"/>
    <n v="4"/>
    <n v="80"/>
    <n v="0"/>
    <n v="10"/>
    <n v="5"/>
    <n v="4"/>
    <n v="3"/>
    <n v="2"/>
    <n v="0"/>
    <n v="2"/>
  </r>
  <r>
    <n v="30"/>
    <x v="2"/>
    <x v="1"/>
    <n v="0"/>
    <x v="0"/>
    <n v="979"/>
    <x v="0"/>
    <x v="8"/>
    <n v="2"/>
    <x v="0"/>
    <x v="3"/>
    <n v="3"/>
    <x v="1"/>
    <n v="94"/>
    <x v="1"/>
    <n v="3"/>
    <x v="0"/>
    <n v="1"/>
    <x v="2"/>
    <x v="1160"/>
    <n v="3088"/>
    <n v="2"/>
    <s v="Y"/>
    <x v="1"/>
    <n v="11"/>
    <n v="3"/>
    <n v="1"/>
    <n v="80"/>
    <n v="1"/>
    <n v="12"/>
    <n v="2"/>
    <n v="3"/>
    <n v="7"/>
    <n v="7"/>
    <n v="1"/>
    <n v="7"/>
  </r>
  <r>
    <n v="34"/>
    <x v="2"/>
    <x v="1"/>
    <n v="0"/>
    <x v="0"/>
    <n v="181"/>
    <x v="1"/>
    <x v="2"/>
    <n v="4"/>
    <x v="2"/>
    <x v="2"/>
    <n v="4"/>
    <x v="1"/>
    <n v="97"/>
    <x v="2"/>
    <n v="1"/>
    <x v="1"/>
    <n v="4"/>
    <x v="1"/>
    <x v="1161"/>
    <n v="5586"/>
    <n v="0"/>
    <s v="Y"/>
    <x v="0"/>
    <n v="14"/>
    <n v="3"/>
    <n v="1"/>
    <n v="80"/>
    <n v="3"/>
    <n v="6"/>
    <n v="3"/>
    <n v="3"/>
    <n v="5"/>
    <n v="0"/>
    <n v="1"/>
    <n v="2"/>
  </r>
  <r>
    <n v="33"/>
    <x v="2"/>
    <x v="1"/>
    <n v="0"/>
    <x v="2"/>
    <n v="1283"/>
    <x v="0"/>
    <x v="2"/>
    <n v="3"/>
    <x v="3"/>
    <x v="3"/>
    <n v="4"/>
    <x v="0"/>
    <n v="62"/>
    <x v="0"/>
    <n v="2"/>
    <x v="0"/>
    <n v="2"/>
    <x v="0"/>
    <x v="1162"/>
    <n v="10697"/>
    <n v="8"/>
    <s v="Y"/>
    <x v="1"/>
    <n v="15"/>
    <n v="3"/>
    <n v="4"/>
    <n v="80"/>
    <n v="0"/>
    <n v="13"/>
    <n v="2"/>
    <n v="2"/>
    <n v="11"/>
    <n v="7"/>
    <n v="1"/>
    <n v="7"/>
  </r>
  <r>
    <n v="49"/>
    <x v="1"/>
    <x v="1"/>
    <n v="0"/>
    <x v="0"/>
    <n v="1313"/>
    <x v="0"/>
    <x v="13"/>
    <n v="4"/>
    <x v="2"/>
    <x v="3"/>
    <n v="4"/>
    <x v="0"/>
    <n v="80"/>
    <x v="0"/>
    <n v="2"/>
    <x v="0"/>
    <n v="4"/>
    <x v="0"/>
    <x v="1163"/>
    <n v="8191"/>
    <n v="3"/>
    <s v="Y"/>
    <x v="1"/>
    <n v="12"/>
    <n v="3"/>
    <n v="3"/>
    <n v="80"/>
    <n v="0"/>
    <n v="8"/>
    <n v="1"/>
    <n v="4"/>
    <n v="5"/>
    <n v="1"/>
    <n v="0"/>
    <n v="4"/>
  </r>
  <r>
    <n v="33"/>
    <x v="2"/>
    <x v="0"/>
    <n v="1"/>
    <x v="0"/>
    <n v="211"/>
    <x v="0"/>
    <x v="7"/>
    <n v="3"/>
    <x v="3"/>
    <x v="0"/>
    <n v="1"/>
    <x v="0"/>
    <n v="74"/>
    <x v="0"/>
    <n v="3"/>
    <x v="0"/>
    <n v="1"/>
    <x v="0"/>
    <x v="1164"/>
    <n v="10092"/>
    <n v="2"/>
    <s v="Y"/>
    <x v="0"/>
    <n v="20"/>
    <n v="4"/>
    <n v="3"/>
    <n v="80"/>
    <n v="0"/>
    <n v="11"/>
    <n v="2"/>
    <n v="2"/>
    <n v="0"/>
    <n v="0"/>
    <n v="0"/>
    <n v="0"/>
  </r>
  <r>
    <n v="38"/>
    <x v="0"/>
    <x v="1"/>
    <n v="0"/>
    <x v="1"/>
    <n v="594"/>
    <x v="1"/>
    <x v="2"/>
    <n v="2"/>
    <x v="0"/>
    <x v="2"/>
    <n v="3"/>
    <x v="0"/>
    <n v="75"/>
    <x v="1"/>
    <n v="1"/>
    <x v="2"/>
    <n v="2"/>
    <x v="1"/>
    <x v="1165"/>
    <n v="15963"/>
    <n v="4"/>
    <s v="Y"/>
    <x v="1"/>
    <n v="14"/>
    <n v="3"/>
    <n v="2"/>
    <n v="80"/>
    <n v="1"/>
    <n v="9"/>
    <n v="4"/>
    <n v="2"/>
    <n v="6"/>
    <n v="1"/>
    <n v="0"/>
    <n v="5"/>
  </r>
  <r>
    <n v="31"/>
    <x v="2"/>
    <x v="0"/>
    <n v="1"/>
    <x v="0"/>
    <n v="1079"/>
    <x v="0"/>
    <x v="7"/>
    <n v="4"/>
    <x v="2"/>
    <x v="3"/>
    <n v="1"/>
    <x v="1"/>
    <n v="70"/>
    <x v="0"/>
    <n v="3"/>
    <x v="0"/>
    <n v="3"/>
    <x v="1"/>
    <x v="1166"/>
    <n v="19002"/>
    <n v="2"/>
    <s v="Y"/>
    <x v="1"/>
    <n v="13"/>
    <n v="3"/>
    <n v="1"/>
    <n v="80"/>
    <n v="3"/>
    <n v="10"/>
    <n v="2"/>
    <n v="3"/>
    <n v="1"/>
    <n v="0"/>
    <n v="0"/>
    <n v="0"/>
  </r>
  <r>
    <n v="29"/>
    <x v="2"/>
    <x v="1"/>
    <n v="0"/>
    <x v="0"/>
    <n v="590"/>
    <x v="1"/>
    <x v="18"/>
    <n v="3"/>
    <x v="3"/>
    <x v="4"/>
    <n v="4"/>
    <x v="0"/>
    <n v="91"/>
    <x v="1"/>
    <n v="1"/>
    <x v="1"/>
    <n v="1"/>
    <x v="2"/>
    <x v="971"/>
    <n v="10007"/>
    <n v="1"/>
    <s v="Y"/>
    <x v="1"/>
    <n v="13"/>
    <n v="3"/>
    <n v="3"/>
    <n v="80"/>
    <n v="1"/>
    <n v="1"/>
    <n v="2"/>
    <n v="3"/>
    <n v="1"/>
    <n v="0"/>
    <n v="0"/>
    <n v="0"/>
  </r>
  <r>
    <n v="30"/>
    <x v="2"/>
    <x v="1"/>
    <n v="0"/>
    <x v="0"/>
    <n v="305"/>
    <x v="1"/>
    <x v="7"/>
    <n v="3"/>
    <x v="3"/>
    <x v="0"/>
    <n v="3"/>
    <x v="1"/>
    <n v="58"/>
    <x v="2"/>
    <n v="2"/>
    <x v="4"/>
    <n v="3"/>
    <x v="1"/>
    <x v="1167"/>
    <n v="9128"/>
    <n v="3"/>
    <s v="Y"/>
    <x v="1"/>
    <n v="16"/>
    <n v="3"/>
    <n v="3"/>
    <n v="80"/>
    <n v="1"/>
    <n v="10"/>
    <n v="3"/>
    <n v="3"/>
    <n v="7"/>
    <n v="0"/>
    <n v="1"/>
    <n v="7"/>
  </r>
  <r>
    <n v="32"/>
    <x v="2"/>
    <x v="1"/>
    <n v="0"/>
    <x v="2"/>
    <n v="953"/>
    <x v="1"/>
    <x v="12"/>
    <n v="4"/>
    <x v="2"/>
    <x v="4"/>
    <n v="2"/>
    <x v="1"/>
    <n v="65"/>
    <x v="0"/>
    <n v="1"/>
    <x v="1"/>
    <n v="2"/>
    <x v="0"/>
    <x v="1168"/>
    <n v="17674"/>
    <n v="2"/>
    <s v="Y"/>
    <x v="1"/>
    <n v="14"/>
    <n v="3"/>
    <n v="2"/>
    <n v="80"/>
    <n v="0"/>
    <n v="12"/>
    <n v="3"/>
    <n v="3"/>
    <n v="7"/>
    <n v="7"/>
    <n v="0"/>
    <n v="7"/>
  </r>
  <r>
    <n v="38"/>
    <x v="0"/>
    <x v="1"/>
    <n v="0"/>
    <x v="0"/>
    <n v="833"/>
    <x v="1"/>
    <x v="21"/>
    <n v="3"/>
    <x v="3"/>
    <x v="2"/>
    <n v="2"/>
    <x v="1"/>
    <n v="60"/>
    <x v="3"/>
    <n v="2"/>
    <x v="4"/>
    <n v="4"/>
    <x v="1"/>
    <x v="1169"/>
    <n v="24539"/>
    <n v="3"/>
    <s v="Y"/>
    <x v="0"/>
    <n v="16"/>
    <n v="3"/>
    <n v="3"/>
    <n v="80"/>
    <n v="1"/>
    <n v="15"/>
    <n v="2"/>
    <n v="3"/>
    <n v="1"/>
    <n v="0"/>
    <n v="1"/>
    <n v="0"/>
  </r>
  <r>
    <n v="43"/>
    <x v="0"/>
    <x v="0"/>
    <n v="1"/>
    <x v="1"/>
    <n v="807"/>
    <x v="1"/>
    <x v="27"/>
    <n v="3"/>
    <x v="3"/>
    <x v="4"/>
    <n v="3"/>
    <x v="1"/>
    <n v="38"/>
    <x v="1"/>
    <n v="1"/>
    <x v="1"/>
    <n v="3"/>
    <x v="1"/>
    <x v="1170"/>
    <n v="15587"/>
    <n v="9"/>
    <s v="Y"/>
    <x v="0"/>
    <n v="16"/>
    <n v="3"/>
    <n v="4"/>
    <n v="80"/>
    <n v="1"/>
    <n v="6"/>
    <n v="4"/>
    <n v="3"/>
    <n v="1"/>
    <n v="0"/>
    <n v="0"/>
    <n v="0"/>
  </r>
  <r>
    <n v="42"/>
    <x v="0"/>
    <x v="1"/>
    <n v="0"/>
    <x v="0"/>
    <n v="855"/>
    <x v="1"/>
    <x v="20"/>
    <n v="3"/>
    <x v="3"/>
    <x v="2"/>
    <n v="2"/>
    <x v="1"/>
    <n v="57"/>
    <x v="0"/>
    <n v="1"/>
    <x v="2"/>
    <n v="2"/>
    <x v="2"/>
    <x v="1171"/>
    <n v="8952"/>
    <n v="8"/>
    <s v="Y"/>
    <x v="1"/>
    <n v="22"/>
    <n v="4"/>
    <n v="2"/>
    <n v="80"/>
    <n v="3"/>
    <n v="7"/>
    <n v="6"/>
    <n v="2"/>
    <n v="5"/>
    <n v="3"/>
    <n v="0"/>
    <n v="4"/>
  </r>
  <r>
    <n v="55"/>
    <x v="3"/>
    <x v="1"/>
    <n v="0"/>
    <x v="0"/>
    <n v="478"/>
    <x v="1"/>
    <x v="2"/>
    <n v="3"/>
    <x v="3"/>
    <x v="2"/>
    <n v="3"/>
    <x v="1"/>
    <n v="60"/>
    <x v="1"/>
    <n v="5"/>
    <x v="7"/>
    <n v="1"/>
    <x v="1"/>
    <x v="1172"/>
    <n v="19805"/>
    <n v="8"/>
    <s v="Y"/>
    <x v="1"/>
    <n v="12"/>
    <n v="3"/>
    <n v="2"/>
    <n v="80"/>
    <n v="3"/>
    <n v="34"/>
    <n v="2"/>
    <n v="3"/>
    <n v="1"/>
    <n v="0"/>
    <n v="0"/>
    <n v="0"/>
  </r>
  <r>
    <n v="33"/>
    <x v="2"/>
    <x v="1"/>
    <n v="0"/>
    <x v="2"/>
    <n v="775"/>
    <x v="1"/>
    <x v="18"/>
    <n v="3"/>
    <x v="3"/>
    <x v="4"/>
    <n v="4"/>
    <x v="1"/>
    <n v="90"/>
    <x v="0"/>
    <n v="2"/>
    <x v="1"/>
    <n v="2"/>
    <x v="2"/>
    <x v="1173"/>
    <n v="6194"/>
    <n v="5"/>
    <s v="Y"/>
    <x v="1"/>
    <n v="15"/>
    <n v="3"/>
    <n v="4"/>
    <n v="80"/>
    <n v="2"/>
    <n v="11"/>
    <n v="2"/>
    <n v="2"/>
    <n v="9"/>
    <n v="8"/>
    <n v="1"/>
    <n v="7"/>
  </r>
  <r>
    <n v="41"/>
    <x v="0"/>
    <x v="1"/>
    <n v="0"/>
    <x v="0"/>
    <n v="548"/>
    <x v="1"/>
    <x v="14"/>
    <n v="4"/>
    <x v="2"/>
    <x v="0"/>
    <n v="3"/>
    <x v="1"/>
    <n v="94"/>
    <x v="0"/>
    <n v="1"/>
    <x v="2"/>
    <n v="1"/>
    <x v="2"/>
    <x v="1174"/>
    <n v="20520"/>
    <n v="1"/>
    <s v="Y"/>
    <x v="1"/>
    <n v="20"/>
    <n v="4"/>
    <n v="2"/>
    <n v="80"/>
    <n v="2"/>
    <n v="5"/>
    <n v="2"/>
    <n v="3"/>
    <n v="5"/>
    <n v="3"/>
    <n v="0"/>
    <n v="4"/>
  </r>
  <r>
    <n v="34"/>
    <x v="2"/>
    <x v="1"/>
    <n v="0"/>
    <x v="2"/>
    <n v="1375"/>
    <x v="0"/>
    <x v="17"/>
    <n v="3"/>
    <x v="3"/>
    <x v="0"/>
    <n v="4"/>
    <x v="1"/>
    <n v="87"/>
    <x v="0"/>
    <n v="2"/>
    <x v="0"/>
    <n v="3"/>
    <x v="2"/>
    <x v="1175"/>
    <n v="12313"/>
    <n v="1"/>
    <s v="Y"/>
    <x v="0"/>
    <n v="14"/>
    <n v="3"/>
    <n v="3"/>
    <n v="80"/>
    <n v="1"/>
    <n v="15"/>
    <n v="3"/>
    <n v="3"/>
    <n v="15"/>
    <n v="14"/>
    <n v="0"/>
    <n v="7"/>
  </r>
  <r>
    <n v="53"/>
    <x v="1"/>
    <x v="1"/>
    <n v="0"/>
    <x v="2"/>
    <n v="661"/>
    <x v="1"/>
    <x v="0"/>
    <n v="4"/>
    <x v="2"/>
    <x v="2"/>
    <n v="1"/>
    <x v="0"/>
    <n v="60"/>
    <x v="1"/>
    <n v="4"/>
    <x v="3"/>
    <n v="3"/>
    <x v="1"/>
    <x v="1176"/>
    <n v="22308"/>
    <n v="4"/>
    <s v="Y"/>
    <x v="0"/>
    <n v="20"/>
    <n v="4"/>
    <n v="4"/>
    <n v="80"/>
    <n v="3"/>
    <n v="27"/>
    <n v="2"/>
    <n v="2"/>
    <n v="3"/>
    <n v="2"/>
    <n v="0"/>
    <n v="2"/>
  </r>
  <r>
    <n v="43"/>
    <x v="0"/>
    <x v="1"/>
    <n v="0"/>
    <x v="0"/>
    <n v="244"/>
    <x v="2"/>
    <x v="2"/>
    <n v="3"/>
    <x v="3"/>
    <x v="0"/>
    <n v="2"/>
    <x v="1"/>
    <n v="97"/>
    <x v="0"/>
    <n v="1"/>
    <x v="8"/>
    <n v="4"/>
    <x v="0"/>
    <x v="1177"/>
    <n v="5033"/>
    <n v="0"/>
    <s v="Y"/>
    <x v="1"/>
    <n v="13"/>
    <n v="3"/>
    <n v="2"/>
    <n v="80"/>
    <n v="0"/>
    <n v="10"/>
    <n v="5"/>
    <n v="3"/>
    <n v="9"/>
    <n v="7"/>
    <n v="1"/>
    <n v="8"/>
  </r>
  <r>
    <n v="34"/>
    <x v="2"/>
    <x v="1"/>
    <n v="0"/>
    <x v="0"/>
    <n v="511"/>
    <x v="0"/>
    <x v="3"/>
    <n v="2"/>
    <x v="0"/>
    <x v="0"/>
    <n v="4"/>
    <x v="0"/>
    <n v="32"/>
    <x v="3"/>
    <n v="2"/>
    <x v="0"/>
    <n v="4"/>
    <x v="0"/>
    <x v="1178"/>
    <n v="25353"/>
    <n v="5"/>
    <s v="Y"/>
    <x v="1"/>
    <n v="12"/>
    <n v="3"/>
    <n v="1"/>
    <n v="80"/>
    <n v="0"/>
    <n v="6"/>
    <n v="3"/>
    <n v="3"/>
    <n v="2"/>
    <n v="2"/>
    <n v="2"/>
    <n v="2"/>
  </r>
  <r>
    <n v="21"/>
    <x v="4"/>
    <x v="0"/>
    <n v="1"/>
    <x v="0"/>
    <n v="337"/>
    <x v="0"/>
    <x v="15"/>
    <n v="1"/>
    <x v="1"/>
    <x v="3"/>
    <n v="2"/>
    <x v="1"/>
    <n v="31"/>
    <x v="0"/>
    <n v="1"/>
    <x v="6"/>
    <n v="2"/>
    <x v="0"/>
    <x v="1179"/>
    <n v="4567"/>
    <n v="1"/>
    <s v="Y"/>
    <x v="1"/>
    <n v="13"/>
    <n v="3"/>
    <n v="2"/>
    <n v="80"/>
    <n v="0"/>
    <n v="1"/>
    <n v="3"/>
    <n v="3"/>
    <n v="1"/>
    <n v="0"/>
    <n v="1"/>
    <n v="0"/>
  </r>
  <r>
    <n v="38"/>
    <x v="0"/>
    <x v="1"/>
    <n v="0"/>
    <x v="0"/>
    <n v="1153"/>
    <x v="1"/>
    <x v="16"/>
    <n v="2"/>
    <x v="0"/>
    <x v="1"/>
    <n v="4"/>
    <x v="0"/>
    <n v="40"/>
    <x v="1"/>
    <n v="1"/>
    <x v="2"/>
    <n v="3"/>
    <x v="1"/>
    <x v="1180"/>
    <n v="16376"/>
    <n v="1"/>
    <s v="Y"/>
    <x v="1"/>
    <n v="11"/>
    <n v="3"/>
    <n v="2"/>
    <n v="80"/>
    <n v="1"/>
    <n v="5"/>
    <n v="3"/>
    <n v="3"/>
    <n v="5"/>
    <n v="4"/>
    <n v="0"/>
    <n v="4"/>
  </r>
  <r>
    <n v="22"/>
    <x v="4"/>
    <x v="0"/>
    <n v="1"/>
    <x v="0"/>
    <n v="1294"/>
    <x v="1"/>
    <x v="1"/>
    <n v="1"/>
    <x v="1"/>
    <x v="2"/>
    <n v="3"/>
    <x v="0"/>
    <n v="79"/>
    <x v="0"/>
    <n v="1"/>
    <x v="2"/>
    <n v="1"/>
    <x v="1"/>
    <x v="1181"/>
    <n v="15999"/>
    <n v="1"/>
    <s v="Y"/>
    <x v="0"/>
    <n v="17"/>
    <n v="3"/>
    <n v="3"/>
    <n v="80"/>
    <n v="0"/>
    <n v="1"/>
    <n v="6"/>
    <n v="3"/>
    <n v="1"/>
    <n v="0"/>
    <n v="0"/>
    <n v="0"/>
  </r>
  <r>
    <n v="31"/>
    <x v="2"/>
    <x v="1"/>
    <n v="0"/>
    <x v="0"/>
    <n v="196"/>
    <x v="0"/>
    <x v="22"/>
    <n v="4"/>
    <x v="2"/>
    <x v="3"/>
    <n v="1"/>
    <x v="0"/>
    <n v="91"/>
    <x v="1"/>
    <n v="2"/>
    <x v="0"/>
    <n v="4"/>
    <x v="1"/>
    <x v="1182"/>
    <n v="13402"/>
    <n v="1"/>
    <s v="Y"/>
    <x v="1"/>
    <n v="14"/>
    <n v="3"/>
    <n v="1"/>
    <n v="80"/>
    <n v="2"/>
    <n v="13"/>
    <n v="3"/>
    <n v="3"/>
    <n v="12"/>
    <n v="7"/>
    <n v="5"/>
    <n v="7"/>
  </r>
  <r>
    <n v="51"/>
    <x v="1"/>
    <x v="1"/>
    <n v="0"/>
    <x v="0"/>
    <n v="942"/>
    <x v="1"/>
    <x v="3"/>
    <n v="3"/>
    <x v="3"/>
    <x v="4"/>
    <n v="1"/>
    <x v="0"/>
    <n v="53"/>
    <x v="0"/>
    <n v="3"/>
    <x v="5"/>
    <n v="3"/>
    <x v="1"/>
    <x v="1183"/>
    <n v="22984"/>
    <n v="2"/>
    <s v="Y"/>
    <x v="1"/>
    <n v="11"/>
    <n v="3"/>
    <n v="4"/>
    <n v="80"/>
    <n v="0"/>
    <n v="15"/>
    <n v="2"/>
    <n v="3"/>
    <n v="2"/>
    <n v="2"/>
    <n v="2"/>
    <n v="2"/>
  </r>
  <r>
    <n v="37"/>
    <x v="0"/>
    <x v="1"/>
    <n v="0"/>
    <x v="0"/>
    <n v="589"/>
    <x v="0"/>
    <x v="14"/>
    <n v="2"/>
    <x v="0"/>
    <x v="3"/>
    <n v="2"/>
    <x v="1"/>
    <n v="46"/>
    <x v="1"/>
    <n v="2"/>
    <x v="0"/>
    <n v="2"/>
    <x v="1"/>
    <x v="1184"/>
    <n v="8800"/>
    <n v="1"/>
    <s v="Y"/>
    <x v="1"/>
    <n v="14"/>
    <n v="3"/>
    <n v="1"/>
    <n v="80"/>
    <n v="2"/>
    <n v="5"/>
    <n v="2"/>
    <n v="3"/>
    <n v="5"/>
    <n v="2"/>
    <n v="0"/>
    <n v="3"/>
  </r>
  <r>
    <n v="46"/>
    <x v="1"/>
    <x v="1"/>
    <n v="0"/>
    <x v="0"/>
    <n v="734"/>
    <x v="1"/>
    <x v="2"/>
    <n v="4"/>
    <x v="2"/>
    <x v="2"/>
    <n v="3"/>
    <x v="1"/>
    <n v="46"/>
    <x v="0"/>
    <n v="5"/>
    <x v="7"/>
    <n v="4"/>
    <x v="2"/>
    <x v="1185"/>
    <n v="14218"/>
    <n v="7"/>
    <s v="Y"/>
    <x v="0"/>
    <n v="17"/>
    <n v="3"/>
    <n v="3"/>
    <n v="80"/>
    <n v="1"/>
    <n v="24"/>
    <n v="3"/>
    <n v="3"/>
    <n v="2"/>
    <n v="1"/>
    <n v="2"/>
    <n v="2"/>
  </r>
  <r>
    <n v="36"/>
    <x v="0"/>
    <x v="1"/>
    <n v="0"/>
    <x v="0"/>
    <n v="1383"/>
    <x v="1"/>
    <x v="17"/>
    <n v="3"/>
    <x v="3"/>
    <x v="0"/>
    <n v="4"/>
    <x v="1"/>
    <n v="90"/>
    <x v="0"/>
    <n v="3"/>
    <x v="4"/>
    <n v="1"/>
    <x v="1"/>
    <x v="1186"/>
    <n v="25949"/>
    <n v="7"/>
    <s v="Y"/>
    <x v="0"/>
    <n v="13"/>
    <n v="3"/>
    <n v="4"/>
    <n v="80"/>
    <n v="1"/>
    <n v="15"/>
    <n v="1"/>
    <n v="3"/>
    <n v="12"/>
    <n v="8"/>
    <n v="5"/>
    <n v="7"/>
  </r>
  <r>
    <n v="44"/>
    <x v="0"/>
    <x v="0"/>
    <n v="1"/>
    <x v="1"/>
    <n v="429"/>
    <x v="1"/>
    <x v="0"/>
    <n v="2"/>
    <x v="0"/>
    <x v="2"/>
    <n v="3"/>
    <x v="1"/>
    <n v="99"/>
    <x v="0"/>
    <n v="1"/>
    <x v="1"/>
    <n v="2"/>
    <x v="2"/>
    <x v="531"/>
    <n v="11092"/>
    <n v="1"/>
    <s v="Y"/>
    <x v="0"/>
    <n v="12"/>
    <n v="3"/>
    <n v="3"/>
    <n v="80"/>
    <n v="3"/>
    <n v="6"/>
    <n v="2"/>
    <n v="2"/>
    <n v="5"/>
    <n v="3"/>
    <n v="2"/>
    <n v="3"/>
  </r>
  <r>
    <n v="37"/>
    <x v="0"/>
    <x v="1"/>
    <n v="0"/>
    <x v="0"/>
    <n v="1239"/>
    <x v="2"/>
    <x v="1"/>
    <n v="2"/>
    <x v="0"/>
    <x v="1"/>
    <n v="3"/>
    <x v="1"/>
    <n v="89"/>
    <x v="0"/>
    <n v="2"/>
    <x v="8"/>
    <n v="2"/>
    <x v="2"/>
    <x v="1187"/>
    <n v="12832"/>
    <n v="2"/>
    <s v="Y"/>
    <x v="1"/>
    <n v="13"/>
    <n v="3"/>
    <n v="3"/>
    <n v="80"/>
    <n v="0"/>
    <n v="19"/>
    <n v="4"/>
    <n v="2"/>
    <n v="10"/>
    <n v="0"/>
    <n v="4"/>
    <n v="7"/>
  </r>
  <r>
    <n v="35"/>
    <x v="0"/>
    <x v="0"/>
    <n v="1"/>
    <x v="0"/>
    <n v="303"/>
    <x v="0"/>
    <x v="6"/>
    <n v="3"/>
    <x v="3"/>
    <x v="0"/>
    <n v="3"/>
    <x v="1"/>
    <n v="84"/>
    <x v="0"/>
    <n v="2"/>
    <x v="0"/>
    <n v="4"/>
    <x v="0"/>
    <x v="1188"/>
    <n v="13492"/>
    <n v="1"/>
    <s v="Y"/>
    <x v="0"/>
    <n v="18"/>
    <n v="3"/>
    <n v="4"/>
    <n v="80"/>
    <n v="0"/>
    <n v="10"/>
    <n v="2"/>
    <n v="3"/>
    <n v="10"/>
    <n v="7"/>
    <n v="7"/>
    <n v="7"/>
  </r>
  <r>
    <n v="33"/>
    <x v="2"/>
    <x v="1"/>
    <n v="0"/>
    <x v="0"/>
    <n v="867"/>
    <x v="1"/>
    <x v="1"/>
    <n v="4"/>
    <x v="2"/>
    <x v="0"/>
    <n v="4"/>
    <x v="1"/>
    <n v="90"/>
    <x v="2"/>
    <n v="1"/>
    <x v="1"/>
    <n v="1"/>
    <x v="1"/>
    <x v="1189"/>
    <n v="6076"/>
    <n v="6"/>
    <s v="Y"/>
    <x v="1"/>
    <n v="19"/>
    <n v="3"/>
    <n v="2"/>
    <n v="80"/>
    <n v="1"/>
    <n v="14"/>
    <n v="1"/>
    <n v="3"/>
    <n v="10"/>
    <n v="8"/>
    <n v="7"/>
    <n v="6"/>
  </r>
  <r>
    <n v="28"/>
    <x v="2"/>
    <x v="1"/>
    <n v="0"/>
    <x v="0"/>
    <n v="1181"/>
    <x v="1"/>
    <x v="0"/>
    <n v="3"/>
    <x v="3"/>
    <x v="0"/>
    <n v="3"/>
    <x v="1"/>
    <n v="82"/>
    <x v="0"/>
    <n v="1"/>
    <x v="1"/>
    <n v="4"/>
    <x v="1"/>
    <x v="633"/>
    <n v="5531"/>
    <n v="1"/>
    <s v="Y"/>
    <x v="1"/>
    <n v="11"/>
    <n v="3"/>
    <n v="3"/>
    <n v="80"/>
    <n v="1"/>
    <n v="5"/>
    <n v="6"/>
    <n v="4"/>
    <n v="5"/>
    <n v="3"/>
    <n v="0"/>
    <n v="3"/>
  </r>
  <r>
    <n v="39"/>
    <x v="0"/>
    <x v="1"/>
    <n v="0"/>
    <x v="0"/>
    <n v="1253"/>
    <x v="1"/>
    <x v="17"/>
    <n v="1"/>
    <x v="1"/>
    <x v="2"/>
    <n v="3"/>
    <x v="1"/>
    <n v="65"/>
    <x v="0"/>
    <n v="3"/>
    <x v="7"/>
    <n v="3"/>
    <x v="0"/>
    <x v="1190"/>
    <n v="7914"/>
    <n v="7"/>
    <s v="Y"/>
    <x v="1"/>
    <n v="21"/>
    <n v="4"/>
    <n v="3"/>
    <n v="80"/>
    <n v="0"/>
    <n v="9"/>
    <n v="3"/>
    <n v="3"/>
    <n v="4"/>
    <n v="3"/>
    <n v="2"/>
    <n v="2"/>
  </r>
  <r>
    <n v="46"/>
    <x v="1"/>
    <x v="1"/>
    <n v="0"/>
    <x v="2"/>
    <n v="849"/>
    <x v="0"/>
    <x v="9"/>
    <n v="2"/>
    <x v="0"/>
    <x v="0"/>
    <n v="2"/>
    <x v="1"/>
    <n v="98"/>
    <x v="1"/>
    <n v="2"/>
    <x v="0"/>
    <n v="2"/>
    <x v="0"/>
    <x v="1191"/>
    <n v="25166"/>
    <n v="8"/>
    <s v="Y"/>
    <x v="1"/>
    <n v="15"/>
    <n v="3"/>
    <n v="3"/>
    <n v="80"/>
    <n v="0"/>
    <n v="6"/>
    <n v="3"/>
    <n v="3"/>
    <n v="2"/>
    <n v="2"/>
    <n v="2"/>
    <n v="2"/>
  </r>
  <r>
    <n v="40"/>
    <x v="0"/>
    <x v="1"/>
    <n v="0"/>
    <x v="0"/>
    <n v="616"/>
    <x v="1"/>
    <x v="2"/>
    <n v="2"/>
    <x v="0"/>
    <x v="0"/>
    <n v="3"/>
    <x v="0"/>
    <n v="99"/>
    <x v="0"/>
    <n v="1"/>
    <x v="2"/>
    <n v="1"/>
    <x v="1"/>
    <x v="1192"/>
    <n v="25605"/>
    <n v="4"/>
    <s v="Y"/>
    <x v="1"/>
    <n v="17"/>
    <n v="3"/>
    <n v="4"/>
    <n v="80"/>
    <n v="1"/>
    <n v="7"/>
    <n v="5"/>
    <n v="2"/>
    <n v="4"/>
    <n v="3"/>
    <n v="0"/>
    <n v="2"/>
  </r>
  <r>
    <n v="42"/>
    <x v="0"/>
    <x v="1"/>
    <n v="0"/>
    <x v="0"/>
    <n v="1128"/>
    <x v="1"/>
    <x v="28"/>
    <n v="3"/>
    <x v="3"/>
    <x v="2"/>
    <n v="2"/>
    <x v="1"/>
    <n v="95"/>
    <x v="2"/>
    <n v="2"/>
    <x v="4"/>
    <n v="1"/>
    <x v="1"/>
    <x v="1193"/>
    <n v="5696"/>
    <n v="5"/>
    <s v="Y"/>
    <x v="1"/>
    <n v="18"/>
    <n v="3"/>
    <n v="3"/>
    <n v="80"/>
    <n v="2"/>
    <n v="10"/>
    <n v="2"/>
    <n v="2"/>
    <n v="0"/>
    <n v="0"/>
    <n v="0"/>
    <n v="0"/>
  </r>
  <r>
    <n v="35"/>
    <x v="0"/>
    <x v="1"/>
    <n v="0"/>
    <x v="2"/>
    <n v="1180"/>
    <x v="1"/>
    <x v="2"/>
    <n v="2"/>
    <x v="0"/>
    <x v="2"/>
    <n v="2"/>
    <x v="1"/>
    <n v="90"/>
    <x v="0"/>
    <n v="2"/>
    <x v="3"/>
    <n v="4"/>
    <x v="2"/>
    <x v="1194"/>
    <n v="24442"/>
    <n v="2"/>
    <s v="Y"/>
    <x v="1"/>
    <n v="14"/>
    <n v="3"/>
    <n v="3"/>
    <n v="80"/>
    <n v="1"/>
    <n v="15"/>
    <n v="6"/>
    <n v="3"/>
    <n v="7"/>
    <n v="7"/>
    <n v="1"/>
    <n v="7"/>
  </r>
  <r>
    <n v="38"/>
    <x v="0"/>
    <x v="1"/>
    <n v="0"/>
    <x v="2"/>
    <n v="1336"/>
    <x v="2"/>
    <x v="2"/>
    <n v="3"/>
    <x v="3"/>
    <x v="5"/>
    <n v="1"/>
    <x v="1"/>
    <n v="100"/>
    <x v="0"/>
    <n v="1"/>
    <x v="8"/>
    <n v="2"/>
    <x v="2"/>
    <x v="1195"/>
    <n v="7129"/>
    <n v="5"/>
    <s v="Y"/>
    <x v="1"/>
    <n v="13"/>
    <n v="3"/>
    <n v="4"/>
    <n v="80"/>
    <n v="3"/>
    <n v="13"/>
    <n v="3"/>
    <n v="3"/>
    <n v="11"/>
    <n v="10"/>
    <n v="3"/>
    <n v="8"/>
  </r>
  <r>
    <n v="34"/>
    <x v="2"/>
    <x v="0"/>
    <n v="1"/>
    <x v="1"/>
    <n v="234"/>
    <x v="1"/>
    <x v="14"/>
    <n v="4"/>
    <x v="2"/>
    <x v="0"/>
    <n v="4"/>
    <x v="1"/>
    <n v="93"/>
    <x v="0"/>
    <n v="2"/>
    <x v="2"/>
    <n v="1"/>
    <x v="1"/>
    <x v="800"/>
    <n v="6208"/>
    <n v="4"/>
    <s v="Y"/>
    <x v="1"/>
    <n v="17"/>
    <n v="3"/>
    <n v="3"/>
    <n v="80"/>
    <n v="1"/>
    <n v="11"/>
    <n v="3"/>
    <n v="2"/>
    <n v="7"/>
    <n v="1"/>
    <n v="0"/>
    <n v="7"/>
  </r>
  <r>
    <n v="37"/>
    <x v="0"/>
    <x v="0"/>
    <n v="1"/>
    <x v="0"/>
    <n v="370"/>
    <x v="1"/>
    <x v="17"/>
    <n v="4"/>
    <x v="2"/>
    <x v="2"/>
    <n v="4"/>
    <x v="1"/>
    <n v="58"/>
    <x v="0"/>
    <n v="2"/>
    <x v="3"/>
    <n v="1"/>
    <x v="0"/>
    <x v="1196"/>
    <n v="4992"/>
    <n v="1"/>
    <s v="Y"/>
    <x v="1"/>
    <n v="15"/>
    <n v="3"/>
    <n v="2"/>
    <n v="80"/>
    <n v="0"/>
    <n v="10"/>
    <n v="4"/>
    <n v="1"/>
    <n v="10"/>
    <n v="3"/>
    <n v="0"/>
    <n v="8"/>
  </r>
  <r>
    <n v="39"/>
    <x v="0"/>
    <x v="1"/>
    <n v="0"/>
    <x v="1"/>
    <n v="766"/>
    <x v="0"/>
    <x v="25"/>
    <n v="3"/>
    <x v="3"/>
    <x v="0"/>
    <n v="3"/>
    <x v="1"/>
    <n v="83"/>
    <x v="0"/>
    <n v="2"/>
    <x v="0"/>
    <n v="4"/>
    <x v="2"/>
    <x v="1197"/>
    <n v="19188"/>
    <n v="2"/>
    <s v="Y"/>
    <x v="1"/>
    <n v="18"/>
    <n v="3"/>
    <n v="4"/>
    <n v="80"/>
    <n v="1"/>
    <n v="7"/>
    <n v="6"/>
    <n v="3"/>
    <n v="2"/>
    <n v="1"/>
    <n v="2"/>
    <n v="2"/>
  </r>
  <r>
    <n v="43"/>
    <x v="0"/>
    <x v="1"/>
    <n v="0"/>
    <x v="2"/>
    <n v="343"/>
    <x v="1"/>
    <x v="14"/>
    <n v="3"/>
    <x v="3"/>
    <x v="0"/>
    <n v="1"/>
    <x v="1"/>
    <n v="52"/>
    <x v="0"/>
    <n v="1"/>
    <x v="1"/>
    <n v="3"/>
    <x v="0"/>
    <x v="1198"/>
    <n v="24978"/>
    <n v="4"/>
    <s v="Y"/>
    <x v="1"/>
    <n v="13"/>
    <n v="3"/>
    <n v="3"/>
    <n v="80"/>
    <n v="0"/>
    <n v="7"/>
    <n v="2"/>
    <n v="2"/>
    <n v="3"/>
    <n v="2"/>
    <n v="1"/>
    <n v="2"/>
  </r>
  <r>
    <n v="41"/>
    <x v="0"/>
    <x v="1"/>
    <n v="0"/>
    <x v="0"/>
    <n v="447"/>
    <x v="1"/>
    <x v="12"/>
    <n v="3"/>
    <x v="3"/>
    <x v="0"/>
    <n v="2"/>
    <x v="1"/>
    <n v="85"/>
    <x v="2"/>
    <n v="2"/>
    <x v="4"/>
    <n v="2"/>
    <x v="0"/>
    <x v="1199"/>
    <n v="15530"/>
    <n v="3"/>
    <s v="Y"/>
    <x v="1"/>
    <n v="12"/>
    <n v="3"/>
    <n v="1"/>
    <n v="80"/>
    <n v="0"/>
    <n v="11"/>
    <n v="3"/>
    <n v="1"/>
    <n v="3"/>
    <n v="2"/>
    <n v="1"/>
    <n v="2"/>
  </r>
  <r>
    <n v="41"/>
    <x v="0"/>
    <x v="1"/>
    <n v="0"/>
    <x v="0"/>
    <n v="796"/>
    <x v="0"/>
    <x v="18"/>
    <n v="1"/>
    <x v="1"/>
    <x v="3"/>
    <n v="3"/>
    <x v="0"/>
    <n v="81"/>
    <x v="0"/>
    <n v="3"/>
    <x v="0"/>
    <n v="3"/>
    <x v="2"/>
    <x v="1200"/>
    <n v="26458"/>
    <n v="0"/>
    <s v="Y"/>
    <x v="0"/>
    <n v="13"/>
    <n v="3"/>
    <n v="4"/>
    <n v="80"/>
    <n v="1"/>
    <n v="23"/>
    <n v="3"/>
    <n v="4"/>
    <n v="22"/>
    <n v="14"/>
    <n v="13"/>
    <n v="5"/>
  </r>
  <r>
    <n v="30"/>
    <x v="2"/>
    <x v="1"/>
    <n v="0"/>
    <x v="0"/>
    <n v="1092"/>
    <x v="1"/>
    <x v="17"/>
    <n v="3"/>
    <x v="3"/>
    <x v="2"/>
    <n v="1"/>
    <x v="0"/>
    <n v="64"/>
    <x v="0"/>
    <n v="3"/>
    <x v="3"/>
    <n v="3"/>
    <x v="0"/>
    <x v="1201"/>
    <n v="2739"/>
    <n v="9"/>
    <s v="Y"/>
    <x v="1"/>
    <n v="14"/>
    <n v="3"/>
    <n v="2"/>
    <n v="80"/>
    <n v="0"/>
    <n v="9"/>
    <n v="3"/>
    <n v="3"/>
    <n v="7"/>
    <n v="7"/>
    <n v="0"/>
    <n v="2"/>
  </r>
  <r>
    <n v="26"/>
    <x v="2"/>
    <x v="0"/>
    <n v="1"/>
    <x v="0"/>
    <n v="920"/>
    <x v="2"/>
    <x v="25"/>
    <n v="2"/>
    <x v="0"/>
    <x v="2"/>
    <n v="4"/>
    <x v="0"/>
    <n v="69"/>
    <x v="0"/>
    <n v="1"/>
    <x v="8"/>
    <n v="2"/>
    <x v="1"/>
    <x v="1202"/>
    <n v="6889"/>
    <n v="0"/>
    <s v="Y"/>
    <x v="0"/>
    <n v="11"/>
    <n v="3"/>
    <n v="3"/>
    <n v="80"/>
    <n v="0"/>
    <n v="6"/>
    <n v="3"/>
    <n v="3"/>
    <n v="5"/>
    <n v="1"/>
    <n v="1"/>
    <n v="4"/>
  </r>
  <r>
    <n v="46"/>
    <x v="1"/>
    <x v="0"/>
    <n v="1"/>
    <x v="0"/>
    <n v="261"/>
    <x v="1"/>
    <x v="11"/>
    <n v="2"/>
    <x v="0"/>
    <x v="2"/>
    <n v="4"/>
    <x v="0"/>
    <n v="66"/>
    <x v="0"/>
    <n v="2"/>
    <x v="4"/>
    <n v="2"/>
    <x v="1"/>
    <x v="1203"/>
    <n v="10842"/>
    <n v="4"/>
    <s v="Y"/>
    <x v="1"/>
    <n v="22"/>
    <n v="4"/>
    <n v="4"/>
    <n v="80"/>
    <n v="1"/>
    <n v="13"/>
    <n v="2"/>
    <n v="4"/>
    <n v="9"/>
    <n v="7"/>
    <n v="3"/>
    <n v="7"/>
  </r>
  <r>
    <n v="40"/>
    <x v="0"/>
    <x v="1"/>
    <n v="0"/>
    <x v="0"/>
    <n v="1194"/>
    <x v="1"/>
    <x v="0"/>
    <n v="3"/>
    <x v="3"/>
    <x v="0"/>
    <n v="3"/>
    <x v="0"/>
    <n v="52"/>
    <x v="0"/>
    <n v="2"/>
    <x v="4"/>
    <n v="4"/>
    <x v="2"/>
    <x v="1204"/>
    <n v="9060"/>
    <n v="4"/>
    <s v="Y"/>
    <x v="1"/>
    <n v="17"/>
    <n v="3"/>
    <n v="4"/>
    <n v="80"/>
    <n v="1"/>
    <n v="12"/>
    <n v="3"/>
    <n v="3"/>
    <n v="5"/>
    <n v="3"/>
    <n v="0"/>
    <n v="3"/>
  </r>
  <r>
    <n v="34"/>
    <x v="2"/>
    <x v="1"/>
    <n v="0"/>
    <x v="0"/>
    <n v="810"/>
    <x v="0"/>
    <x v="1"/>
    <n v="2"/>
    <x v="0"/>
    <x v="4"/>
    <n v="2"/>
    <x v="1"/>
    <n v="92"/>
    <x v="2"/>
    <n v="2"/>
    <x v="0"/>
    <n v="3"/>
    <x v="1"/>
    <x v="1205"/>
    <n v="22128"/>
    <n v="1"/>
    <s v="Y"/>
    <x v="1"/>
    <n v="21"/>
    <n v="4"/>
    <n v="3"/>
    <n v="80"/>
    <n v="2"/>
    <n v="10"/>
    <n v="5"/>
    <n v="3"/>
    <n v="10"/>
    <n v="8"/>
    <n v="4"/>
    <n v="8"/>
  </r>
  <r>
    <n v="58"/>
    <x v="3"/>
    <x v="1"/>
    <n v="0"/>
    <x v="2"/>
    <n v="350"/>
    <x v="0"/>
    <x v="2"/>
    <n v="3"/>
    <x v="3"/>
    <x v="2"/>
    <n v="2"/>
    <x v="1"/>
    <n v="52"/>
    <x v="0"/>
    <n v="4"/>
    <x v="5"/>
    <n v="2"/>
    <x v="2"/>
    <x v="1206"/>
    <n v="22577"/>
    <n v="4"/>
    <s v="Y"/>
    <x v="1"/>
    <n v="22"/>
    <n v="4"/>
    <n v="4"/>
    <n v="80"/>
    <n v="1"/>
    <n v="37"/>
    <n v="0"/>
    <n v="2"/>
    <n v="16"/>
    <n v="9"/>
    <n v="14"/>
    <n v="14"/>
  </r>
  <r>
    <n v="35"/>
    <x v="0"/>
    <x v="1"/>
    <n v="0"/>
    <x v="0"/>
    <n v="185"/>
    <x v="1"/>
    <x v="5"/>
    <n v="4"/>
    <x v="2"/>
    <x v="2"/>
    <n v="2"/>
    <x v="1"/>
    <n v="91"/>
    <x v="3"/>
    <n v="1"/>
    <x v="2"/>
    <n v="3"/>
    <x v="1"/>
    <x v="1207"/>
    <n v="9696"/>
    <n v="0"/>
    <s v="Y"/>
    <x v="1"/>
    <n v="16"/>
    <n v="3"/>
    <n v="2"/>
    <n v="80"/>
    <n v="1"/>
    <n v="6"/>
    <n v="2"/>
    <n v="4"/>
    <n v="5"/>
    <n v="4"/>
    <n v="0"/>
    <n v="3"/>
  </r>
  <r>
    <n v="47"/>
    <x v="1"/>
    <x v="1"/>
    <n v="0"/>
    <x v="0"/>
    <n v="1001"/>
    <x v="1"/>
    <x v="18"/>
    <n v="3"/>
    <x v="3"/>
    <x v="0"/>
    <n v="3"/>
    <x v="0"/>
    <n v="92"/>
    <x v="1"/>
    <n v="3"/>
    <x v="3"/>
    <n v="2"/>
    <x v="2"/>
    <x v="1208"/>
    <n v="19271"/>
    <n v="8"/>
    <s v="Y"/>
    <x v="0"/>
    <n v="12"/>
    <n v="3"/>
    <n v="3"/>
    <n v="80"/>
    <n v="1"/>
    <n v="28"/>
    <n v="4"/>
    <n v="3"/>
    <n v="22"/>
    <n v="11"/>
    <n v="14"/>
    <n v="10"/>
  </r>
  <r>
    <n v="40"/>
    <x v="0"/>
    <x v="1"/>
    <n v="0"/>
    <x v="0"/>
    <n v="750"/>
    <x v="1"/>
    <x v="20"/>
    <n v="3"/>
    <x v="3"/>
    <x v="0"/>
    <n v="2"/>
    <x v="0"/>
    <n v="47"/>
    <x v="0"/>
    <n v="2"/>
    <x v="4"/>
    <n v="1"/>
    <x v="2"/>
    <x v="1209"/>
    <n v="10748"/>
    <n v="2"/>
    <s v="Y"/>
    <x v="1"/>
    <n v="12"/>
    <n v="3"/>
    <n v="2"/>
    <n v="80"/>
    <n v="1"/>
    <n v="15"/>
    <n v="3"/>
    <n v="3"/>
    <n v="7"/>
    <n v="4"/>
    <n v="7"/>
    <n v="7"/>
  </r>
  <r>
    <n v="54"/>
    <x v="1"/>
    <x v="1"/>
    <n v="0"/>
    <x v="0"/>
    <n v="431"/>
    <x v="1"/>
    <x v="15"/>
    <n v="4"/>
    <x v="2"/>
    <x v="2"/>
    <n v="4"/>
    <x v="0"/>
    <n v="68"/>
    <x v="0"/>
    <n v="2"/>
    <x v="1"/>
    <n v="4"/>
    <x v="1"/>
    <x v="1210"/>
    <n v="15696"/>
    <n v="4"/>
    <s v="Y"/>
    <x v="1"/>
    <n v="15"/>
    <n v="3"/>
    <n v="2"/>
    <n v="80"/>
    <n v="1"/>
    <n v="14"/>
    <n v="2"/>
    <n v="2"/>
    <n v="7"/>
    <n v="1"/>
    <n v="1"/>
    <n v="7"/>
  </r>
  <r>
    <n v="31"/>
    <x v="2"/>
    <x v="1"/>
    <n v="0"/>
    <x v="1"/>
    <n v="1125"/>
    <x v="0"/>
    <x v="15"/>
    <n v="4"/>
    <x v="2"/>
    <x v="3"/>
    <n v="1"/>
    <x v="0"/>
    <n v="68"/>
    <x v="0"/>
    <n v="3"/>
    <x v="0"/>
    <n v="1"/>
    <x v="1"/>
    <x v="1211"/>
    <n v="8277"/>
    <n v="2"/>
    <s v="Y"/>
    <x v="1"/>
    <n v="14"/>
    <n v="3"/>
    <n v="4"/>
    <n v="80"/>
    <n v="2"/>
    <n v="9"/>
    <n v="3"/>
    <n v="3"/>
    <n v="3"/>
    <n v="2"/>
    <n v="2"/>
    <n v="2"/>
  </r>
  <r>
    <n v="28"/>
    <x v="2"/>
    <x v="1"/>
    <n v="0"/>
    <x v="0"/>
    <n v="1217"/>
    <x v="1"/>
    <x v="0"/>
    <n v="3"/>
    <x v="3"/>
    <x v="2"/>
    <n v="3"/>
    <x v="0"/>
    <n v="67"/>
    <x v="0"/>
    <n v="1"/>
    <x v="1"/>
    <n v="1"/>
    <x v="1"/>
    <x v="1212"/>
    <n v="12719"/>
    <n v="1"/>
    <s v="Y"/>
    <x v="1"/>
    <n v="25"/>
    <n v="4"/>
    <n v="3"/>
    <n v="80"/>
    <n v="1"/>
    <n v="3"/>
    <n v="3"/>
    <n v="3"/>
    <n v="3"/>
    <n v="2"/>
    <n v="1"/>
    <n v="2"/>
  </r>
  <r>
    <n v="38"/>
    <x v="0"/>
    <x v="1"/>
    <n v="0"/>
    <x v="0"/>
    <n v="723"/>
    <x v="0"/>
    <x v="2"/>
    <n v="4"/>
    <x v="2"/>
    <x v="3"/>
    <n v="2"/>
    <x v="0"/>
    <n v="77"/>
    <x v="3"/>
    <n v="2"/>
    <x v="6"/>
    <n v="4"/>
    <x v="1"/>
    <x v="517"/>
    <n v="4244"/>
    <n v="2"/>
    <s v="Y"/>
    <x v="0"/>
    <n v="20"/>
    <n v="4"/>
    <n v="1"/>
    <n v="80"/>
    <n v="2"/>
    <n v="20"/>
    <n v="4"/>
    <n v="2"/>
    <n v="4"/>
    <n v="2"/>
    <n v="0"/>
    <n v="3"/>
  </r>
  <r>
    <n v="26"/>
    <x v="2"/>
    <x v="1"/>
    <n v="0"/>
    <x v="0"/>
    <n v="572"/>
    <x v="0"/>
    <x v="17"/>
    <n v="3"/>
    <x v="3"/>
    <x v="2"/>
    <n v="3"/>
    <x v="1"/>
    <n v="46"/>
    <x v="0"/>
    <n v="2"/>
    <x v="0"/>
    <n v="4"/>
    <x v="0"/>
    <x v="1213"/>
    <n v="9125"/>
    <n v="1"/>
    <s v="Y"/>
    <x v="1"/>
    <n v="13"/>
    <n v="3"/>
    <n v="1"/>
    <n v="80"/>
    <n v="0"/>
    <n v="5"/>
    <n v="4"/>
    <n v="3"/>
    <n v="5"/>
    <n v="3"/>
    <n v="1"/>
    <n v="2"/>
  </r>
  <r>
    <n v="58"/>
    <x v="3"/>
    <x v="1"/>
    <n v="0"/>
    <x v="1"/>
    <n v="1216"/>
    <x v="1"/>
    <x v="8"/>
    <n v="4"/>
    <x v="2"/>
    <x v="0"/>
    <n v="1"/>
    <x v="1"/>
    <n v="87"/>
    <x v="0"/>
    <n v="4"/>
    <x v="7"/>
    <n v="3"/>
    <x v="1"/>
    <x v="1214"/>
    <n v="21624"/>
    <n v="2"/>
    <s v="Y"/>
    <x v="0"/>
    <n v="14"/>
    <n v="3"/>
    <n v="2"/>
    <n v="80"/>
    <n v="0"/>
    <n v="23"/>
    <n v="3"/>
    <n v="3"/>
    <n v="2"/>
    <n v="2"/>
    <n v="2"/>
    <n v="2"/>
  </r>
  <r>
    <n v="18"/>
    <x v="4"/>
    <x v="1"/>
    <n v="0"/>
    <x v="2"/>
    <n v="1431"/>
    <x v="1"/>
    <x v="24"/>
    <n v="3"/>
    <x v="3"/>
    <x v="2"/>
    <n v="2"/>
    <x v="0"/>
    <n v="33"/>
    <x v="0"/>
    <n v="1"/>
    <x v="1"/>
    <n v="3"/>
    <x v="0"/>
    <x v="1215"/>
    <n v="8018"/>
    <n v="1"/>
    <s v="Y"/>
    <x v="1"/>
    <n v="16"/>
    <n v="3"/>
    <n v="3"/>
    <n v="80"/>
    <n v="0"/>
    <n v="0"/>
    <n v="4"/>
    <n v="1"/>
    <n v="0"/>
    <n v="0"/>
    <n v="0"/>
    <n v="0"/>
  </r>
  <r>
    <n v="31"/>
    <x v="2"/>
    <x v="0"/>
    <n v="1"/>
    <x v="0"/>
    <n v="359"/>
    <x v="2"/>
    <x v="21"/>
    <n v="5"/>
    <x v="4"/>
    <x v="5"/>
    <n v="4"/>
    <x v="1"/>
    <n v="89"/>
    <x v="2"/>
    <n v="1"/>
    <x v="8"/>
    <n v="1"/>
    <x v="1"/>
    <x v="98"/>
    <n v="21495"/>
    <n v="0"/>
    <s v="Y"/>
    <x v="1"/>
    <n v="17"/>
    <n v="3"/>
    <n v="3"/>
    <n v="80"/>
    <n v="0"/>
    <n v="2"/>
    <n v="4"/>
    <n v="3"/>
    <n v="1"/>
    <n v="0"/>
    <n v="0"/>
    <n v="0"/>
  </r>
  <r>
    <n v="29"/>
    <x v="2"/>
    <x v="0"/>
    <n v="1"/>
    <x v="0"/>
    <n v="350"/>
    <x v="2"/>
    <x v="28"/>
    <n v="3"/>
    <x v="3"/>
    <x v="5"/>
    <n v="1"/>
    <x v="1"/>
    <n v="56"/>
    <x v="1"/>
    <n v="1"/>
    <x v="8"/>
    <n v="1"/>
    <x v="2"/>
    <x v="1216"/>
    <n v="3157"/>
    <n v="4"/>
    <s v="Y"/>
    <x v="0"/>
    <n v="15"/>
    <n v="3"/>
    <n v="4"/>
    <n v="80"/>
    <n v="3"/>
    <n v="4"/>
    <n v="3"/>
    <n v="3"/>
    <n v="2"/>
    <n v="2"/>
    <n v="2"/>
    <n v="0"/>
  </r>
  <r>
    <n v="45"/>
    <x v="1"/>
    <x v="1"/>
    <n v="0"/>
    <x v="2"/>
    <n v="589"/>
    <x v="0"/>
    <x v="2"/>
    <n v="4"/>
    <x v="2"/>
    <x v="0"/>
    <n v="3"/>
    <x v="0"/>
    <n v="67"/>
    <x v="0"/>
    <n v="2"/>
    <x v="0"/>
    <n v="3"/>
    <x v="1"/>
    <x v="1217"/>
    <n v="19665"/>
    <n v="4"/>
    <s v="Y"/>
    <x v="1"/>
    <n v="22"/>
    <n v="4"/>
    <n v="2"/>
    <n v="80"/>
    <n v="2"/>
    <n v="10"/>
    <n v="3"/>
    <n v="4"/>
    <n v="8"/>
    <n v="7"/>
    <n v="5"/>
    <n v="7"/>
  </r>
  <r>
    <n v="36"/>
    <x v="0"/>
    <x v="1"/>
    <n v="0"/>
    <x v="0"/>
    <n v="430"/>
    <x v="1"/>
    <x v="2"/>
    <n v="4"/>
    <x v="2"/>
    <x v="1"/>
    <n v="4"/>
    <x v="0"/>
    <n v="73"/>
    <x v="0"/>
    <n v="2"/>
    <x v="1"/>
    <n v="2"/>
    <x v="1"/>
    <x v="1218"/>
    <n v="19573"/>
    <n v="4"/>
    <s v="Y"/>
    <x v="0"/>
    <n v="22"/>
    <n v="4"/>
    <n v="4"/>
    <n v="80"/>
    <n v="1"/>
    <n v="15"/>
    <n v="2"/>
    <n v="3"/>
    <n v="1"/>
    <n v="0"/>
    <n v="0"/>
    <n v="0"/>
  </r>
  <r>
    <n v="43"/>
    <x v="0"/>
    <x v="1"/>
    <n v="0"/>
    <x v="1"/>
    <n v="1422"/>
    <x v="0"/>
    <x v="2"/>
    <n v="4"/>
    <x v="2"/>
    <x v="0"/>
    <n v="1"/>
    <x v="1"/>
    <n v="92"/>
    <x v="0"/>
    <n v="2"/>
    <x v="0"/>
    <n v="4"/>
    <x v="1"/>
    <x v="1219"/>
    <n v="19246"/>
    <n v="1"/>
    <s v="Y"/>
    <x v="1"/>
    <n v="20"/>
    <n v="4"/>
    <n v="3"/>
    <n v="80"/>
    <n v="1"/>
    <n v="7"/>
    <n v="5"/>
    <n v="3"/>
    <n v="7"/>
    <n v="7"/>
    <n v="7"/>
    <n v="7"/>
  </r>
  <r>
    <n v="27"/>
    <x v="2"/>
    <x v="1"/>
    <n v="0"/>
    <x v="1"/>
    <n v="1297"/>
    <x v="1"/>
    <x v="12"/>
    <n v="2"/>
    <x v="0"/>
    <x v="0"/>
    <n v="4"/>
    <x v="0"/>
    <n v="53"/>
    <x v="0"/>
    <n v="1"/>
    <x v="2"/>
    <n v="4"/>
    <x v="0"/>
    <x v="1220"/>
    <n v="19826"/>
    <n v="0"/>
    <s v="Y"/>
    <x v="0"/>
    <n v="14"/>
    <n v="3"/>
    <n v="3"/>
    <n v="80"/>
    <n v="0"/>
    <n v="6"/>
    <n v="3"/>
    <n v="2"/>
    <n v="5"/>
    <n v="4"/>
    <n v="0"/>
    <n v="2"/>
  </r>
  <r>
    <n v="29"/>
    <x v="2"/>
    <x v="1"/>
    <n v="0"/>
    <x v="1"/>
    <n v="574"/>
    <x v="1"/>
    <x v="25"/>
    <n v="1"/>
    <x v="1"/>
    <x v="2"/>
    <n v="4"/>
    <x v="1"/>
    <n v="40"/>
    <x v="0"/>
    <n v="1"/>
    <x v="2"/>
    <n v="4"/>
    <x v="1"/>
    <x v="1221"/>
    <n v="7003"/>
    <n v="1"/>
    <s v="Y"/>
    <x v="1"/>
    <n v="13"/>
    <n v="3"/>
    <n v="2"/>
    <n v="80"/>
    <n v="0"/>
    <n v="11"/>
    <n v="3"/>
    <n v="4"/>
    <n v="11"/>
    <n v="8"/>
    <n v="3"/>
    <n v="10"/>
  </r>
  <r>
    <n v="32"/>
    <x v="2"/>
    <x v="1"/>
    <n v="0"/>
    <x v="1"/>
    <n v="1318"/>
    <x v="0"/>
    <x v="17"/>
    <n v="4"/>
    <x v="2"/>
    <x v="3"/>
    <n v="4"/>
    <x v="1"/>
    <n v="79"/>
    <x v="0"/>
    <n v="2"/>
    <x v="0"/>
    <n v="4"/>
    <x v="0"/>
    <x v="1222"/>
    <n v="26075"/>
    <n v="8"/>
    <s v="Y"/>
    <x v="1"/>
    <n v="13"/>
    <n v="3"/>
    <n v="3"/>
    <n v="80"/>
    <n v="0"/>
    <n v="4"/>
    <n v="2"/>
    <n v="4"/>
    <n v="0"/>
    <n v="0"/>
    <n v="0"/>
    <n v="0"/>
  </r>
  <r>
    <n v="42"/>
    <x v="0"/>
    <x v="1"/>
    <n v="0"/>
    <x v="2"/>
    <n v="355"/>
    <x v="1"/>
    <x v="17"/>
    <n v="4"/>
    <x v="2"/>
    <x v="4"/>
    <n v="3"/>
    <x v="1"/>
    <n v="38"/>
    <x v="0"/>
    <n v="1"/>
    <x v="1"/>
    <n v="3"/>
    <x v="1"/>
    <x v="808"/>
    <n v="6161"/>
    <n v="3"/>
    <s v="Y"/>
    <x v="1"/>
    <n v="22"/>
    <n v="4"/>
    <n v="2"/>
    <n v="80"/>
    <n v="2"/>
    <n v="10"/>
    <n v="1"/>
    <n v="2"/>
    <n v="6"/>
    <n v="3"/>
    <n v="3"/>
    <n v="3"/>
  </r>
  <r>
    <n v="47"/>
    <x v="1"/>
    <x v="1"/>
    <n v="0"/>
    <x v="0"/>
    <n v="207"/>
    <x v="1"/>
    <x v="14"/>
    <n v="4"/>
    <x v="2"/>
    <x v="0"/>
    <n v="2"/>
    <x v="0"/>
    <n v="64"/>
    <x v="0"/>
    <n v="1"/>
    <x v="2"/>
    <n v="3"/>
    <x v="0"/>
    <x v="1223"/>
    <n v="5411"/>
    <n v="4"/>
    <s v="Y"/>
    <x v="1"/>
    <n v="12"/>
    <n v="3"/>
    <n v="3"/>
    <n v="80"/>
    <n v="0"/>
    <n v="7"/>
    <n v="2"/>
    <n v="3"/>
    <n v="2"/>
    <n v="2"/>
    <n v="2"/>
    <n v="0"/>
  </r>
  <r>
    <n v="46"/>
    <x v="1"/>
    <x v="1"/>
    <n v="0"/>
    <x v="0"/>
    <n v="706"/>
    <x v="1"/>
    <x v="2"/>
    <n v="2"/>
    <x v="0"/>
    <x v="0"/>
    <n v="4"/>
    <x v="1"/>
    <n v="82"/>
    <x v="0"/>
    <n v="3"/>
    <x v="3"/>
    <n v="4"/>
    <x v="2"/>
    <x v="1224"/>
    <n v="19989"/>
    <n v="3"/>
    <s v="Y"/>
    <x v="1"/>
    <n v="14"/>
    <n v="3"/>
    <n v="3"/>
    <n v="80"/>
    <n v="1"/>
    <n v="12"/>
    <n v="4"/>
    <n v="2"/>
    <n v="9"/>
    <n v="8"/>
    <n v="4"/>
    <n v="7"/>
  </r>
  <r>
    <n v="28"/>
    <x v="2"/>
    <x v="1"/>
    <n v="0"/>
    <x v="2"/>
    <n v="280"/>
    <x v="2"/>
    <x v="0"/>
    <n v="2"/>
    <x v="0"/>
    <x v="0"/>
    <n v="3"/>
    <x v="1"/>
    <n v="43"/>
    <x v="0"/>
    <n v="1"/>
    <x v="8"/>
    <n v="4"/>
    <x v="2"/>
    <x v="1225"/>
    <n v="10494"/>
    <n v="1"/>
    <s v="Y"/>
    <x v="1"/>
    <n v="15"/>
    <n v="3"/>
    <n v="2"/>
    <n v="80"/>
    <n v="1"/>
    <n v="3"/>
    <n v="2"/>
    <n v="3"/>
    <n v="3"/>
    <n v="2"/>
    <n v="2"/>
    <n v="2"/>
  </r>
  <r>
    <n v="29"/>
    <x v="2"/>
    <x v="1"/>
    <n v="0"/>
    <x v="0"/>
    <n v="726"/>
    <x v="1"/>
    <x v="22"/>
    <n v="1"/>
    <x v="1"/>
    <x v="0"/>
    <n v="4"/>
    <x v="1"/>
    <n v="93"/>
    <x v="3"/>
    <n v="2"/>
    <x v="4"/>
    <n v="3"/>
    <x v="2"/>
    <x v="1226"/>
    <n v="21143"/>
    <n v="8"/>
    <s v="Y"/>
    <x v="1"/>
    <n v="17"/>
    <n v="3"/>
    <n v="4"/>
    <n v="80"/>
    <n v="2"/>
    <n v="11"/>
    <n v="3"/>
    <n v="3"/>
    <n v="7"/>
    <n v="0"/>
    <n v="1"/>
    <n v="6"/>
  </r>
  <r>
    <n v="42"/>
    <x v="0"/>
    <x v="1"/>
    <n v="0"/>
    <x v="0"/>
    <n v="1142"/>
    <x v="1"/>
    <x v="1"/>
    <n v="3"/>
    <x v="3"/>
    <x v="0"/>
    <n v="4"/>
    <x v="1"/>
    <n v="81"/>
    <x v="0"/>
    <n v="1"/>
    <x v="2"/>
    <n v="3"/>
    <x v="0"/>
    <x v="1227"/>
    <n v="13624"/>
    <n v="4"/>
    <s v="Y"/>
    <x v="1"/>
    <n v="13"/>
    <n v="3"/>
    <n v="4"/>
    <n v="80"/>
    <n v="0"/>
    <n v="8"/>
    <n v="3"/>
    <n v="3"/>
    <n v="0"/>
    <n v="0"/>
    <n v="0"/>
    <n v="0"/>
  </r>
  <r>
    <n v="32"/>
    <x v="2"/>
    <x v="0"/>
    <n v="1"/>
    <x v="0"/>
    <n v="414"/>
    <x v="0"/>
    <x v="2"/>
    <n v="4"/>
    <x v="2"/>
    <x v="3"/>
    <n v="3"/>
    <x v="1"/>
    <n v="82"/>
    <x v="1"/>
    <n v="2"/>
    <x v="0"/>
    <n v="2"/>
    <x v="0"/>
    <x v="1228"/>
    <n v="26186"/>
    <n v="7"/>
    <s v="Y"/>
    <x v="0"/>
    <n v="12"/>
    <n v="3"/>
    <n v="3"/>
    <n v="80"/>
    <n v="0"/>
    <n v="7"/>
    <n v="3"/>
    <n v="2"/>
    <n v="2"/>
    <n v="2"/>
    <n v="2"/>
    <n v="2"/>
  </r>
  <r>
    <n v="46"/>
    <x v="1"/>
    <x v="1"/>
    <n v="0"/>
    <x v="0"/>
    <n v="1319"/>
    <x v="0"/>
    <x v="3"/>
    <n v="3"/>
    <x v="3"/>
    <x v="4"/>
    <n v="1"/>
    <x v="0"/>
    <n v="45"/>
    <x v="2"/>
    <n v="4"/>
    <x v="0"/>
    <n v="1"/>
    <x v="2"/>
    <x v="1229"/>
    <n v="7739"/>
    <n v="2"/>
    <s v="Y"/>
    <x v="1"/>
    <n v="12"/>
    <n v="3"/>
    <n v="4"/>
    <n v="80"/>
    <n v="1"/>
    <n v="25"/>
    <n v="5"/>
    <n v="3"/>
    <n v="19"/>
    <n v="17"/>
    <n v="2"/>
    <n v="8"/>
  </r>
  <r>
    <n v="27"/>
    <x v="2"/>
    <x v="1"/>
    <n v="0"/>
    <x v="0"/>
    <n v="728"/>
    <x v="0"/>
    <x v="5"/>
    <n v="1"/>
    <x v="1"/>
    <x v="2"/>
    <n v="2"/>
    <x v="0"/>
    <n v="36"/>
    <x v="1"/>
    <n v="2"/>
    <x v="6"/>
    <n v="3"/>
    <x v="1"/>
    <x v="1230"/>
    <n v="7018"/>
    <n v="1"/>
    <s v="Y"/>
    <x v="1"/>
    <n v="21"/>
    <n v="4"/>
    <n v="4"/>
    <n v="80"/>
    <n v="1"/>
    <n v="9"/>
    <n v="5"/>
    <n v="3"/>
    <n v="9"/>
    <n v="8"/>
    <n v="5"/>
    <n v="8"/>
  </r>
  <r>
    <n v="29"/>
    <x v="2"/>
    <x v="1"/>
    <n v="0"/>
    <x v="0"/>
    <n v="352"/>
    <x v="2"/>
    <x v="16"/>
    <n v="1"/>
    <x v="1"/>
    <x v="2"/>
    <n v="4"/>
    <x v="1"/>
    <n v="87"/>
    <x v="1"/>
    <n v="1"/>
    <x v="8"/>
    <n v="2"/>
    <x v="1"/>
    <x v="1231"/>
    <n v="15434"/>
    <n v="1"/>
    <s v="Y"/>
    <x v="1"/>
    <n v="11"/>
    <n v="3"/>
    <n v="4"/>
    <n v="80"/>
    <n v="0"/>
    <n v="1"/>
    <n v="3"/>
    <n v="3"/>
    <n v="1"/>
    <n v="0"/>
    <n v="0"/>
    <n v="0"/>
  </r>
  <r>
    <n v="43"/>
    <x v="0"/>
    <x v="1"/>
    <n v="0"/>
    <x v="0"/>
    <n v="823"/>
    <x v="1"/>
    <x v="16"/>
    <n v="3"/>
    <x v="3"/>
    <x v="2"/>
    <n v="1"/>
    <x v="0"/>
    <n v="81"/>
    <x v="1"/>
    <n v="5"/>
    <x v="5"/>
    <n v="3"/>
    <x v="1"/>
    <x v="1232"/>
    <n v="22539"/>
    <n v="7"/>
    <s v="Y"/>
    <x v="1"/>
    <n v="13"/>
    <n v="3"/>
    <n v="4"/>
    <n v="80"/>
    <n v="0"/>
    <n v="21"/>
    <n v="2"/>
    <n v="3"/>
    <n v="16"/>
    <n v="12"/>
    <n v="6"/>
    <n v="14"/>
  </r>
  <r>
    <n v="48"/>
    <x v="1"/>
    <x v="1"/>
    <n v="0"/>
    <x v="0"/>
    <n v="1224"/>
    <x v="1"/>
    <x v="17"/>
    <n v="3"/>
    <x v="3"/>
    <x v="0"/>
    <n v="4"/>
    <x v="1"/>
    <n v="91"/>
    <x v="1"/>
    <n v="5"/>
    <x v="7"/>
    <n v="2"/>
    <x v="1"/>
    <x v="1233"/>
    <n v="13583"/>
    <n v="4"/>
    <s v="Y"/>
    <x v="1"/>
    <n v="12"/>
    <n v="3"/>
    <n v="4"/>
    <n v="80"/>
    <n v="0"/>
    <n v="29"/>
    <n v="3"/>
    <n v="3"/>
    <n v="22"/>
    <n v="10"/>
    <n v="12"/>
    <n v="9"/>
  </r>
  <r>
    <n v="29"/>
    <x v="2"/>
    <x v="0"/>
    <n v="1"/>
    <x v="1"/>
    <n v="459"/>
    <x v="1"/>
    <x v="4"/>
    <n v="2"/>
    <x v="0"/>
    <x v="0"/>
    <n v="4"/>
    <x v="1"/>
    <n v="73"/>
    <x v="1"/>
    <n v="1"/>
    <x v="1"/>
    <n v="4"/>
    <x v="0"/>
    <x v="1234"/>
    <n v="14753"/>
    <n v="1"/>
    <s v="Y"/>
    <x v="0"/>
    <n v="24"/>
    <n v="4"/>
    <n v="2"/>
    <n v="80"/>
    <n v="0"/>
    <n v="1"/>
    <n v="3"/>
    <n v="2"/>
    <n v="1"/>
    <n v="0"/>
    <n v="1"/>
    <n v="0"/>
  </r>
  <r>
    <n v="46"/>
    <x v="1"/>
    <x v="0"/>
    <n v="1"/>
    <x v="0"/>
    <n v="1254"/>
    <x v="0"/>
    <x v="17"/>
    <n v="3"/>
    <x v="3"/>
    <x v="0"/>
    <n v="3"/>
    <x v="0"/>
    <n v="64"/>
    <x v="0"/>
    <n v="3"/>
    <x v="0"/>
    <n v="2"/>
    <x v="1"/>
    <x v="1235"/>
    <n v="14011"/>
    <n v="5"/>
    <s v="Y"/>
    <x v="1"/>
    <n v="21"/>
    <n v="4"/>
    <n v="3"/>
    <n v="80"/>
    <n v="3"/>
    <n v="14"/>
    <n v="2"/>
    <n v="3"/>
    <n v="8"/>
    <n v="7"/>
    <n v="0"/>
    <n v="7"/>
  </r>
  <r>
    <n v="27"/>
    <x v="2"/>
    <x v="1"/>
    <n v="0"/>
    <x v="1"/>
    <n v="1131"/>
    <x v="1"/>
    <x v="8"/>
    <n v="3"/>
    <x v="3"/>
    <x v="0"/>
    <n v="4"/>
    <x v="0"/>
    <n v="77"/>
    <x v="1"/>
    <n v="1"/>
    <x v="1"/>
    <n v="1"/>
    <x v="1"/>
    <x v="1236"/>
    <n v="23844"/>
    <n v="0"/>
    <s v="Y"/>
    <x v="1"/>
    <n v="19"/>
    <n v="3"/>
    <n v="4"/>
    <n v="80"/>
    <n v="1"/>
    <n v="8"/>
    <n v="2"/>
    <n v="2"/>
    <n v="7"/>
    <n v="6"/>
    <n v="7"/>
    <n v="3"/>
  </r>
  <r>
    <n v="39"/>
    <x v="0"/>
    <x v="1"/>
    <n v="0"/>
    <x v="0"/>
    <n v="835"/>
    <x v="1"/>
    <x v="10"/>
    <n v="4"/>
    <x v="2"/>
    <x v="1"/>
    <n v="4"/>
    <x v="1"/>
    <n v="41"/>
    <x v="0"/>
    <n v="2"/>
    <x v="1"/>
    <n v="4"/>
    <x v="2"/>
    <x v="1237"/>
    <n v="5141"/>
    <n v="8"/>
    <s v="Y"/>
    <x v="1"/>
    <n v="14"/>
    <n v="3"/>
    <n v="2"/>
    <n v="80"/>
    <n v="3"/>
    <n v="7"/>
    <n v="2"/>
    <n v="3"/>
    <n v="2"/>
    <n v="2"/>
    <n v="2"/>
    <n v="2"/>
  </r>
  <r>
    <n v="55"/>
    <x v="3"/>
    <x v="1"/>
    <n v="0"/>
    <x v="0"/>
    <n v="836"/>
    <x v="1"/>
    <x v="2"/>
    <n v="4"/>
    <x v="2"/>
    <x v="4"/>
    <n v="2"/>
    <x v="1"/>
    <n v="98"/>
    <x v="1"/>
    <n v="1"/>
    <x v="1"/>
    <n v="4"/>
    <x v="1"/>
    <x v="1238"/>
    <n v="7975"/>
    <n v="8"/>
    <s v="Y"/>
    <x v="1"/>
    <n v="20"/>
    <n v="4"/>
    <n v="2"/>
    <n v="80"/>
    <n v="1"/>
    <n v="19"/>
    <n v="2"/>
    <n v="4"/>
    <n v="5"/>
    <n v="2"/>
    <n v="0"/>
    <n v="4"/>
  </r>
  <r>
    <n v="28"/>
    <x v="2"/>
    <x v="1"/>
    <n v="0"/>
    <x v="0"/>
    <n v="1172"/>
    <x v="0"/>
    <x v="3"/>
    <n v="3"/>
    <x v="3"/>
    <x v="2"/>
    <n v="2"/>
    <x v="0"/>
    <n v="78"/>
    <x v="0"/>
    <n v="1"/>
    <x v="6"/>
    <n v="2"/>
    <x v="1"/>
    <x v="1239"/>
    <n v="3692"/>
    <n v="1"/>
    <s v="Y"/>
    <x v="1"/>
    <n v="19"/>
    <n v="3"/>
    <n v="4"/>
    <n v="80"/>
    <n v="1"/>
    <n v="1"/>
    <n v="3"/>
    <n v="3"/>
    <n v="1"/>
    <n v="0"/>
    <n v="0"/>
    <n v="0"/>
  </r>
  <r>
    <n v="30"/>
    <x v="2"/>
    <x v="0"/>
    <n v="1"/>
    <x v="0"/>
    <n v="945"/>
    <x v="0"/>
    <x v="14"/>
    <n v="3"/>
    <x v="3"/>
    <x v="2"/>
    <n v="2"/>
    <x v="1"/>
    <n v="89"/>
    <x v="0"/>
    <n v="1"/>
    <x v="6"/>
    <n v="4"/>
    <x v="0"/>
    <x v="1240"/>
    <n v="16019"/>
    <n v="1"/>
    <s v="Y"/>
    <x v="1"/>
    <n v="13"/>
    <n v="3"/>
    <n v="3"/>
    <n v="80"/>
    <n v="0"/>
    <n v="1"/>
    <n v="3"/>
    <n v="2"/>
    <n v="1"/>
    <n v="0"/>
    <n v="0"/>
    <n v="0"/>
  </r>
  <r>
    <n v="22"/>
    <x v="4"/>
    <x v="0"/>
    <n v="1"/>
    <x v="0"/>
    <n v="391"/>
    <x v="1"/>
    <x v="15"/>
    <n v="1"/>
    <x v="1"/>
    <x v="0"/>
    <n v="4"/>
    <x v="1"/>
    <n v="75"/>
    <x v="0"/>
    <n v="1"/>
    <x v="1"/>
    <n v="2"/>
    <x v="0"/>
    <x v="1241"/>
    <n v="26092"/>
    <n v="1"/>
    <s v="Y"/>
    <x v="0"/>
    <n v="23"/>
    <n v="4"/>
    <n v="1"/>
    <n v="80"/>
    <n v="0"/>
    <n v="1"/>
    <n v="2"/>
    <n v="3"/>
    <n v="1"/>
    <n v="0"/>
    <n v="0"/>
    <n v="0"/>
  </r>
  <r>
    <n v="36"/>
    <x v="0"/>
    <x v="1"/>
    <n v="0"/>
    <x v="0"/>
    <n v="1266"/>
    <x v="0"/>
    <x v="17"/>
    <n v="4"/>
    <x v="2"/>
    <x v="4"/>
    <n v="2"/>
    <x v="0"/>
    <n v="63"/>
    <x v="1"/>
    <n v="2"/>
    <x v="0"/>
    <n v="3"/>
    <x v="1"/>
    <x v="1242"/>
    <n v="6060"/>
    <n v="1"/>
    <s v="Y"/>
    <x v="0"/>
    <n v="13"/>
    <n v="3"/>
    <n v="1"/>
    <n v="80"/>
    <n v="1"/>
    <n v="10"/>
    <n v="4"/>
    <n v="3"/>
    <n v="10"/>
    <n v="9"/>
    <n v="1"/>
    <n v="7"/>
  </r>
  <r>
    <n v="31"/>
    <x v="2"/>
    <x v="1"/>
    <n v="0"/>
    <x v="0"/>
    <n v="311"/>
    <x v="1"/>
    <x v="25"/>
    <n v="3"/>
    <x v="3"/>
    <x v="0"/>
    <n v="2"/>
    <x v="1"/>
    <n v="89"/>
    <x v="0"/>
    <n v="2"/>
    <x v="2"/>
    <n v="3"/>
    <x v="2"/>
    <x v="378"/>
    <n v="18624"/>
    <n v="1"/>
    <s v="Y"/>
    <x v="1"/>
    <n v="11"/>
    <n v="3"/>
    <n v="1"/>
    <n v="80"/>
    <n v="1"/>
    <n v="10"/>
    <n v="2"/>
    <n v="3"/>
    <n v="10"/>
    <n v="8"/>
    <n v="0"/>
    <n v="2"/>
  </r>
  <r>
    <n v="34"/>
    <x v="2"/>
    <x v="1"/>
    <n v="0"/>
    <x v="0"/>
    <n v="1480"/>
    <x v="0"/>
    <x v="18"/>
    <n v="3"/>
    <x v="3"/>
    <x v="0"/>
    <n v="3"/>
    <x v="1"/>
    <n v="64"/>
    <x v="0"/>
    <n v="3"/>
    <x v="0"/>
    <n v="4"/>
    <x v="1"/>
    <x v="1243"/>
    <n v="24444"/>
    <n v="2"/>
    <s v="Y"/>
    <x v="0"/>
    <n v="13"/>
    <n v="3"/>
    <n v="4"/>
    <n v="80"/>
    <n v="3"/>
    <n v="9"/>
    <n v="3"/>
    <n v="3"/>
    <n v="5"/>
    <n v="3"/>
    <n v="1"/>
    <n v="0"/>
  </r>
  <r>
    <n v="29"/>
    <x v="2"/>
    <x v="1"/>
    <n v="0"/>
    <x v="0"/>
    <n v="592"/>
    <x v="1"/>
    <x v="15"/>
    <n v="3"/>
    <x v="3"/>
    <x v="0"/>
    <n v="4"/>
    <x v="1"/>
    <n v="59"/>
    <x v="0"/>
    <n v="1"/>
    <x v="2"/>
    <n v="1"/>
    <x v="0"/>
    <x v="1244"/>
    <n v="19384"/>
    <n v="3"/>
    <s v="Y"/>
    <x v="1"/>
    <n v="14"/>
    <n v="3"/>
    <n v="2"/>
    <n v="80"/>
    <n v="0"/>
    <n v="11"/>
    <n v="2"/>
    <n v="3"/>
    <n v="3"/>
    <n v="2"/>
    <n v="1"/>
    <n v="2"/>
  </r>
  <r>
    <n v="37"/>
    <x v="0"/>
    <x v="1"/>
    <n v="0"/>
    <x v="0"/>
    <n v="783"/>
    <x v="1"/>
    <x v="15"/>
    <n v="4"/>
    <x v="2"/>
    <x v="2"/>
    <n v="4"/>
    <x v="1"/>
    <n v="78"/>
    <x v="0"/>
    <n v="2"/>
    <x v="1"/>
    <n v="1"/>
    <x v="1"/>
    <x v="948"/>
    <n v="13588"/>
    <n v="5"/>
    <s v="Y"/>
    <x v="0"/>
    <n v="22"/>
    <n v="4"/>
    <n v="3"/>
    <n v="80"/>
    <n v="1"/>
    <n v="16"/>
    <n v="2"/>
    <n v="3"/>
    <n v="5"/>
    <n v="3"/>
    <n v="0"/>
    <n v="4"/>
  </r>
  <r>
    <n v="35"/>
    <x v="0"/>
    <x v="1"/>
    <n v="0"/>
    <x v="0"/>
    <n v="219"/>
    <x v="1"/>
    <x v="7"/>
    <n v="2"/>
    <x v="0"/>
    <x v="1"/>
    <n v="4"/>
    <x v="0"/>
    <n v="44"/>
    <x v="1"/>
    <n v="2"/>
    <x v="3"/>
    <n v="2"/>
    <x v="1"/>
    <x v="1245"/>
    <n v="25388"/>
    <n v="0"/>
    <s v="Y"/>
    <x v="0"/>
    <n v="11"/>
    <n v="3"/>
    <n v="4"/>
    <n v="80"/>
    <n v="0"/>
    <n v="4"/>
    <n v="2"/>
    <n v="3"/>
    <n v="3"/>
    <n v="2"/>
    <n v="0"/>
    <n v="2"/>
  </r>
  <r>
    <n v="45"/>
    <x v="1"/>
    <x v="1"/>
    <n v="0"/>
    <x v="0"/>
    <n v="556"/>
    <x v="1"/>
    <x v="19"/>
    <n v="2"/>
    <x v="0"/>
    <x v="0"/>
    <n v="2"/>
    <x v="0"/>
    <n v="93"/>
    <x v="1"/>
    <n v="2"/>
    <x v="3"/>
    <n v="4"/>
    <x v="1"/>
    <x v="1246"/>
    <n v="23888"/>
    <n v="0"/>
    <s v="Y"/>
    <x v="1"/>
    <n v="13"/>
    <n v="3"/>
    <n v="4"/>
    <n v="80"/>
    <n v="2"/>
    <n v="10"/>
    <n v="2"/>
    <n v="2"/>
    <n v="9"/>
    <n v="8"/>
    <n v="3"/>
    <n v="8"/>
  </r>
  <r>
    <n v="36"/>
    <x v="0"/>
    <x v="1"/>
    <n v="0"/>
    <x v="1"/>
    <n v="1213"/>
    <x v="2"/>
    <x v="2"/>
    <n v="1"/>
    <x v="1"/>
    <x v="5"/>
    <n v="2"/>
    <x v="1"/>
    <n v="94"/>
    <x v="1"/>
    <n v="2"/>
    <x v="8"/>
    <n v="4"/>
    <x v="0"/>
    <x v="1247"/>
    <n v="4223"/>
    <n v="1"/>
    <s v="Y"/>
    <x v="1"/>
    <n v="21"/>
    <n v="4"/>
    <n v="4"/>
    <n v="80"/>
    <n v="0"/>
    <n v="10"/>
    <n v="2"/>
    <n v="2"/>
    <n v="10"/>
    <n v="1"/>
    <n v="0"/>
    <n v="8"/>
  </r>
  <r>
    <n v="40"/>
    <x v="0"/>
    <x v="1"/>
    <n v="0"/>
    <x v="0"/>
    <n v="1137"/>
    <x v="1"/>
    <x v="0"/>
    <n v="4"/>
    <x v="2"/>
    <x v="0"/>
    <n v="1"/>
    <x v="1"/>
    <n v="98"/>
    <x v="0"/>
    <n v="4"/>
    <x v="5"/>
    <n v="1"/>
    <x v="2"/>
    <x v="1248"/>
    <n v="18991"/>
    <n v="2"/>
    <s v="Y"/>
    <x v="1"/>
    <n v="11"/>
    <n v="3"/>
    <n v="1"/>
    <n v="80"/>
    <n v="1"/>
    <n v="22"/>
    <n v="3"/>
    <n v="3"/>
    <n v="19"/>
    <n v="7"/>
    <n v="11"/>
    <n v="16"/>
  </r>
  <r>
    <n v="26"/>
    <x v="2"/>
    <x v="1"/>
    <n v="0"/>
    <x v="0"/>
    <n v="482"/>
    <x v="1"/>
    <x v="0"/>
    <n v="2"/>
    <x v="0"/>
    <x v="0"/>
    <n v="2"/>
    <x v="0"/>
    <n v="90"/>
    <x v="1"/>
    <n v="1"/>
    <x v="1"/>
    <n v="3"/>
    <x v="1"/>
    <x v="1249"/>
    <n v="14908"/>
    <n v="1"/>
    <s v="Y"/>
    <x v="0"/>
    <n v="13"/>
    <n v="3"/>
    <n v="3"/>
    <n v="80"/>
    <n v="1"/>
    <n v="1"/>
    <n v="3"/>
    <n v="2"/>
    <n v="1"/>
    <n v="0"/>
    <n v="1"/>
    <n v="0"/>
  </r>
  <r>
    <n v="27"/>
    <x v="2"/>
    <x v="1"/>
    <n v="0"/>
    <x v="0"/>
    <n v="511"/>
    <x v="0"/>
    <x v="2"/>
    <n v="2"/>
    <x v="0"/>
    <x v="2"/>
    <n v="1"/>
    <x v="0"/>
    <n v="89"/>
    <x v="2"/>
    <n v="2"/>
    <x v="0"/>
    <n v="3"/>
    <x v="0"/>
    <x v="559"/>
    <n v="26997"/>
    <n v="0"/>
    <s v="Y"/>
    <x v="1"/>
    <n v="14"/>
    <n v="3"/>
    <n v="2"/>
    <n v="80"/>
    <n v="0"/>
    <n v="9"/>
    <n v="5"/>
    <n v="2"/>
    <n v="8"/>
    <n v="7"/>
    <n v="0"/>
    <n v="7"/>
  </r>
  <r>
    <n v="48"/>
    <x v="1"/>
    <x v="1"/>
    <n v="0"/>
    <x v="1"/>
    <n v="117"/>
    <x v="1"/>
    <x v="23"/>
    <n v="3"/>
    <x v="3"/>
    <x v="2"/>
    <n v="4"/>
    <x v="0"/>
    <n v="58"/>
    <x v="0"/>
    <n v="4"/>
    <x v="5"/>
    <n v="4"/>
    <x v="2"/>
    <x v="1250"/>
    <n v="2437"/>
    <n v="3"/>
    <s v="Y"/>
    <x v="1"/>
    <n v="11"/>
    <n v="3"/>
    <n v="2"/>
    <n v="80"/>
    <n v="1"/>
    <n v="24"/>
    <n v="3"/>
    <n v="3"/>
    <n v="22"/>
    <n v="17"/>
    <n v="4"/>
    <n v="7"/>
  </r>
  <r>
    <n v="44"/>
    <x v="0"/>
    <x v="1"/>
    <n v="0"/>
    <x v="0"/>
    <n v="170"/>
    <x v="1"/>
    <x v="0"/>
    <n v="4"/>
    <x v="2"/>
    <x v="0"/>
    <n v="2"/>
    <x v="1"/>
    <n v="78"/>
    <x v="2"/>
    <n v="2"/>
    <x v="4"/>
    <n v="1"/>
    <x v="1"/>
    <x v="1251"/>
    <n v="9364"/>
    <n v="2"/>
    <s v="Y"/>
    <x v="1"/>
    <n v="15"/>
    <n v="3"/>
    <n v="4"/>
    <n v="80"/>
    <n v="1"/>
    <n v="10"/>
    <n v="5"/>
    <n v="3"/>
    <n v="2"/>
    <n v="0"/>
    <n v="2"/>
    <n v="2"/>
  </r>
  <r>
    <n v="34"/>
    <x v="2"/>
    <x v="0"/>
    <n v="1"/>
    <x v="2"/>
    <n v="967"/>
    <x v="1"/>
    <x v="7"/>
    <n v="4"/>
    <x v="2"/>
    <x v="4"/>
    <n v="4"/>
    <x v="1"/>
    <n v="85"/>
    <x v="3"/>
    <n v="1"/>
    <x v="1"/>
    <n v="1"/>
    <x v="1"/>
    <x v="1252"/>
    <n v="14460"/>
    <n v="1"/>
    <s v="Y"/>
    <x v="0"/>
    <n v="23"/>
    <n v="4"/>
    <n v="2"/>
    <n v="80"/>
    <n v="1"/>
    <n v="5"/>
    <n v="2"/>
    <n v="3"/>
    <n v="5"/>
    <n v="2"/>
    <n v="3"/>
    <n v="0"/>
  </r>
  <r>
    <n v="56"/>
    <x v="3"/>
    <x v="0"/>
    <n v="1"/>
    <x v="0"/>
    <n v="1162"/>
    <x v="1"/>
    <x v="4"/>
    <n v="2"/>
    <x v="0"/>
    <x v="0"/>
    <n v="1"/>
    <x v="1"/>
    <n v="97"/>
    <x v="0"/>
    <n v="1"/>
    <x v="2"/>
    <n v="4"/>
    <x v="0"/>
    <x v="1105"/>
    <n v="10261"/>
    <n v="1"/>
    <s v="Y"/>
    <x v="1"/>
    <n v="16"/>
    <n v="3"/>
    <n v="4"/>
    <n v="80"/>
    <n v="0"/>
    <n v="5"/>
    <n v="3"/>
    <n v="3"/>
    <n v="4"/>
    <n v="2"/>
    <n v="1"/>
    <n v="0"/>
  </r>
  <r>
    <n v="36"/>
    <x v="0"/>
    <x v="1"/>
    <n v="0"/>
    <x v="0"/>
    <n v="335"/>
    <x v="0"/>
    <x v="27"/>
    <n v="2"/>
    <x v="0"/>
    <x v="3"/>
    <n v="3"/>
    <x v="1"/>
    <n v="33"/>
    <x v="1"/>
    <n v="2"/>
    <x v="0"/>
    <n v="2"/>
    <x v="1"/>
    <x v="1253"/>
    <n v="16822"/>
    <n v="2"/>
    <s v="Y"/>
    <x v="1"/>
    <n v="16"/>
    <n v="3"/>
    <n v="3"/>
    <n v="80"/>
    <n v="2"/>
    <n v="12"/>
    <n v="1"/>
    <n v="1"/>
    <n v="4"/>
    <n v="2"/>
    <n v="1"/>
    <n v="3"/>
  </r>
  <r>
    <n v="41"/>
    <x v="0"/>
    <x v="1"/>
    <n v="0"/>
    <x v="0"/>
    <n v="337"/>
    <x v="0"/>
    <x v="1"/>
    <n v="3"/>
    <x v="3"/>
    <x v="3"/>
    <n v="3"/>
    <x v="0"/>
    <n v="54"/>
    <x v="0"/>
    <n v="2"/>
    <x v="0"/>
    <n v="2"/>
    <x v="1"/>
    <x v="1254"/>
    <n v="26841"/>
    <n v="5"/>
    <s v="Y"/>
    <x v="1"/>
    <n v="21"/>
    <n v="4"/>
    <n v="3"/>
    <n v="80"/>
    <n v="1"/>
    <n v="14"/>
    <n v="3"/>
    <n v="3"/>
    <n v="5"/>
    <n v="4"/>
    <n v="1"/>
    <n v="4"/>
  </r>
  <r>
    <n v="42"/>
    <x v="0"/>
    <x v="1"/>
    <n v="0"/>
    <x v="0"/>
    <n v="1396"/>
    <x v="1"/>
    <x v="16"/>
    <n v="3"/>
    <x v="3"/>
    <x v="2"/>
    <n v="3"/>
    <x v="1"/>
    <n v="83"/>
    <x v="0"/>
    <n v="3"/>
    <x v="7"/>
    <n v="1"/>
    <x v="1"/>
    <x v="1255"/>
    <n v="14842"/>
    <n v="9"/>
    <s v="Y"/>
    <x v="1"/>
    <n v="13"/>
    <n v="3"/>
    <n v="2"/>
    <n v="80"/>
    <n v="1"/>
    <n v="18"/>
    <n v="3"/>
    <n v="4"/>
    <n v="13"/>
    <n v="7"/>
    <n v="5"/>
    <n v="7"/>
  </r>
  <r>
    <n v="31"/>
    <x v="2"/>
    <x v="1"/>
    <n v="0"/>
    <x v="0"/>
    <n v="1079"/>
    <x v="0"/>
    <x v="17"/>
    <n v="2"/>
    <x v="0"/>
    <x v="2"/>
    <n v="3"/>
    <x v="0"/>
    <n v="86"/>
    <x v="0"/>
    <n v="2"/>
    <x v="0"/>
    <n v="4"/>
    <x v="2"/>
    <x v="1256"/>
    <n v="20115"/>
    <n v="2"/>
    <s v="Y"/>
    <x v="0"/>
    <n v="11"/>
    <n v="3"/>
    <n v="4"/>
    <n v="80"/>
    <n v="1"/>
    <n v="8"/>
    <n v="2"/>
    <n v="3"/>
    <n v="5"/>
    <n v="2"/>
    <n v="1"/>
    <n v="4"/>
  </r>
  <r>
    <n v="34"/>
    <x v="2"/>
    <x v="1"/>
    <n v="0"/>
    <x v="0"/>
    <n v="735"/>
    <x v="0"/>
    <x v="3"/>
    <n v="1"/>
    <x v="1"/>
    <x v="2"/>
    <n v="4"/>
    <x v="0"/>
    <n v="75"/>
    <x v="1"/>
    <n v="2"/>
    <x v="0"/>
    <n v="4"/>
    <x v="1"/>
    <x v="1257"/>
    <n v="16495"/>
    <n v="3"/>
    <s v="Y"/>
    <x v="0"/>
    <n v="12"/>
    <n v="3"/>
    <n v="3"/>
    <n v="80"/>
    <n v="0"/>
    <n v="9"/>
    <n v="3"/>
    <n v="2"/>
    <n v="4"/>
    <n v="2"/>
    <n v="0"/>
    <n v="1"/>
  </r>
  <r>
    <n v="31"/>
    <x v="2"/>
    <x v="1"/>
    <n v="0"/>
    <x v="0"/>
    <n v="471"/>
    <x v="1"/>
    <x v="18"/>
    <n v="3"/>
    <x v="3"/>
    <x v="2"/>
    <n v="1"/>
    <x v="0"/>
    <n v="62"/>
    <x v="2"/>
    <n v="1"/>
    <x v="2"/>
    <n v="3"/>
    <x v="2"/>
    <x v="1258"/>
    <n v="16031"/>
    <n v="8"/>
    <s v="Y"/>
    <x v="1"/>
    <n v="12"/>
    <n v="3"/>
    <n v="2"/>
    <n v="80"/>
    <n v="1"/>
    <n v="4"/>
    <n v="0"/>
    <n v="2"/>
    <n v="2"/>
    <n v="2"/>
    <n v="2"/>
    <n v="2"/>
  </r>
  <r>
    <n v="26"/>
    <x v="2"/>
    <x v="1"/>
    <n v="0"/>
    <x v="1"/>
    <n v="1096"/>
    <x v="1"/>
    <x v="16"/>
    <n v="3"/>
    <x v="3"/>
    <x v="1"/>
    <n v="3"/>
    <x v="1"/>
    <n v="61"/>
    <x v="2"/>
    <n v="1"/>
    <x v="2"/>
    <n v="4"/>
    <x v="1"/>
    <x v="1259"/>
    <n v="7102"/>
    <n v="0"/>
    <s v="Y"/>
    <x v="1"/>
    <n v="18"/>
    <n v="3"/>
    <n v="1"/>
    <n v="80"/>
    <n v="1"/>
    <n v="8"/>
    <n v="3"/>
    <n v="3"/>
    <n v="7"/>
    <n v="7"/>
    <n v="7"/>
    <n v="7"/>
  </r>
  <r>
    <n v="45"/>
    <x v="1"/>
    <x v="1"/>
    <n v="0"/>
    <x v="1"/>
    <n v="1297"/>
    <x v="1"/>
    <x v="0"/>
    <n v="4"/>
    <x v="2"/>
    <x v="2"/>
    <n v="2"/>
    <x v="1"/>
    <n v="44"/>
    <x v="0"/>
    <n v="2"/>
    <x v="4"/>
    <n v="3"/>
    <x v="0"/>
    <x v="1260"/>
    <n v="14511"/>
    <n v="4"/>
    <s v="Y"/>
    <x v="1"/>
    <n v="12"/>
    <n v="3"/>
    <n v="3"/>
    <n v="80"/>
    <n v="0"/>
    <n v="12"/>
    <n v="3"/>
    <n v="3"/>
    <n v="4"/>
    <n v="2"/>
    <n v="0"/>
    <n v="3"/>
  </r>
  <r>
    <n v="33"/>
    <x v="2"/>
    <x v="1"/>
    <n v="0"/>
    <x v="0"/>
    <n v="217"/>
    <x v="0"/>
    <x v="17"/>
    <n v="4"/>
    <x v="2"/>
    <x v="3"/>
    <n v="2"/>
    <x v="1"/>
    <n v="43"/>
    <x v="0"/>
    <n v="2"/>
    <x v="0"/>
    <n v="3"/>
    <x v="0"/>
    <x v="1261"/>
    <n v="10410"/>
    <n v="1"/>
    <s v="Y"/>
    <x v="1"/>
    <n v="14"/>
    <n v="3"/>
    <n v="2"/>
    <n v="80"/>
    <n v="0"/>
    <n v="10"/>
    <n v="2"/>
    <n v="2"/>
    <n v="10"/>
    <n v="4"/>
    <n v="0"/>
    <n v="9"/>
  </r>
  <r>
    <n v="28"/>
    <x v="2"/>
    <x v="1"/>
    <n v="0"/>
    <x v="1"/>
    <n v="783"/>
    <x v="0"/>
    <x v="0"/>
    <n v="2"/>
    <x v="0"/>
    <x v="0"/>
    <n v="3"/>
    <x v="1"/>
    <n v="42"/>
    <x v="1"/>
    <n v="2"/>
    <x v="0"/>
    <n v="4"/>
    <x v="1"/>
    <x v="1262"/>
    <n v="19255"/>
    <n v="1"/>
    <s v="Y"/>
    <x v="0"/>
    <n v="12"/>
    <n v="3"/>
    <n v="3"/>
    <n v="80"/>
    <n v="1"/>
    <n v="7"/>
    <n v="2"/>
    <n v="3"/>
    <n v="7"/>
    <n v="7"/>
    <n v="0"/>
    <n v="7"/>
  </r>
  <r>
    <n v="29"/>
    <x v="2"/>
    <x v="0"/>
    <n v="1"/>
    <x v="1"/>
    <n v="746"/>
    <x v="0"/>
    <x v="4"/>
    <n v="3"/>
    <x v="3"/>
    <x v="4"/>
    <n v="3"/>
    <x v="1"/>
    <n v="45"/>
    <x v="2"/>
    <n v="1"/>
    <x v="6"/>
    <n v="1"/>
    <x v="0"/>
    <x v="1263"/>
    <n v="10642"/>
    <n v="1"/>
    <s v="Y"/>
    <x v="1"/>
    <n v="17"/>
    <n v="3"/>
    <n v="4"/>
    <n v="80"/>
    <n v="0"/>
    <n v="1"/>
    <n v="3"/>
    <n v="3"/>
    <n v="1"/>
    <n v="0"/>
    <n v="0"/>
    <n v="0"/>
  </r>
  <r>
    <n v="39"/>
    <x v="0"/>
    <x v="1"/>
    <n v="0"/>
    <x v="2"/>
    <n v="1251"/>
    <x v="0"/>
    <x v="11"/>
    <n v="4"/>
    <x v="2"/>
    <x v="0"/>
    <n v="1"/>
    <x v="0"/>
    <n v="32"/>
    <x v="3"/>
    <n v="2"/>
    <x v="0"/>
    <n v="3"/>
    <x v="1"/>
    <x v="1264"/>
    <n v="3987"/>
    <n v="6"/>
    <s v="Y"/>
    <x v="1"/>
    <n v="19"/>
    <n v="3"/>
    <n v="3"/>
    <n v="80"/>
    <n v="1"/>
    <n v="10"/>
    <n v="1"/>
    <n v="3"/>
    <n v="3"/>
    <n v="2"/>
    <n v="1"/>
    <n v="2"/>
  </r>
  <r>
    <n v="27"/>
    <x v="2"/>
    <x v="1"/>
    <n v="0"/>
    <x v="0"/>
    <n v="1354"/>
    <x v="1"/>
    <x v="2"/>
    <n v="4"/>
    <x v="2"/>
    <x v="4"/>
    <n v="2"/>
    <x v="1"/>
    <n v="41"/>
    <x v="0"/>
    <n v="1"/>
    <x v="1"/>
    <n v="2"/>
    <x v="1"/>
    <x v="1265"/>
    <n v="6073"/>
    <n v="1"/>
    <s v="Y"/>
    <x v="1"/>
    <n v="11"/>
    <n v="3"/>
    <n v="3"/>
    <n v="80"/>
    <n v="1"/>
    <n v="6"/>
    <n v="3"/>
    <n v="2"/>
    <n v="5"/>
    <n v="3"/>
    <n v="1"/>
    <n v="2"/>
  </r>
  <r>
    <n v="34"/>
    <x v="2"/>
    <x v="1"/>
    <n v="0"/>
    <x v="1"/>
    <n v="735"/>
    <x v="1"/>
    <x v="23"/>
    <n v="4"/>
    <x v="2"/>
    <x v="1"/>
    <n v="3"/>
    <x v="1"/>
    <n v="86"/>
    <x v="1"/>
    <n v="2"/>
    <x v="1"/>
    <n v="4"/>
    <x v="1"/>
    <x v="1266"/>
    <n v="26496"/>
    <n v="1"/>
    <s v="Y"/>
    <x v="0"/>
    <n v="15"/>
    <n v="3"/>
    <n v="2"/>
    <n v="80"/>
    <n v="0"/>
    <n v="16"/>
    <n v="3"/>
    <n v="3"/>
    <n v="15"/>
    <n v="10"/>
    <n v="6"/>
    <n v="11"/>
  </r>
  <r>
    <n v="28"/>
    <x v="2"/>
    <x v="0"/>
    <n v="1"/>
    <x v="0"/>
    <n v="1475"/>
    <x v="0"/>
    <x v="28"/>
    <n v="2"/>
    <x v="0"/>
    <x v="3"/>
    <n v="4"/>
    <x v="0"/>
    <n v="84"/>
    <x v="0"/>
    <n v="2"/>
    <x v="0"/>
    <n v="3"/>
    <x v="0"/>
    <x v="1267"/>
    <n v="23352"/>
    <n v="3"/>
    <s v="Y"/>
    <x v="0"/>
    <n v="11"/>
    <n v="3"/>
    <n v="4"/>
    <n v="80"/>
    <n v="0"/>
    <n v="6"/>
    <n v="0"/>
    <n v="3"/>
    <n v="2"/>
    <n v="0"/>
    <n v="2"/>
    <n v="2"/>
  </r>
  <r>
    <n v="47"/>
    <x v="1"/>
    <x v="1"/>
    <n v="0"/>
    <x v="2"/>
    <n v="1169"/>
    <x v="1"/>
    <x v="24"/>
    <n v="4"/>
    <x v="2"/>
    <x v="4"/>
    <n v="3"/>
    <x v="1"/>
    <n v="64"/>
    <x v="0"/>
    <n v="2"/>
    <x v="1"/>
    <n v="2"/>
    <x v="1"/>
    <x v="931"/>
    <n v="2125"/>
    <n v="8"/>
    <s v="Y"/>
    <x v="1"/>
    <n v="18"/>
    <n v="3"/>
    <n v="3"/>
    <n v="80"/>
    <n v="1"/>
    <n v="16"/>
    <n v="4"/>
    <n v="4"/>
    <n v="8"/>
    <n v="7"/>
    <n v="1"/>
    <n v="7"/>
  </r>
  <r>
    <n v="56"/>
    <x v="3"/>
    <x v="1"/>
    <n v="0"/>
    <x v="0"/>
    <n v="1443"/>
    <x v="0"/>
    <x v="13"/>
    <n v="5"/>
    <x v="4"/>
    <x v="3"/>
    <n v="4"/>
    <x v="0"/>
    <n v="89"/>
    <x v="1"/>
    <n v="2"/>
    <x v="0"/>
    <n v="1"/>
    <x v="1"/>
    <x v="1268"/>
    <n v="20328"/>
    <n v="4"/>
    <s v="Y"/>
    <x v="1"/>
    <n v="16"/>
    <n v="3"/>
    <n v="3"/>
    <n v="80"/>
    <n v="1"/>
    <n v="6"/>
    <n v="3"/>
    <n v="3"/>
    <n v="0"/>
    <n v="0"/>
    <n v="0"/>
    <n v="0"/>
  </r>
  <r>
    <n v="39"/>
    <x v="0"/>
    <x v="1"/>
    <n v="0"/>
    <x v="0"/>
    <n v="867"/>
    <x v="1"/>
    <x v="14"/>
    <n v="2"/>
    <x v="0"/>
    <x v="2"/>
    <n v="1"/>
    <x v="1"/>
    <n v="87"/>
    <x v="0"/>
    <n v="2"/>
    <x v="3"/>
    <n v="1"/>
    <x v="1"/>
    <x v="1269"/>
    <n v="12315"/>
    <n v="1"/>
    <s v="Y"/>
    <x v="1"/>
    <n v="25"/>
    <n v="4"/>
    <n v="4"/>
    <n v="80"/>
    <n v="1"/>
    <n v="10"/>
    <n v="3"/>
    <n v="3"/>
    <n v="10"/>
    <n v="0"/>
    <n v="7"/>
    <n v="9"/>
  </r>
  <r>
    <n v="38"/>
    <x v="0"/>
    <x v="1"/>
    <n v="0"/>
    <x v="1"/>
    <n v="1394"/>
    <x v="1"/>
    <x v="1"/>
    <n v="3"/>
    <x v="3"/>
    <x v="2"/>
    <n v="4"/>
    <x v="0"/>
    <n v="58"/>
    <x v="1"/>
    <n v="2"/>
    <x v="1"/>
    <n v="2"/>
    <x v="2"/>
    <x v="1270"/>
    <n v="18115"/>
    <n v="1"/>
    <s v="Y"/>
    <x v="0"/>
    <n v="16"/>
    <n v="3"/>
    <n v="3"/>
    <n v="80"/>
    <n v="1"/>
    <n v="20"/>
    <n v="3"/>
    <n v="3"/>
    <n v="20"/>
    <n v="11"/>
    <n v="0"/>
    <n v="7"/>
  </r>
  <r>
    <n v="58"/>
    <x v="3"/>
    <x v="1"/>
    <n v="0"/>
    <x v="0"/>
    <n v="605"/>
    <x v="0"/>
    <x v="11"/>
    <n v="3"/>
    <x v="3"/>
    <x v="0"/>
    <n v="4"/>
    <x v="0"/>
    <n v="72"/>
    <x v="0"/>
    <n v="4"/>
    <x v="5"/>
    <n v="4"/>
    <x v="1"/>
    <x v="1271"/>
    <n v="11761"/>
    <n v="4"/>
    <s v="Y"/>
    <x v="0"/>
    <n v="13"/>
    <n v="3"/>
    <n v="3"/>
    <n v="80"/>
    <n v="1"/>
    <n v="29"/>
    <n v="2"/>
    <n v="2"/>
    <n v="1"/>
    <n v="0"/>
    <n v="0"/>
    <n v="0"/>
  </r>
  <r>
    <n v="32"/>
    <x v="2"/>
    <x v="0"/>
    <n v="1"/>
    <x v="1"/>
    <n v="238"/>
    <x v="1"/>
    <x v="12"/>
    <n v="2"/>
    <x v="0"/>
    <x v="0"/>
    <n v="1"/>
    <x v="0"/>
    <n v="47"/>
    <x v="2"/>
    <n v="1"/>
    <x v="1"/>
    <n v="3"/>
    <x v="0"/>
    <x v="1272"/>
    <n v="15318"/>
    <n v="3"/>
    <s v="Y"/>
    <x v="0"/>
    <n v="14"/>
    <n v="3"/>
    <n v="1"/>
    <n v="80"/>
    <n v="0"/>
    <n v="8"/>
    <n v="2"/>
    <n v="3"/>
    <n v="4"/>
    <n v="1"/>
    <n v="0"/>
    <n v="3"/>
  </r>
  <r>
    <n v="38"/>
    <x v="0"/>
    <x v="1"/>
    <n v="0"/>
    <x v="0"/>
    <n v="1206"/>
    <x v="1"/>
    <x v="14"/>
    <n v="2"/>
    <x v="0"/>
    <x v="0"/>
    <n v="2"/>
    <x v="1"/>
    <n v="71"/>
    <x v="0"/>
    <n v="1"/>
    <x v="1"/>
    <n v="4"/>
    <x v="2"/>
    <x v="1273"/>
    <n v="14293"/>
    <n v="2"/>
    <s v="Y"/>
    <x v="1"/>
    <n v="19"/>
    <n v="3"/>
    <n v="4"/>
    <n v="80"/>
    <n v="2"/>
    <n v="10"/>
    <n v="0"/>
    <n v="4"/>
    <n v="5"/>
    <n v="2"/>
    <n v="0"/>
    <n v="3"/>
  </r>
  <r>
    <n v="49"/>
    <x v="1"/>
    <x v="1"/>
    <n v="0"/>
    <x v="1"/>
    <n v="1064"/>
    <x v="1"/>
    <x v="2"/>
    <n v="1"/>
    <x v="1"/>
    <x v="0"/>
    <n v="2"/>
    <x v="1"/>
    <n v="42"/>
    <x v="0"/>
    <n v="5"/>
    <x v="7"/>
    <n v="4"/>
    <x v="1"/>
    <x v="1274"/>
    <n v="13738"/>
    <n v="3"/>
    <s v="Y"/>
    <x v="1"/>
    <n v="15"/>
    <n v="3"/>
    <n v="4"/>
    <n v="80"/>
    <n v="0"/>
    <n v="28"/>
    <n v="3"/>
    <n v="3"/>
    <n v="5"/>
    <n v="4"/>
    <n v="4"/>
    <n v="3"/>
  </r>
  <r>
    <n v="42"/>
    <x v="0"/>
    <x v="1"/>
    <n v="0"/>
    <x v="0"/>
    <n v="419"/>
    <x v="0"/>
    <x v="20"/>
    <n v="4"/>
    <x v="2"/>
    <x v="3"/>
    <n v="2"/>
    <x v="1"/>
    <n v="77"/>
    <x v="0"/>
    <n v="2"/>
    <x v="0"/>
    <n v="4"/>
    <x v="2"/>
    <x v="1275"/>
    <n v="2900"/>
    <n v="3"/>
    <s v="Y"/>
    <x v="0"/>
    <n v="12"/>
    <n v="3"/>
    <n v="3"/>
    <n v="80"/>
    <n v="2"/>
    <n v="14"/>
    <n v="4"/>
    <n v="3"/>
    <n v="0"/>
    <n v="0"/>
    <n v="0"/>
    <n v="0"/>
  </r>
  <r>
    <n v="27"/>
    <x v="2"/>
    <x v="0"/>
    <n v="1"/>
    <x v="1"/>
    <n v="1337"/>
    <x v="2"/>
    <x v="23"/>
    <n v="3"/>
    <x v="3"/>
    <x v="5"/>
    <n v="1"/>
    <x v="0"/>
    <n v="58"/>
    <x v="1"/>
    <n v="1"/>
    <x v="8"/>
    <n v="2"/>
    <x v="1"/>
    <x v="1276"/>
    <n v="19555"/>
    <n v="1"/>
    <s v="Y"/>
    <x v="1"/>
    <n v="12"/>
    <n v="3"/>
    <n v="1"/>
    <n v="80"/>
    <n v="0"/>
    <n v="1"/>
    <n v="2"/>
    <n v="3"/>
    <n v="1"/>
    <n v="0"/>
    <n v="0"/>
    <n v="0"/>
  </r>
  <r>
    <n v="35"/>
    <x v="0"/>
    <x v="1"/>
    <n v="0"/>
    <x v="0"/>
    <n v="682"/>
    <x v="0"/>
    <x v="21"/>
    <n v="4"/>
    <x v="2"/>
    <x v="2"/>
    <n v="2"/>
    <x v="1"/>
    <n v="71"/>
    <x v="0"/>
    <n v="2"/>
    <x v="0"/>
    <n v="1"/>
    <x v="1"/>
    <x v="489"/>
    <n v="15975"/>
    <n v="0"/>
    <s v="Y"/>
    <x v="1"/>
    <n v="16"/>
    <n v="3"/>
    <n v="4"/>
    <n v="80"/>
    <n v="1"/>
    <n v="6"/>
    <n v="2"/>
    <n v="1"/>
    <n v="5"/>
    <n v="3"/>
    <n v="0"/>
    <n v="4"/>
  </r>
  <r>
    <n v="28"/>
    <x v="2"/>
    <x v="1"/>
    <n v="0"/>
    <x v="2"/>
    <n v="1103"/>
    <x v="1"/>
    <x v="7"/>
    <n v="3"/>
    <x v="3"/>
    <x v="2"/>
    <n v="3"/>
    <x v="1"/>
    <n v="49"/>
    <x v="0"/>
    <n v="1"/>
    <x v="1"/>
    <n v="3"/>
    <x v="0"/>
    <x v="1277"/>
    <n v="2122"/>
    <n v="1"/>
    <s v="Y"/>
    <x v="1"/>
    <n v="14"/>
    <n v="3"/>
    <n v="3"/>
    <n v="80"/>
    <n v="0"/>
    <n v="5"/>
    <n v="3"/>
    <n v="2"/>
    <n v="5"/>
    <n v="3"/>
    <n v="1"/>
    <n v="4"/>
  </r>
  <r>
    <n v="31"/>
    <x v="2"/>
    <x v="1"/>
    <n v="0"/>
    <x v="2"/>
    <n v="976"/>
    <x v="1"/>
    <x v="3"/>
    <n v="2"/>
    <x v="0"/>
    <x v="2"/>
    <n v="3"/>
    <x v="1"/>
    <n v="48"/>
    <x v="0"/>
    <n v="1"/>
    <x v="1"/>
    <n v="1"/>
    <x v="2"/>
    <x v="1278"/>
    <n v="3995"/>
    <n v="1"/>
    <s v="Y"/>
    <x v="0"/>
    <n v="13"/>
    <n v="3"/>
    <n v="4"/>
    <n v="80"/>
    <n v="1"/>
    <n v="4"/>
    <n v="3"/>
    <n v="4"/>
    <n v="4"/>
    <n v="2"/>
    <n v="2"/>
    <n v="3"/>
  </r>
  <r>
    <n v="36"/>
    <x v="0"/>
    <x v="1"/>
    <n v="0"/>
    <x v="2"/>
    <n v="1351"/>
    <x v="1"/>
    <x v="14"/>
    <n v="4"/>
    <x v="2"/>
    <x v="0"/>
    <n v="1"/>
    <x v="1"/>
    <n v="66"/>
    <x v="2"/>
    <n v="1"/>
    <x v="2"/>
    <n v="2"/>
    <x v="1"/>
    <x v="1279"/>
    <n v="9238"/>
    <n v="1"/>
    <s v="Y"/>
    <x v="1"/>
    <n v="22"/>
    <n v="4"/>
    <n v="2"/>
    <n v="80"/>
    <n v="0"/>
    <n v="5"/>
    <n v="3"/>
    <n v="3"/>
    <n v="5"/>
    <n v="4"/>
    <n v="0"/>
    <n v="2"/>
  </r>
  <r>
    <n v="34"/>
    <x v="2"/>
    <x v="1"/>
    <n v="0"/>
    <x v="0"/>
    <n v="937"/>
    <x v="0"/>
    <x v="0"/>
    <n v="3"/>
    <x v="3"/>
    <x v="3"/>
    <n v="1"/>
    <x v="1"/>
    <n v="32"/>
    <x v="0"/>
    <n v="3"/>
    <x v="0"/>
    <n v="4"/>
    <x v="0"/>
    <x v="1280"/>
    <n v="6770"/>
    <n v="1"/>
    <s v="Y"/>
    <x v="1"/>
    <n v="21"/>
    <n v="4"/>
    <n v="1"/>
    <n v="80"/>
    <n v="0"/>
    <n v="14"/>
    <n v="3"/>
    <n v="2"/>
    <n v="14"/>
    <n v="8"/>
    <n v="2"/>
    <n v="1"/>
  </r>
  <r>
    <n v="34"/>
    <x v="2"/>
    <x v="1"/>
    <n v="0"/>
    <x v="0"/>
    <n v="1239"/>
    <x v="0"/>
    <x v="28"/>
    <n v="4"/>
    <x v="2"/>
    <x v="2"/>
    <n v="4"/>
    <x v="1"/>
    <n v="39"/>
    <x v="0"/>
    <n v="3"/>
    <x v="0"/>
    <n v="3"/>
    <x v="2"/>
    <x v="1281"/>
    <n v="22914"/>
    <n v="1"/>
    <s v="Y"/>
    <x v="1"/>
    <n v="18"/>
    <n v="3"/>
    <n v="3"/>
    <n v="80"/>
    <n v="1"/>
    <n v="9"/>
    <n v="2"/>
    <n v="2"/>
    <n v="8"/>
    <n v="7"/>
    <n v="1"/>
    <n v="1"/>
  </r>
  <r>
    <n v="26"/>
    <x v="2"/>
    <x v="1"/>
    <n v="0"/>
    <x v="0"/>
    <n v="157"/>
    <x v="1"/>
    <x v="0"/>
    <n v="3"/>
    <x v="3"/>
    <x v="2"/>
    <n v="3"/>
    <x v="1"/>
    <n v="95"/>
    <x v="0"/>
    <n v="1"/>
    <x v="2"/>
    <n v="1"/>
    <x v="0"/>
    <x v="1282"/>
    <n v="20006"/>
    <n v="0"/>
    <s v="Y"/>
    <x v="1"/>
    <n v="13"/>
    <n v="3"/>
    <n v="4"/>
    <n v="80"/>
    <n v="0"/>
    <n v="8"/>
    <n v="6"/>
    <n v="2"/>
    <n v="7"/>
    <n v="7"/>
    <n v="7"/>
    <n v="6"/>
  </r>
  <r>
    <n v="29"/>
    <x v="2"/>
    <x v="1"/>
    <n v="0"/>
    <x v="0"/>
    <n v="136"/>
    <x v="1"/>
    <x v="0"/>
    <n v="3"/>
    <x v="3"/>
    <x v="0"/>
    <n v="1"/>
    <x v="1"/>
    <n v="89"/>
    <x v="0"/>
    <n v="2"/>
    <x v="4"/>
    <n v="1"/>
    <x v="1"/>
    <x v="1283"/>
    <n v="6225"/>
    <n v="0"/>
    <s v="Y"/>
    <x v="1"/>
    <n v="12"/>
    <n v="3"/>
    <n v="1"/>
    <n v="80"/>
    <n v="1"/>
    <n v="6"/>
    <n v="5"/>
    <n v="2"/>
    <n v="5"/>
    <n v="3"/>
    <n v="0"/>
    <n v="2"/>
  </r>
  <r>
    <n v="32"/>
    <x v="2"/>
    <x v="1"/>
    <n v="0"/>
    <x v="2"/>
    <n v="1146"/>
    <x v="1"/>
    <x v="8"/>
    <n v="4"/>
    <x v="2"/>
    <x v="2"/>
    <n v="3"/>
    <x v="0"/>
    <n v="34"/>
    <x v="0"/>
    <n v="2"/>
    <x v="4"/>
    <n v="4"/>
    <x v="2"/>
    <x v="1284"/>
    <n v="16542"/>
    <n v="5"/>
    <s v="Y"/>
    <x v="1"/>
    <n v="18"/>
    <n v="3"/>
    <n v="2"/>
    <n v="80"/>
    <n v="1"/>
    <n v="9"/>
    <n v="6"/>
    <n v="3"/>
    <n v="5"/>
    <n v="1"/>
    <n v="1"/>
    <n v="2"/>
  </r>
  <r>
    <n v="31"/>
    <x v="2"/>
    <x v="1"/>
    <n v="0"/>
    <x v="1"/>
    <n v="1125"/>
    <x v="1"/>
    <x v="0"/>
    <n v="3"/>
    <x v="3"/>
    <x v="0"/>
    <n v="4"/>
    <x v="1"/>
    <n v="48"/>
    <x v="3"/>
    <n v="2"/>
    <x v="1"/>
    <n v="1"/>
    <x v="1"/>
    <x v="701"/>
    <n v="5771"/>
    <n v="1"/>
    <s v="Y"/>
    <x v="1"/>
    <n v="21"/>
    <n v="4"/>
    <n v="2"/>
    <n v="80"/>
    <n v="0"/>
    <n v="10"/>
    <n v="6"/>
    <n v="3"/>
    <n v="10"/>
    <n v="8"/>
    <n v="8"/>
    <n v="7"/>
  </r>
  <r>
    <n v="28"/>
    <x v="2"/>
    <x v="0"/>
    <n v="1"/>
    <x v="0"/>
    <n v="1404"/>
    <x v="1"/>
    <x v="27"/>
    <n v="3"/>
    <x v="3"/>
    <x v="4"/>
    <n v="3"/>
    <x v="1"/>
    <n v="32"/>
    <x v="1"/>
    <n v="1"/>
    <x v="2"/>
    <n v="4"/>
    <x v="2"/>
    <x v="1039"/>
    <n v="18779"/>
    <n v="5"/>
    <s v="Y"/>
    <x v="1"/>
    <n v="12"/>
    <n v="3"/>
    <n v="1"/>
    <n v="80"/>
    <n v="1"/>
    <n v="6"/>
    <n v="2"/>
    <n v="2"/>
    <n v="4"/>
    <n v="1"/>
    <n v="0"/>
    <n v="3"/>
  </r>
  <r>
    <n v="38"/>
    <x v="0"/>
    <x v="1"/>
    <n v="0"/>
    <x v="0"/>
    <n v="1404"/>
    <x v="0"/>
    <x v="0"/>
    <n v="3"/>
    <x v="3"/>
    <x v="0"/>
    <n v="1"/>
    <x v="1"/>
    <n v="59"/>
    <x v="1"/>
    <n v="1"/>
    <x v="6"/>
    <n v="1"/>
    <x v="0"/>
    <x v="1285"/>
    <n v="11473"/>
    <n v="4"/>
    <s v="Y"/>
    <x v="1"/>
    <n v="14"/>
    <n v="3"/>
    <n v="1"/>
    <n v="80"/>
    <n v="0"/>
    <n v="20"/>
    <n v="3"/>
    <n v="2"/>
    <n v="1"/>
    <n v="0"/>
    <n v="0"/>
    <n v="0"/>
  </r>
  <r>
    <n v="35"/>
    <x v="0"/>
    <x v="1"/>
    <n v="0"/>
    <x v="0"/>
    <n v="1224"/>
    <x v="0"/>
    <x v="15"/>
    <n v="4"/>
    <x v="2"/>
    <x v="0"/>
    <n v="3"/>
    <x v="0"/>
    <n v="55"/>
    <x v="0"/>
    <n v="2"/>
    <x v="0"/>
    <n v="4"/>
    <x v="1"/>
    <x v="626"/>
    <n v="13586"/>
    <n v="1"/>
    <s v="Y"/>
    <x v="0"/>
    <n v="11"/>
    <n v="3"/>
    <n v="4"/>
    <n v="80"/>
    <n v="0"/>
    <n v="10"/>
    <n v="2"/>
    <n v="3"/>
    <n v="10"/>
    <n v="8"/>
    <n v="0"/>
    <n v="9"/>
  </r>
  <r>
    <n v="27"/>
    <x v="2"/>
    <x v="1"/>
    <n v="0"/>
    <x v="0"/>
    <n v="954"/>
    <x v="0"/>
    <x v="14"/>
    <n v="3"/>
    <x v="3"/>
    <x v="3"/>
    <n v="4"/>
    <x v="1"/>
    <n v="44"/>
    <x v="0"/>
    <n v="2"/>
    <x v="0"/>
    <n v="4"/>
    <x v="0"/>
    <x v="1286"/>
    <n v="5099"/>
    <n v="1"/>
    <s v="Y"/>
    <x v="1"/>
    <n v="14"/>
    <n v="3"/>
    <n v="1"/>
    <n v="80"/>
    <n v="0"/>
    <n v="7"/>
    <n v="5"/>
    <n v="3"/>
    <n v="7"/>
    <n v="7"/>
    <n v="0"/>
    <n v="7"/>
  </r>
  <r>
    <n v="32"/>
    <x v="2"/>
    <x v="1"/>
    <n v="0"/>
    <x v="0"/>
    <n v="1373"/>
    <x v="1"/>
    <x v="12"/>
    <n v="4"/>
    <x v="2"/>
    <x v="0"/>
    <n v="4"/>
    <x v="1"/>
    <n v="56"/>
    <x v="1"/>
    <n v="2"/>
    <x v="3"/>
    <n v="4"/>
    <x v="0"/>
    <x v="1287"/>
    <n v="10138"/>
    <n v="8"/>
    <s v="Y"/>
    <x v="1"/>
    <n v="24"/>
    <n v="4"/>
    <n v="2"/>
    <n v="80"/>
    <n v="0"/>
    <n v="8"/>
    <n v="1"/>
    <n v="3"/>
    <n v="1"/>
    <n v="0"/>
    <n v="0"/>
    <n v="0"/>
  </r>
  <r>
    <n v="31"/>
    <x v="2"/>
    <x v="0"/>
    <n v="1"/>
    <x v="1"/>
    <n v="754"/>
    <x v="0"/>
    <x v="9"/>
    <n v="4"/>
    <x v="2"/>
    <x v="3"/>
    <n v="1"/>
    <x v="1"/>
    <n v="63"/>
    <x v="0"/>
    <n v="2"/>
    <x v="0"/>
    <n v="4"/>
    <x v="1"/>
    <x v="1288"/>
    <n v="21075"/>
    <n v="1"/>
    <s v="Y"/>
    <x v="0"/>
    <n v="11"/>
    <n v="3"/>
    <n v="3"/>
    <n v="80"/>
    <n v="0"/>
    <n v="10"/>
    <n v="4"/>
    <n v="3"/>
    <n v="10"/>
    <n v="7"/>
    <n v="0"/>
    <n v="8"/>
  </r>
  <r>
    <n v="53"/>
    <x v="1"/>
    <x v="0"/>
    <n v="1"/>
    <x v="0"/>
    <n v="1168"/>
    <x v="0"/>
    <x v="4"/>
    <n v="4"/>
    <x v="2"/>
    <x v="0"/>
    <n v="1"/>
    <x v="1"/>
    <n v="66"/>
    <x v="0"/>
    <n v="3"/>
    <x v="0"/>
    <n v="1"/>
    <x v="0"/>
    <x v="1289"/>
    <n v="5843"/>
    <n v="6"/>
    <s v="Y"/>
    <x v="0"/>
    <n v="13"/>
    <n v="3"/>
    <n v="2"/>
    <n v="80"/>
    <n v="0"/>
    <n v="15"/>
    <n v="2"/>
    <n v="2"/>
    <n v="2"/>
    <n v="2"/>
    <n v="2"/>
    <n v="2"/>
  </r>
  <r>
    <n v="54"/>
    <x v="1"/>
    <x v="1"/>
    <n v="0"/>
    <x v="0"/>
    <n v="155"/>
    <x v="1"/>
    <x v="14"/>
    <n v="2"/>
    <x v="0"/>
    <x v="0"/>
    <n v="1"/>
    <x v="0"/>
    <n v="67"/>
    <x v="0"/>
    <n v="2"/>
    <x v="1"/>
    <n v="3"/>
    <x v="1"/>
    <x v="1290"/>
    <n v="22474"/>
    <n v="3"/>
    <s v="Y"/>
    <x v="1"/>
    <n v="11"/>
    <n v="3"/>
    <n v="3"/>
    <n v="80"/>
    <n v="2"/>
    <n v="9"/>
    <n v="6"/>
    <n v="2"/>
    <n v="4"/>
    <n v="3"/>
    <n v="2"/>
    <n v="3"/>
  </r>
  <r>
    <n v="33"/>
    <x v="2"/>
    <x v="1"/>
    <n v="0"/>
    <x v="1"/>
    <n v="1303"/>
    <x v="1"/>
    <x v="15"/>
    <n v="2"/>
    <x v="0"/>
    <x v="0"/>
    <n v="4"/>
    <x v="1"/>
    <n v="36"/>
    <x v="0"/>
    <n v="2"/>
    <x v="4"/>
    <n v="3"/>
    <x v="2"/>
    <x v="1291"/>
    <n v="18079"/>
    <n v="1"/>
    <s v="Y"/>
    <x v="1"/>
    <n v="20"/>
    <n v="4"/>
    <n v="3"/>
    <n v="80"/>
    <n v="3"/>
    <n v="9"/>
    <n v="2"/>
    <n v="3"/>
    <n v="9"/>
    <n v="7"/>
    <n v="2"/>
    <n v="8"/>
  </r>
  <r>
    <n v="43"/>
    <x v="0"/>
    <x v="1"/>
    <n v="0"/>
    <x v="0"/>
    <n v="574"/>
    <x v="1"/>
    <x v="13"/>
    <n v="3"/>
    <x v="3"/>
    <x v="0"/>
    <n v="1"/>
    <x v="1"/>
    <n v="30"/>
    <x v="0"/>
    <n v="3"/>
    <x v="4"/>
    <n v="3"/>
    <x v="1"/>
    <x v="1292"/>
    <n v="16873"/>
    <n v="1"/>
    <s v="Y"/>
    <x v="1"/>
    <n v="17"/>
    <n v="3"/>
    <n v="2"/>
    <n v="80"/>
    <n v="1"/>
    <n v="10"/>
    <n v="1"/>
    <n v="3"/>
    <n v="10"/>
    <n v="9"/>
    <n v="0"/>
    <n v="9"/>
  </r>
  <r>
    <n v="38"/>
    <x v="0"/>
    <x v="1"/>
    <n v="0"/>
    <x v="1"/>
    <n v="1444"/>
    <x v="2"/>
    <x v="0"/>
    <n v="4"/>
    <x v="2"/>
    <x v="1"/>
    <n v="4"/>
    <x v="1"/>
    <n v="88"/>
    <x v="0"/>
    <n v="1"/>
    <x v="8"/>
    <n v="2"/>
    <x v="1"/>
    <x v="1293"/>
    <n v="5224"/>
    <n v="0"/>
    <s v="Y"/>
    <x v="0"/>
    <n v="11"/>
    <n v="3"/>
    <n v="2"/>
    <n v="80"/>
    <n v="1"/>
    <n v="7"/>
    <n v="2"/>
    <n v="3"/>
    <n v="6"/>
    <n v="2"/>
    <n v="1"/>
    <n v="2"/>
  </r>
  <r>
    <n v="55"/>
    <x v="3"/>
    <x v="1"/>
    <n v="0"/>
    <x v="0"/>
    <n v="189"/>
    <x v="2"/>
    <x v="9"/>
    <n v="4"/>
    <x v="2"/>
    <x v="5"/>
    <n v="3"/>
    <x v="1"/>
    <n v="71"/>
    <x v="2"/>
    <n v="5"/>
    <x v="5"/>
    <n v="2"/>
    <x v="1"/>
    <x v="1294"/>
    <n v="25811"/>
    <n v="4"/>
    <s v="Y"/>
    <x v="0"/>
    <n v="18"/>
    <n v="3"/>
    <n v="1"/>
    <n v="80"/>
    <n v="1"/>
    <n v="35"/>
    <n v="0"/>
    <n v="3"/>
    <n v="10"/>
    <n v="9"/>
    <n v="1"/>
    <n v="4"/>
  </r>
  <r>
    <n v="31"/>
    <x v="2"/>
    <x v="1"/>
    <n v="0"/>
    <x v="0"/>
    <n v="1276"/>
    <x v="1"/>
    <x v="2"/>
    <n v="1"/>
    <x v="1"/>
    <x v="2"/>
    <n v="4"/>
    <x v="0"/>
    <n v="59"/>
    <x v="3"/>
    <n v="1"/>
    <x v="2"/>
    <n v="4"/>
    <x v="2"/>
    <x v="1295"/>
    <n v="17536"/>
    <n v="1"/>
    <s v="Y"/>
    <x v="0"/>
    <n v="11"/>
    <n v="3"/>
    <n v="3"/>
    <n v="80"/>
    <n v="3"/>
    <n v="1"/>
    <n v="4"/>
    <n v="3"/>
    <n v="1"/>
    <n v="0"/>
    <n v="0"/>
    <n v="0"/>
  </r>
  <r>
    <n v="39"/>
    <x v="0"/>
    <x v="1"/>
    <n v="0"/>
    <x v="0"/>
    <n v="119"/>
    <x v="0"/>
    <x v="8"/>
    <n v="4"/>
    <x v="2"/>
    <x v="3"/>
    <n v="2"/>
    <x v="1"/>
    <n v="77"/>
    <x v="0"/>
    <n v="4"/>
    <x v="0"/>
    <n v="1"/>
    <x v="0"/>
    <x v="1296"/>
    <n v="25098"/>
    <n v="0"/>
    <s v="Y"/>
    <x v="1"/>
    <n v="12"/>
    <n v="3"/>
    <n v="1"/>
    <n v="80"/>
    <n v="0"/>
    <n v="21"/>
    <n v="3"/>
    <n v="3"/>
    <n v="20"/>
    <n v="8"/>
    <n v="11"/>
    <n v="10"/>
  </r>
  <r>
    <n v="42"/>
    <x v="0"/>
    <x v="1"/>
    <n v="0"/>
    <x v="2"/>
    <n v="335"/>
    <x v="1"/>
    <x v="5"/>
    <n v="2"/>
    <x v="0"/>
    <x v="0"/>
    <n v="4"/>
    <x v="1"/>
    <n v="37"/>
    <x v="1"/>
    <n v="2"/>
    <x v="1"/>
    <n v="3"/>
    <x v="0"/>
    <x v="1297"/>
    <n v="14811"/>
    <n v="1"/>
    <s v="Y"/>
    <x v="1"/>
    <n v="12"/>
    <n v="3"/>
    <n v="4"/>
    <n v="80"/>
    <n v="0"/>
    <n v="20"/>
    <n v="2"/>
    <n v="3"/>
    <n v="20"/>
    <n v="9"/>
    <n v="3"/>
    <n v="7"/>
  </r>
  <r>
    <n v="31"/>
    <x v="2"/>
    <x v="1"/>
    <n v="0"/>
    <x v="2"/>
    <n v="697"/>
    <x v="1"/>
    <x v="17"/>
    <n v="3"/>
    <x v="3"/>
    <x v="2"/>
    <n v="3"/>
    <x v="0"/>
    <n v="40"/>
    <x v="0"/>
    <n v="3"/>
    <x v="7"/>
    <n v="3"/>
    <x v="1"/>
    <x v="1298"/>
    <n v="26862"/>
    <n v="4"/>
    <s v="Y"/>
    <x v="1"/>
    <n v="20"/>
    <n v="4"/>
    <n v="3"/>
    <n v="80"/>
    <n v="1"/>
    <n v="13"/>
    <n v="2"/>
    <n v="4"/>
    <n v="11"/>
    <n v="7"/>
    <n v="4"/>
    <n v="8"/>
  </r>
  <r>
    <n v="54"/>
    <x v="1"/>
    <x v="1"/>
    <n v="0"/>
    <x v="0"/>
    <n v="157"/>
    <x v="1"/>
    <x v="17"/>
    <n v="3"/>
    <x v="3"/>
    <x v="2"/>
    <n v="3"/>
    <x v="0"/>
    <n v="77"/>
    <x v="0"/>
    <n v="2"/>
    <x v="3"/>
    <n v="1"/>
    <x v="0"/>
    <x v="1299"/>
    <n v="25198"/>
    <n v="6"/>
    <s v="Y"/>
    <x v="0"/>
    <n v="19"/>
    <n v="3"/>
    <n v="4"/>
    <n v="80"/>
    <n v="0"/>
    <n v="9"/>
    <n v="3"/>
    <n v="3"/>
    <n v="5"/>
    <n v="2"/>
    <n v="1"/>
    <n v="4"/>
  </r>
  <r>
    <n v="24"/>
    <x v="4"/>
    <x v="1"/>
    <n v="0"/>
    <x v="0"/>
    <n v="771"/>
    <x v="1"/>
    <x v="0"/>
    <n v="2"/>
    <x v="0"/>
    <x v="0"/>
    <n v="2"/>
    <x v="1"/>
    <n v="45"/>
    <x v="1"/>
    <n v="2"/>
    <x v="4"/>
    <n v="3"/>
    <x v="0"/>
    <x v="1300"/>
    <n v="14120"/>
    <n v="1"/>
    <s v="Y"/>
    <x v="1"/>
    <n v="12"/>
    <n v="3"/>
    <n v="2"/>
    <n v="80"/>
    <n v="0"/>
    <n v="4"/>
    <n v="2"/>
    <n v="2"/>
    <n v="4"/>
    <n v="3"/>
    <n v="1"/>
    <n v="2"/>
  </r>
  <r>
    <n v="23"/>
    <x v="4"/>
    <x v="1"/>
    <n v="0"/>
    <x v="0"/>
    <n v="571"/>
    <x v="1"/>
    <x v="20"/>
    <n v="2"/>
    <x v="0"/>
    <x v="1"/>
    <n v="4"/>
    <x v="1"/>
    <n v="78"/>
    <x v="0"/>
    <n v="1"/>
    <x v="2"/>
    <n v="4"/>
    <x v="0"/>
    <x v="1301"/>
    <n v="13672"/>
    <n v="1"/>
    <s v="Y"/>
    <x v="1"/>
    <n v="13"/>
    <n v="3"/>
    <n v="3"/>
    <n v="80"/>
    <n v="0"/>
    <n v="5"/>
    <n v="6"/>
    <n v="4"/>
    <n v="5"/>
    <n v="2"/>
    <n v="1"/>
    <n v="4"/>
  </r>
  <r>
    <n v="40"/>
    <x v="0"/>
    <x v="1"/>
    <n v="0"/>
    <x v="1"/>
    <n v="692"/>
    <x v="1"/>
    <x v="13"/>
    <n v="3"/>
    <x v="3"/>
    <x v="4"/>
    <n v="4"/>
    <x v="0"/>
    <n v="73"/>
    <x v="0"/>
    <n v="2"/>
    <x v="2"/>
    <n v="3"/>
    <x v="1"/>
    <x v="1302"/>
    <n v="26849"/>
    <n v="1"/>
    <s v="Y"/>
    <x v="1"/>
    <n v="11"/>
    <n v="3"/>
    <n v="1"/>
    <n v="80"/>
    <n v="1"/>
    <n v="10"/>
    <n v="2"/>
    <n v="4"/>
    <n v="10"/>
    <n v="9"/>
    <n v="9"/>
    <n v="4"/>
  </r>
  <r>
    <n v="40"/>
    <x v="0"/>
    <x v="1"/>
    <n v="0"/>
    <x v="0"/>
    <n v="444"/>
    <x v="0"/>
    <x v="2"/>
    <n v="2"/>
    <x v="0"/>
    <x v="3"/>
    <n v="2"/>
    <x v="0"/>
    <n v="92"/>
    <x v="0"/>
    <n v="2"/>
    <x v="0"/>
    <n v="2"/>
    <x v="1"/>
    <x v="1303"/>
    <n v="4258"/>
    <n v="3"/>
    <s v="Y"/>
    <x v="1"/>
    <n v="14"/>
    <n v="3"/>
    <n v="3"/>
    <n v="80"/>
    <n v="1"/>
    <n v="15"/>
    <n v="4"/>
    <n v="3"/>
    <n v="11"/>
    <n v="8"/>
    <n v="5"/>
    <n v="10"/>
  </r>
  <r>
    <n v="25"/>
    <x v="2"/>
    <x v="1"/>
    <n v="0"/>
    <x v="0"/>
    <n v="309"/>
    <x v="2"/>
    <x v="2"/>
    <n v="3"/>
    <x v="3"/>
    <x v="5"/>
    <n v="3"/>
    <x v="0"/>
    <n v="82"/>
    <x v="0"/>
    <n v="1"/>
    <x v="8"/>
    <n v="2"/>
    <x v="1"/>
    <x v="467"/>
    <n v="19655"/>
    <n v="4"/>
    <s v="Y"/>
    <x v="1"/>
    <n v="14"/>
    <n v="3"/>
    <n v="3"/>
    <n v="80"/>
    <n v="0"/>
    <n v="6"/>
    <n v="3"/>
    <n v="3"/>
    <n v="2"/>
    <n v="0"/>
    <n v="1"/>
    <n v="2"/>
  </r>
  <r>
    <n v="30"/>
    <x v="2"/>
    <x v="1"/>
    <n v="0"/>
    <x v="0"/>
    <n v="911"/>
    <x v="1"/>
    <x v="0"/>
    <n v="2"/>
    <x v="0"/>
    <x v="2"/>
    <n v="4"/>
    <x v="1"/>
    <n v="76"/>
    <x v="0"/>
    <n v="1"/>
    <x v="2"/>
    <n v="2"/>
    <x v="1"/>
    <x v="1304"/>
    <n v="4077"/>
    <n v="1"/>
    <s v="Y"/>
    <x v="1"/>
    <n v="13"/>
    <n v="3"/>
    <n v="3"/>
    <n v="80"/>
    <n v="0"/>
    <n v="12"/>
    <n v="6"/>
    <n v="2"/>
    <n v="12"/>
    <n v="8"/>
    <n v="1"/>
    <n v="7"/>
  </r>
  <r>
    <n v="25"/>
    <x v="2"/>
    <x v="1"/>
    <n v="0"/>
    <x v="0"/>
    <n v="977"/>
    <x v="1"/>
    <x v="2"/>
    <n v="1"/>
    <x v="1"/>
    <x v="1"/>
    <n v="4"/>
    <x v="1"/>
    <n v="57"/>
    <x v="0"/>
    <n v="1"/>
    <x v="2"/>
    <n v="3"/>
    <x v="2"/>
    <x v="1305"/>
    <n v="7298"/>
    <n v="6"/>
    <s v="Y"/>
    <x v="0"/>
    <n v="19"/>
    <n v="3"/>
    <n v="3"/>
    <n v="80"/>
    <n v="1"/>
    <n v="7"/>
    <n v="2"/>
    <n v="2"/>
    <n v="2"/>
    <n v="2"/>
    <n v="0"/>
    <n v="2"/>
  </r>
  <r>
    <n v="47"/>
    <x v="1"/>
    <x v="1"/>
    <n v="0"/>
    <x v="0"/>
    <n v="1180"/>
    <x v="1"/>
    <x v="19"/>
    <n v="3"/>
    <x v="3"/>
    <x v="2"/>
    <n v="1"/>
    <x v="1"/>
    <n v="84"/>
    <x v="0"/>
    <n v="3"/>
    <x v="4"/>
    <n v="3"/>
    <x v="0"/>
    <x v="1306"/>
    <n v="13084"/>
    <n v="2"/>
    <s v="Y"/>
    <x v="1"/>
    <n v="23"/>
    <n v="4"/>
    <n v="2"/>
    <n v="80"/>
    <n v="0"/>
    <n v="25"/>
    <n v="3"/>
    <n v="3"/>
    <n v="17"/>
    <n v="14"/>
    <n v="12"/>
    <n v="11"/>
  </r>
  <r>
    <n v="33"/>
    <x v="2"/>
    <x v="1"/>
    <n v="0"/>
    <x v="2"/>
    <n v="1313"/>
    <x v="1"/>
    <x v="0"/>
    <n v="2"/>
    <x v="0"/>
    <x v="2"/>
    <n v="2"/>
    <x v="1"/>
    <n v="59"/>
    <x v="1"/>
    <n v="1"/>
    <x v="2"/>
    <n v="3"/>
    <x v="2"/>
    <x v="641"/>
    <n v="20439"/>
    <n v="1"/>
    <s v="Y"/>
    <x v="1"/>
    <n v="12"/>
    <n v="3"/>
    <n v="3"/>
    <n v="80"/>
    <n v="3"/>
    <n v="1"/>
    <n v="2"/>
    <n v="2"/>
    <n v="1"/>
    <n v="1"/>
    <n v="0"/>
    <n v="0"/>
  </r>
  <r>
    <n v="38"/>
    <x v="0"/>
    <x v="1"/>
    <n v="0"/>
    <x v="0"/>
    <n v="1321"/>
    <x v="0"/>
    <x v="0"/>
    <n v="4"/>
    <x v="2"/>
    <x v="0"/>
    <n v="4"/>
    <x v="1"/>
    <n v="86"/>
    <x v="0"/>
    <n v="2"/>
    <x v="0"/>
    <n v="2"/>
    <x v="1"/>
    <x v="1299"/>
    <n v="7636"/>
    <n v="0"/>
    <s v="Y"/>
    <x v="1"/>
    <n v="15"/>
    <n v="3"/>
    <n v="1"/>
    <n v="80"/>
    <n v="2"/>
    <n v="16"/>
    <n v="3"/>
    <n v="3"/>
    <n v="15"/>
    <n v="13"/>
    <n v="5"/>
    <n v="8"/>
  </r>
  <r>
    <n v="31"/>
    <x v="2"/>
    <x v="1"/>
    <n v="0"/>
    <x v="0"/>
    <n v="1154"/>
    <x v="0"/>
    <x v="2"/>
    <n v="2"/>
    <x v="0"/>
    <x v="0"/>
    <n v="1"/>
    <x v="1"/>
    <n v="54"/>
    <x v="0"/>
    <n v="1"/>
    <x v="6"/>
    <n v="3"/>
    <x v="1"/>
    <x v="1307"/>
    <n v="6393"/>
    <n v="0"/>
    <s v="Y"/>
    <x v="1"/>
    <n v="19"/>
    <n v="3"/>
    <n v="3"/>
    <n v="80"/>
    <n v="1"/>
    <n v="3"/>
    <n v="1"/>
    <n v="3"/>
    <n v="2"/>
    <n v="2"/>
    <n v="1"/>
    <n v="2"/>
  </r>
  <r>
    <n v="38"/>
    <x v="0"/>
    <x v="1"/>
    <n v="0"/>
    <x v="1"/>
    <n v="508"/>
    <x v="1"/>
    <x v="16"/>
    <n v="4"/>
    <x v="2"/>
    <x v="0"/>
    <n v="1"/>
    <x v="1"/>
    <n v="72"/>
    <x v="1"/>
    <n v="2"/>
    <x v="3"/>
    <n v="3"/>
    <x v="1"/>
    <x v="1308"/>
    <n v="14284"/>
    <n v="2"/>
    <s v="Y"/>
    <x v="1"/>
    <n v="11"/>
    <n v="3"/>
    <n v="4"/>
    <n v="80"/>
    <n v="1"/>
    <n v="10"/>
    <n v="1"/>
    <n v="3"/>
    <n v="8"/>
    <n v="3"/>
    <n v="7"/>
    <n v="7"/>
  </r>
  <r>
    <n v="42"/>
    <x v="0"/>
    <x v="1"/>
    <n v="0"/>
    <x v="0"/>
    <n v="557"/>
    <x v="1"/>
    <x v="21"/>
    <n v="4"/>
    <x v="2"/>
    <x v="0"/>
    <n v="4"/>
    <x v="1"/>
    <n v="35"/>
    <x v="0"/>
    <n v="2"/>
    <x v="1"/>
    <n v="1"/>
    <x v="2"/>
    <x v="874"/>
    <n v="11189"/>
    <n v="6"/>
    <s v="Y"/>
    <x v="0"/>
    <n v="17"/>
    <n v="3"/>
    <n v="3"/>
    <n v="80"/>
    <n v="1"/>
    <n v="9"/>
    <n v="3"/>
    <n v="2"/>
    <n v="4"/>
    <n v="3"/>
    <n v="1"/>
    <n v="2"/>
  </r>
  <r>
    <n v="41"/>
    <x v="0"/>
    <x v="1"/>
    <n v="0"/>
    <x v="0"/>
    <n v="642"/>
    <x v="1"/>
    <x v="0"/>
    <n v="3"/>
    <x v="3"/>
    <x v="0"/>
    <n v="4"/>
    <x v="1"/>
    <n v="76"/>
    <x v="0"/>
    <n v="1"/>
    <x v="1"/>
    <n v="4"/>
    <x v="1"/>
    <x v="553"/>
    <n v="21412"/>
    <n v="3"/>
    <s v="Y"/>
    <x v="1"/>
    <n v="22"/>
    <n v="4"/>
    <n v="1"/>
    <n v="80"/>
    <n v="1"/>
    <n v="12"/>
    <n v="3"/>
    <n v="3"/>
    <n v="5"/>
    <n v="3"/>
    <n v="1"/>
    <n v="0"/>
  </r>
  <r>
    <n v="47"/>
    <x v="1"/>
    <x v="1"/>
    <n v="0"/>
    <x v="2"/>
    <n v="1162"/>
    <x v="1"/>
    <x v="0"/>
    <n v="1"/>
    <x v="1"/>
    <x v="2"/>
    <n v="3"/>
    <x v="0"/>
    <n v="98"/>
    <x v="0"/>
    <n v="3"/>
    <x v="7"/>
    <n v="2"/>
    <x v="1"/>
    <x v="1309"/>
    <n v="17231"/>
    <n v="0"/>
    <s v="Y"/>
    <x v="1"/>
    <n v="18"/>
    <n v="3"/>
    <n v="1"/>
    <n v="80"/>
    <n v="2"/>
    <n v="14"/>
    <n v="3"/>
    <n v="1"/>
    <n v="13"/>
    <n v="8"/>
    <n v="5"/>
    <n v="12"/>
  </r>
  <r>
    <n v="35"/>
    <x v="0"/>
    <x v="1"/>
    <n v="0"/>
    <x v="0"/>
    <n v="1490"/>
    <x v="1"/>
    <x v="13"/>
    <n v="4"/>
    <x v="2"/>
    <x v="2"/>
    <n v="4"/>
    <x v="1"/>
    <n v="43"/>
    <x v="0"/>
    <n v="1"/>
    <x v="2"/>
    <n v="3"/>
    <x v="1"/>
    <x v="1310"/>
    <n v="20232"/>
    <n v="7"/>
    <s v="Y"/>
    <x v="0"/>
    <n v="11"/>
    <n v="3"/>
    <n v="3"/>
    <n v="80"/>
    <n v="1"/>
    <n v="5"/>
    <n v="3"/>
    <n v="3"/>
    <n v="2"/>
    <n v="2"/>
    <n v="2"/>
    <n v="2"/>
  </r>
  <r>
    <n v="22"/>
    <x v="4"/>
    <x v="1"/>
    <n v="0"/>
    <x v="0"/>
    <n v="581"/>
    <x v="1"/>
    <x v="0"/>
    <n v="2"/>
    <x v="0"/>
    <x v="0"/>
    <n v="4"/>
    <x v="1"/>
    <n v="63"/>
    <x v="0"/>
    <n v="1"/>
    <x v="1"/>
    <n v="3"/>
    <x v="0"/>
    <x v="1311"/>
    <n v="17624"/>
    <n v="0"/>
    <s v="Y"/>
    <x v="1"/>
    <n v="12"/>
    <n v="3"/>
    <n v="4"/>
    <n v="80"/>
    <n v="0"/>
    <n v="4"/>
    <n v="2"/>
    <n v="4"/>
    <n v="3"/>
    <n v="2"/>
    <n v="1"/>
    <n v="2"/>
  </r>
  <r>
    <n v="35"/>
    <x v="0"/>
    <x v="1"/>
    <n v="0"/>
    <x v="0"/>
    <n v="1395"/>
    <x v="1"/>
    <x v="14"/>
    <n v="4"/>
    <x v="2"/>
    <x v="2"/>
    <n v="2"/>
    <x v="1"/>
    <n v="48"/>
    <x v="0"/>
    <n v="2"/>
    <x v="1"/>
    <n v="3"/>
    <x v="0"/>
    <x v="1312"/>
    <n v="18698"/>
    <n v="1"/>
    <s v="Y"/>
    <x v="1"/>
    <n v="19"/>
    <n v="3"/>
    <n v="2"/>
    <n v="80"/>
    <n v="0"/>
    <n v="10"/>
    <n v="5"/>
    <n v="3"/>
    <n v="10"/>
    <n v="7"/>
    <n v="0"/>
    <n v="8"/>
  </r>
  <r>
    <n v="33"/>
    <x v="2"/>
    <x v="1"/>
    <n v="0"/>
    <x v="0"/>
    <n v="501"/>
    <x v="1"/>
    <x v="8"/>
    <n v="2"/>
    <x v="0"/>
    <x v="2"/>
    <n v="2"/>
    <x v="0"/>
    <n v="95"/>
    <x v="0"/>
    <n v="2"/>
    <x v="4"/>
    <n v="4"/>
    <x v="1"/>
    <x v="1313"/>
    <n v="21653"/>
    <n v="0"/>
    <s v="Y"/>
    <x v="0"/>
    <n v="13"/>
    <n v="3"/>
    <n v="1"/>
    <n v="80"/>
    <n v="1"/>
    <n v="10"/>
    <n v="6"/>
    <n v="3"/>
    <n v="9"/>
    <n v="7"/>
    <n v="8"/>
    <n v="1"/>
  </r>
  <r>
    <n v="32"/>
    <x v="2"/>
    <x v="1"/>
    <n v="0"/>
    <x v="0"/>
    <n v="267"/>
    <x v="1"/>
    <x v="22"/>
    <n v="4"/>
    <x v="2"/>
    <x v="0"/>
    <n v="3"/>
    <x v="0"/>
    <n v="49"/>
    <x v="1"/>
    <n v="1"/>
    <x v="2"/>
    <n v="2"/>
    <x v="0"/>
    <x v="1314"/>
    <n v="15919"/>
    <n v="1"/>
    <s v="Y"/>
    <x v="1"/>
    <n v="13"/>
    <n v="3"/>
    <n v="3"/>
    <n v="80"/>
    <n v="0"/>
    <n v="6"/>
    <n v="3"/>
    <n v="3"/>
    <n v="6"/>
    <n v="2"/>
    <n v="4"/>
    <n v="1"/>
  </r>
  <r>
    <n v="40"/>
    <x v="0"/>
    <x v="1"/>
    <n v="0"/>
    <x v="0"/>
    <n v="543"/>
    <x v="1"/>
    <x v="0"/>
    <n v="4"/>
    <x v="2"/>
    <x v="0"/>
    <n v="1"/>
    <x v="1"/>
    <n v="83"/>
    <x v="0"/>
    <n v="1"/>
    <x v="2"/>
    <n v="4"/>
    <x v="1"/>
    <x v="58"/>
    <n v="4060"/>
    <n v="8"/>
    <s v="Y"/>
    <x v="1"/>
    <n v="19"/>
    <n v="3"/>
    <n v="3"/>
    <n v="80"/>
    <n v="2"/>
    <n v="8"/>
    <n v="3"/>
    <n v="2"/>
    <n v="1"/>
    <n v="0"/>
    <n v="0"/>
    <n v="0"/>
  </r>
  <r>
    <n v="32"/>
    <x v="2"/>
    <x v="1"/>
    <n v="0"/>
    <x v="0"/>
    <n v="234"/>
    <x v="0"/>
    <x v="0"/>
    <n v="4"/>
    <x v="2"/>
    <x v="2"/>
    <n v="2"/>
    <x v="1"/>
    <n v="68"/>
    <x v="1"/>
    <n v="1"/>
    <x v="6"/>
    <n v="2"/>
    <x v="1"/>
    <x v="47"/>
    <n v="18024"/>
    <n v="0"/>
    <s v="Y"/>
    <x v="1"/>
    <n v="14"/>
    <n v="3"/>
    <n v="2"/>
    <n v="80"/>
    <n v="1"/>
    <n v="3"/>
    <n v="2"/>
    <n v="3"/>
    <n v="2"/>
    <n v="2"/>
    <n v="2"/>
    <n v="2"/>
  </r>
  <r>
    <n v="39"/>
    <x v="0"/>
    <x v="1"/>
    <n v="0"/>
    <x v="0"/>
    <n v="116"/>
    <x v="1"/>
    <x v="4"/>
    <n v="1"/>
    <x v="1"/>
    <x v="0"/>
    <n v="1"/>
    <x v="1"/>
    <n v="52"/>
    <x v="0"/>
    <n v="2"/>
    <x v="1"/>
    <n v="4"/>
    <x v="0"/>
    <x v="1315"/>
    <n v="5340"/>
    <n v="7"/>
    <s v="Y"/>
    <x v="1"/>
    <n v="13"/>
    <n v="3"/>
    <n v="1"/>
    <n v="80"/>
    <n v="0"/>
    <n v="18"/>
    <n v="2"/>
    <n v="3"/>
    <n v="7"/>
    <n v="7"/>
    <n v="1"/>
    <n v="7"/>
  </r>
  <r>
    <n v="38"/>
    <x v="0"/>
    <x v="1"/>
    <n v="0"/>
    <x v="0"/>
    <n v="201"/>
    <x v="1"/>
    <x v="17"/>
    <n v="3"/>
    <x v="3"/>
    <x v="2"/>
    <n v="2"/>
    <x v="0"/>
    <n v="99"/>
    <x v="3"/>
    <n v="3"/>
    <x v="7"/>
    <n v="3"/>
    <x v="1"/>
    <x v="1316"/>
    <n v="3376"/>
    <n v="3"/>
    <s v="Y"/>
    <x v="1"/>
    <n v="12"/>
    <n v="3"/>
    <n v="1"/>
    <n v="80"/>
    <n v="1"/>
    <n v="20"/>
    <n v="3"/>
    <n v="3"/>
    <n v="18"/>
    <n v="16"/>
    <n v="1"/>
    <n v="11"/>
  </r>
  <r>
    <n v="32"/>
    <x v="2"/>
    <x v="1"/>
    <n v="0"/>
    <x v="0"/>
    <n v="801"/>
    <x v="0"/>
    <x v="0"/>
    <n v="4"/>
    <x v="2"/>
    <x v="3"/>
    <n v="3"/>
    <x v="0"/>
    <n v="48"/>
    <x v="0"/>
    <n v="3"/>
    <x v="0"/>
    <n v="4"/>
    <x v="1"/>
    <x v="1317"/>
    <n v="24032"/>
    <n v="1"/>
    <s v="Y"/>
    <x v="1"/>
    <n v="19"/>
    <n v="3"/>
    <n v="3"/>
    <n v="80"/>
    <n v="2"/>
    <n v="14"/>
    <n v="3"/>
    <n v="3"/>
    <n v="14"/>
    <n v="10"/>
    <n v="5"/>
    <n v="7"/>
  </r>
  <r>
    <n v="37"/>
    <x v="0"/>
    <x v="1"/>
    <n v="0"/>
    <x v="0"/>
    <n v="161"/>
    <x v="1"/>
    <x v="17"/>
    <n v="3"/>
    <x v="3"/>
    <x v="0"/>
    <n v="3"/>
    <x v="0"/>
    <n v="42"/>
    <x v="2"/>
    <n v="3"/>
    <x v="7"/>
    <n v="4"/>
    <x v="1"/>
    <x v="1318"/>
    <n v="15471"/>
    <n v="1"/>
    <s v="Y"/>
    <x v="0"/>
    <n v="25"/>
    <n v="4"/>
    <n v="1"/>
    <n v="80"/>
    <n v="1"/>
    <n v="16"/>
    <n v="2"/>
    <n v="3"/>
    <n v="16"/>
    <n v="11"/>
    <n v="6"/>
    <n v="8"/>
  </r>
  <r>
    <n v="25"/>
    <x v="2"/>
    <x v="1"/>
    <n v="0"/>
    <x v="0"/>
    <n v="1382"/>
    <x v="0"/>
    <x v="1"/>
    <n v="2"/>
    <x v="0"/>
    <x v="1"/>
    <n v="1"/>
    <x v="0"/>
    <n v="85"/>
    <x v="0"/>
    <n v="2"/>
    <x v="0"/>
    <n v="3"/>
    <x v="2"/>
    <x v="274"/>
    <n v="13684"/>
    <n v="0"/>
    <s v="Y"/>
    <x v="0"/>
    <n v="22"/>
    <n v="4"/>
    <n v="2"/>
    <n v="80"/>
    <n v="1"/>
    <n v="6"/>
    <n v="3"/>
    <n v="2"/>
    <n v="5"/>
    <n v="3"/>
    <n v="0"/>
    <n v="4"/>
  </r>
  <r>
    <n v="52"/>
    <x v="1"/>
    <x v="1"/>
    <n v="0"/>
    <x v="2"/>
    <n v="585"/>
    <x v="0"/>
    <x v="22"/>
    <n v="4"/>
    <x v="2"/>
    <x v="0"/>
    <n v="1"/>
    <x v="1"/>
    <n v="40"/>
    <x v="0"/>
    <n v="1"/>
    <x v="6"/>
    <n v="4"/>
    <x v="2"/>
    <x v="1319"/>
    <n v="19788"/>
    <n v="2"/>
    <s v="Y"/>
    <x v="1"/>
    <n v="15"/>
    <n v="3"/>
    <n v="2"/>
    <n v="80"/>
    <n v="2"/>
    <n v="16"/>
    <n v="3"/>
    <n v="2"/>
    <n v="9"/>
    <n v="8"/>
    <n v="0"/>
    <n v="0"/>
  </r>
  <r>
    <n v="44"/>
    <x v="0"/>
    <x v="1"/>
    <n v="0"/>
    <x v="0"/>
    <n v="1037"/>
    <x v="1"/>
    <x v="0"/>
    <n v="3"/>
    <x v="3"/>
    <x v="2"/>
    <n v="2"/>
    <x v="1"/>
    <n v="42"/>
    <x v="0"/>
    <n v="1"/>
    <x v="1"/>
    <n v="4"/>
    <x v="0"/>
    <x v="230"/>
    <n v="13422"/>
    <n v="6"/>
    <s v="Y"/>
    <x v="0"/>
    <n v="12"/>
    <n v="3"/>
    <n v="3"/>
    <n v="80"/>
    <n v="0"/>
    <n v="6"/>
    <n v="2"/>
    <n v="3"/>
    <n v="4"/>
    <n v="3"/>
    <n v="1"/>
    <n v="2"/>
  </r>
  <r>
    <n v="21"/>
    <x v="4"/>
    <x v="1"/>
    <n v="0"/>
    <x v="0"/>
    <n v="501"/>
    <x v="0"/>
    <x v="12"/>
    <n v="1"/>
    <x v="1"/>
    <x v="2"/>
    <n v="3"/>
    <x v="1"/>
    <n v="58"/>
    <x v="0"/>
    <n v="1"/>
    <x v="6"/>
    <n v="1"/>
    <x v="0"/>
    <x v="631"/>
    <n v="25479"/>
    <n v="1"/>
    <s v="Y"/>
    <x v="0"/>
    <n v="11"/>
    <n v="3"/>
    <n v="4"/>
    <n v="80"/>
    <n v="0"/>
    <n v="2"/>
    <n v="6"/>
    <n v="3"/>
    <n v="2"/>
    <n v="2"/>
    <n v="1"/>
    <n v="2"/>
  </r>
  <r>
    <n v="39"/>
    <x v="0"/>
    <x v="1"/>
    <n v="0"/>
    <x v="2"/>
    <n v="105"/>
    <x v="1"/>
    <x v="14"/>
    <n v="3"/>
    <x v="3"/>
    <x v="0"/>
    <n v="4"/>
    <x v="1"/>
    <n v="87"/>
    <x v="0"/>
    <n v="5"/>
    <x v="5"/>
    <n v="4"/>
    <x v="0"/>
    <x v="1320"/>
    <n v="15302"/>
    <n v="2"/>
    <s v="Y"/>
    <x v="1"/>
    <n v="13"/>
    <n v="3"/>
    <n v="3"/>
    <n v="80"/>
    <n v="0"/>
    <n v="21"/>
    <n v="3"/>
    <n v="2"/>
    <n v="6"/>
    <n v="0"/>
    <n v="1"/>
    <n v="3"/>
  </r>
  <r>
    <n v="23"/>
    <x v="4"/>
    <x v="0"/>
    <n v="1"/>
    <x v="1"/>
    <n v="638"/>
    <x v="0"/>
    <x v="14"/>
    <n v="3"/>
    <x v="3"/>
    <x v="3"/>
    <n v="4"/>
    <x v="1"/>
    <n v="33"/>
    <x v="0"/>
    <n v="1"/>
    <x v="6"/>
    <n v="1"/>
    <x v="1"/>
    <x v="1321"/>
    <n v="26956"/>
    <n v="1"/>
    <s v="Y"/>
    <x v="1"/>
    <n v="19"/>
    <n v="3"/>
    <n v="1"/>
    <n v="80"/>
    <n v="1"/>
    <n v="1"/>
    <n v="3"/>
    <n v="2"/>
    <n v="1"/>
    <n v="0"/>
    <n v="1"/>
    <n v="0"/>
  </r>
  <r>
    <n v="36"/>
    <x v="0"/>
    <x v="1"/>
    <n v="0"/>
    <x v="0"/>
    <n v="557"/>
    <x v="0"/>
    <x v="3"/>
    <n v="3"/>
    <x v="3"/>
    <x v="2"/>
    <n v="1"/>
    <x v="0"/>
    <n v="94"/>
    <x v="1"/>
    <n v="3"/>
    <x v="0"/>
    <n v="4"/>
    <x v="1"/>
    <x v="1322"/>
    <n v="12695"/>
    <n v="0"/>
    <s v="Y"/>
    <x v="1"/>
    <n v="19"/>
    <n v="3"/>
    <n v="3"/>
    <n v="80"/>
    <n v="2"/>
    <n v="10"/>
    <n v="2"/>
    <n v="3"/>
    <n v="9"/>
    <n v="7"/>
    <n v="3"/>
    <n v="4"/>
  </r>
  <r>
    <n v="36"/>
    <x v="0"/>
    <x v="1"/>
    <n v="0"/>
    <x v="1"/>
    <n v="688"/>
    <x v="1"/>
    <x v="18"/>
    <n v="2"/>
    <x v="0"/>
    <x v="0"/>
    <n v="4"/>
    <x v="0"/>
    <n v="97"/>
    <x v="0"/>
    <n v="2"/>
    <x v="3"/>
    <n v="2"/>
    <x v="2"/>
    <x v="1323"/>
    <n v="9192"/>
    <n v="7"/>
    <s v="Y"/>
    <x v="1"/>
    <n v="13"/>
    <n v="3"/>
    <n v="2"/>
    <n v="80"/>
    <n v="3"/>
    <n v="18"/>
    <n v="3"/>
    <n v="3"/>
    <n v="4"/>
    <n v="2"/>
    <n v="0"/>
    <n v="2"/>
  </r>
  <r>
    <n v="56"/>
    <x v="3"/>
    <x v="1"/>
    <n v="0"/>
    <x v="2"/>
    <n v="667"/>
    <x v="1"/>
    <x v="0"/>
    <n v="4"/>
    <x v="2"/>
    <x v="0"/>
    <n v="3"/>
    <x v="1"/>
    <n v="57"/>
    <x v="0"/>
    <n v="2"/>
    <x v="4"/>
    <n v="3"/>
    <x v="2"/>
    <x v="1324"/>
    <n v="26236"/>
    <n v="1"/>
    <s v="Y"/>
    <x v="1"/>
    <n v="21"/>
    <n v="4"/>
    <n v="1"/>
    <n v="80"/>
    <n v="1"/>
    <n v="13"/>
    <n v="2"/>
    <n v="2"/>
    <n v="13"/>
    <n v="12"/>
    <n v="1"/>
    <n v="9"/>
  </r>
  <r>
    <n v="29"/>
    <x v="2"/>
    <x v="0"/>
    <n v="1"/>
    <x v="0"/>
    <n v="1092"/>
    <x v="1"/>
    <x v="0"/>
    <n v="4"/>
    <x v="2"/>
    <x v="2"/>
    <n v="1"/>
    <x v="1"/>
    <n v="36"/>
    <x v="0"/>
    <n v="1"/>
    <x v="1"/>
    <n v="4"/>
    <x v="1"/>
    <x v="1325"/>
    <n v="26124"/>
    <n v="9"/>
    <s v="Y"/>
    <x v="0"/>
    <n v="14"/>
    <n v="3"/>
    <n v="2"/>
    <n v="80"/>
    <n v="3"/>
    <n v="4"/>
    <n v="3"/>
    <n v="4"/>
    <n v="2"/>
    <n v="2"/>
    <n v="2"/>
    <n v="2"/>
  </r>
  <r>
    <n v="42"/>
    <x v="0"/>
    <x v="1"/>
    <n v="0"/>
    <x v="0"/>
    <n v="300"/>
    <x v="1"/>
    <x v="2"/>
    <n v="3"/>
    <x v="3"/>
    <x v="0"/>
    <n v="1"/>
    <x v="1"/>
    <n v="56"/>
    <x v="0"/>
    <n v="5"/>
    <x v="5"/>
    <n v="3"/>
    <x v="1"/>
    <x v="1326"/>
    <n v="17312"/>
    <n v="5"/>
    <s v="Y"/>
    <x v="1"/>
    <n v="11"/>
    <n v="3"/>
    <n v="1"/>
    <n v="80"/>
    <n v="0"/>
    <n v="24"/>
    <n v="2"/>
    <n v="2"/>
    <n v="22"/>
    <n v="6"/>
    <n v="4"/>
    <n v="14"/>
  </r>
  <r>
    <n v="56"/>
    <x v="3"/>
    <x v="0"/>
    <n v="1"/>
    <x v="0"/>
    <n v="310"/>
    <x v="1"/>
    <x v="15"/>
    <n v="2"/>
    <x v="0"/>
    <x v="4"/>
    <n v="4"/>
    <x v="1"/>
    <n v="72"/>
    <x v="0"/>
    <n v="1"/>
    <x v="2"/>
    <n v="3"/>
    <x v="1"/>
    <x v="1327"/>
    <n v="3666"/>
    <n v="8"/>
    <s v="Y"/>
    <x v="1"/>
    <n v="11"/>
    <n v="3"/>
    <n v="4"/>
    <n v="80"/>
    <n v="1"/>
    <n v="14"/>
    <n v="4"/>
    <n v="1"/>
    <n v="10"/>
    <n v="9"/>
    <n v="9"/>
    <n v="8"/>
  </r>
  <r>
    <n v="41"/>
    <x v="0"/>
    <x v="1"/>
    <n v="0"/>
    <x v="0"/>
    <n v="582"/>
    <x v="1"/>
    <x v="26"/>
    <n v="4"/>
    <x v="2"/>
    <x v="0"/>
    <n v="1"/>
    <x v="0"/>
    <n v="60"/>
    <x v="1"/>
    <n v="4"/>
    <x v="3"/>
    <n v="2"/>
    <x v="1"/>
    <x v="1328"/>
    <n v="5640"/>
    <n v="0"/>
    <s v="Y"/>
    <x v="1"/>
    <n v="23"/>
    <n v="4"/>
    <n v="3"/>
    <n v="80"/>
    <n v="1"/>
    <n v="21"/>
    <n v="3"/>
    <n v="3"/>
    <n v="20"/>
    <n v="7"/>
    <n v="0"/>
    <n v="10"/>
  </r>
  <r>
    <n v="34"/>
    <x v="2"/>
    <x v="1"/>
    <n v="0"/>
    <x v="0"/>
    <n v="704"/>
    <x v="0"/>
    <x v="26"/>
    <n v="3"/>
    <x v="3"/>
    <x v="3"/>
    <n v="4"/>
    <x v="0"/>
    <n v="95"/>
    <x v="1"/>
    <n v="2"/>
    <x v="0"/>
    <n v="3"/>
    <x v="1"/>
    <x v="1329"/>
    <n v="8978"/>
    <n v="1"/>
    <s v="Y"/>
    <x v="1"/>
    <n v="21"/>
    <n v="4"/>
    <n v="4"/>
    <n v="80"/>
    <n v="2"/>
    <n v="8"/>
    <n v="2"/>
    <n v="3"/>
    <n v="8"/>
    <n v="7"/>
    <n v="1"/>
    <n v="7"/>
  </r>
  <r>
    <n v="36"/>
    <x v="0"/>
    <x v="1"/>
    <n v="0"/>
    <x v="2"/>
    <n v="301"/>
    <x v="0"/>
    <x v="8"/>
    <n v="4"/>
    <x v="2"/>
    <x v="3"/>
    <n v="4"/>
    <x v="1"/>
    <n v="88"/>
    <x v="3"/>
    <n v="2"/>
    <x v="0"/>
    <n v="4"/>
    <x v="2"/>
    <x v="1330"/>
    <n v="10436"/>
    <n v="1"/>
    <s v="Y"/>
    <x v="1"/>
    <n v="24"/>
    <n v="4"/>
    <n v="1"/>
    <n v="80"/>
    <n v="1"/>
    <n v="15"/>
    <n v="4"/>
    <n v="2"/>
    <n v="15"/>
    <n v="12"/>
    <n v="11"/>
    <n v="11"/>
  </r>
  <r>
    <n v="41"/>
    <x v="0"/>
    <x v="1"/>
    <n v="0"/>
    <x v="0"/>
    <n v="930"/>
    <x v="0"/>
    <x v="3"/>
    <n v="3"/>
    <x v="3"/>
    <x v="0"/>
    <n v="3"/>
    <x v="1"/>
    <n v="57"/>
    <x v="1"/>
    <n v="2"/>
    <x v="0"/>
    <n v="2"/>
    <x v="2"/>
    <x v="1331"/>
    <n v="12227"/>
    <n v="2"/>
    <s v="Y"/>
    <x v="1"/>
    <n v="11"/>
    <n v="3"/>
    <n v="3"/>
    <n v="80"/>
    <n v="1"/>
    <n v="14"/>
    <n v="5"/>
    <n v="3"/>
    <n v="5"/>
    <n v="4"/>
    <n v="0"/>
    <n v="4"/>
  </r>
  <r>
    <n v="32"/>
    <x v="2"/>
    <x v="1"/>
    <n v="0"/>
    <x v="0"/>
    <n v="529"/>
    <x v="1"/>
    <x v="2"/>
    <n v="3"/>
    <x v="3"/>
    <x v="4"/>
    <n v="4"/>
    <x v="1"/>
    <n v="78"/>
    <x v="0"/>
    <n v="1"/>
    <x v="1"/>
    <n v="1"/>
    <x v="0"/>
    <x v="1234"/>
    <n v="11288"/>
    <n v="1"/>
    <s v="Y"/>
    <x v="1"/>
    <n v="14"/>
    <n v="3"/>
    <n v="4"/>
    <n v="80"/>
    <n v="0"/>
    <n v="4"/>
    <n v="4"/>
    <n v="3"/>
    <n v="4"/>
    <n v="2"/>
    <n v="1"/>
    <n v="2"/>
  </r>
  <r>
    <n v="35"/>
    <x v="0"/>
    <x v="1"/>
    <n v="0"/>
    <x v="0"/>
    <n v="1146"/>
    <x v="2"/>
    <x v="9"/>
    <n v="4"/>
    <x v="2"/>
    <x v="0"/>
    <n v="3"/>
    <x v="0"/>
    <n v="31"/>
    <x v="0"/>
    <n v="3"/>
    <x v="8"/>
    <n v="4"/>
    <x v="0"/>
    <x v="1332"/>
    <n v="16642"/>
    <n v="1"/>
    <s v="Y"/>
    <x v="0"/>
    <n v="16"/>
    <n v="3"/>
    <n v="3"/>
    <n v="80"/>
    <n v="0"/>
    <n v="9"/>
    <n v="2"/>
    <n v="3"/>
    <n v="9"/>
    <n v="0"/>
    <n v="1"/>
    <n v="7"/>
  </r>
  <r>
    <n v="38"/>
    <x v="0"/>
    <x v="1"/>
    <n v="0"/>
    <x v="0"/>
    <n v="345"/>
    <x v="0"/>
    <x v="17"/>
    <n v="2"/>
    <x v="0"/>
    <x v="0"/>
    <n v="1"/>
    <x v="0"/>
    <n v="100"/>
    <x v="0"/>
    <n v="2"/>
    <x v="0"/>
    <n v="4"/>
    <x v="1"/>
    <x v="798"/>
    <n v="5982"/>
    <n v="1"/>
    <s v="Y"/>
    <x v="1"/>
    <n v="11"/>
    <n v="3"/>
    <n v="3"/>
    <n v="80"/>
    <n v="1"/>
    <n v="10"/>
    <n v="1"/>
    <n v="3"/>
    <n v="10"/>
    <n v="7"/>
    <n v="1"/>
    <n v="9"/>
  </r>
  <r>
    <n v="50"/>
    <x v="1"/>
    <x v="0"/>
    <n v="1"/>
    <x v="1"/>
    <n v="878"/>
    <x v="0"/>
    <x v="0"/>
    <n v="4"/>
    <x v="2"/>
    <x v="0"/>
    <n v="2"/>
    <x v="1"/>
    <n v="94"/>
    <x v="0"/>
    <n v="2"/>
    <x v="0"/>
    <n v="3"/>
    <x v="2"/>
    <x v="1333"/>
    <n v="14255"/>
    <n v="7"/>
    <s v="Y"/>
    <x v="1"/>
    <n v="12"/>
    <n v="3"/>
    <n v="4"/>
    <n v="80"/>
    <n v="2"/>
    <n v="12"/>
    <n v="3"/>
    <n v="3"/>
    <n v="6"/>
    <n v="3"/>
    <n v="0"/>
    <n v="1"/>
  </r>
  <r>
    <n v="36"/>
    <x v="0"/>
    <x v="1"/>
    <n v="0"/>
    <x v="0"/>
    <n v="1120"/>
    <x v="0"/>
    <x v="13"/>
    <n v="4"/>
    <x v="2"/>
    <x v="3"/>
    <n v="2"/>
    <x v="0"/>
    <n v="100"/>
    <x v="1"/>
    <n v="2"/>
    <x v="0"/>
    <n v="4"/>
    <x v="1"/>
    <x v="1334"/>
    <n v="14369"/>
    <n v="4"/>
    <s v="Y"/>
    <x v="1"/>
    <n v="13"/>
    <n v="3"/>
    <n v="1"/>
    <n v="80"/>
    <n v="1"/>
    <n v="8"/>
    <n v="2"/>
    <n v="2"/>
    <n v="6"/>
    <n v="3"/>
    <n v="0"/>
    <n v="0"/>
  </r>
  <r>
    <n v="45"/>
    <x v="1"/>
    <x v="1"/>
    <n v="0"/>
    <x v="0"/>
    <n v="374"/>
    <x v="0"/>
    <x v="25"/>
    <n v="3"/>
    <x v="3"/>
    <x v="0"/>
    <n v="4"/>
    <x v="0"/>
    <n v="50"/>
    <x v="0"/>
    <n v="2"/>
    <x v="0"/>
    <n v="3"/>
    <x v="0"/>
    <x v="1335"/>
    <n v="23333"/>
    <n v="8"/>
    <s v="Y"/>
    <x v="1"/>
    <n v="15"/>
    <n v="3"/>
    <n v="3"/>
    <n v="80"/>
    <n v="0"/>
    <n v="8"/>
    <n v="3"/>
    <n v="3"/>
    <n v="5"/>
    <n v="3"/>
    <n v="0"/>
    <n v="1"/>
  </r>
  <r>
    <n v="40"/>
    <x v="0"/>
    <x v="1"/>
    <n v="0"/>
    <x v="0"/>
    <n v="1322"/>
    <x v="1"/>
    <x v="2"/>
    <n v="4"/>
    <x v="2"/>
    <x v="0"/>
    <n v="3"/>
    <x v="1"/>
    <n v="52"/>
    <x v="1"/>
    <n v="1"/>
    <x v="1"/>
    <n v="3"/>
    <x v="0"/>
    <x v="1336"/>
    <n v="2725"/>
    <n v="2"/>
    <s v="Y"/>
    <x v="1"/>
    <n v="14"/>
    <n v="3"/>
    <n v="4"/>
    <n v="80"/>
    <n v="0"/>
    <n v="8"/>
    <n v="2"/>
    <n v="3"/>
    <n v="2"/>
    <n v="2"/>
    <n v="2"/>
    <n v="2"/>
  </r>
  <r>
    <n v="35"/>
    <x v="0"/>
    <x v="1"/>
    <n v="0"/>
    <x v="1"/>
    <n v="1199"/>
    <x v="1"/>
    <x v="21"/>
    <n v="4"/>
    <x v="2"/>
    <x v="0"/>
    <n v="3"/>
    <x v="1"/>
    <n v="80"/>
    <x v="0"/>
    <n v="2"/>
    <x v="4"/>
    <n v="3"/>
    <x v="1"/>
    <x v="1337"/>
    <n v="24594"/>
    <n v="1"/>
    <s v="Y"/>
    <x v="0"/>
    <n v="14"/>
    <n v="3"/>
    <n v="4"/>
    <n v="80"/>
    <n v="2"/>
    <n v="10"/>
    <n v="2"/>
    <n v="4"/>
    <n v="10"/>
    <n v="2"/>
    <n v="0"/>
    <n v="2"/>
  </r>
  <r>
    <n v="40"/>
    <x v="0"/>
    <x v="1"/>
    <n v="0"/>
    <x v="0"/>
    <n v="1194"/>
    <x v="1"/>
    <x v="2"/>
    <n v="4"/>
    <x v="2"/>
    <x v="2"/>
    <n v="3"/>
    <x v="0"/>
    <n v="98"/>
    <x v="0"/>
    <n v="1"/>
    <x v="1"/>
    <n v="3"/>
    <x v="1"/>
    <x v="1338"/>
    <n v="12549"/>
    <n v="2"/>
    <s v="Y"/>
    <x v="1"/>
    <n v="14"/>
    <n v="3"/>
    <n v="2"/>
    <n v="80"/>
    <n v="3"/>
    <n v="20"/>
    <n v="2"/>
    <n v="3"/>
    <n v="5"/>
    <n v="3"/>
    <n v="0"/>
    <n v="2"/>
  </r>
  <r>
    <n v="35"/>
    <x v="0"/>
    <x v="1"/>
    <n v="0"/>
    <x v="0"/>
    <n v="287"/>
    <x v="1"/>
    <x v="0"/>
    <n v="4"/>
    <x v="2"/>
    <x v="0"/>
    <n v="3"/>
    <x v="0"/>
    <n v="62"/>
    <x v="3"/>
    <n v="1"/>
    <x v="1"/>
    <n v="4"/>
    <x v="1"/>
    <x v="1339"/>
    <n v="8952"/>
    <n v="1"/>
    <s v="Y"/>
    <x v="1"/>
    <n v="12"/>
    <n v="3"/>
    <n v="4"/>
    <n v="80"/>
    <n v="1"/>
    <n v="4"/>
    <n v="5"/>
    <n v="3"/>
    <n v="4"/>
    <n v="3"/>
    <n v="1"/>
    <n v="1"/>
  </r>
  <r>
    <n v="29"/>
    <x v="2"/>
    <x v="1"/>
    <n v="0"/>
    <x v="0"/>
    <n v="1378"/>
    <x v="1"/>
    <x v="28"/>
    <n v="2"/>
    <x v="0"/>
    <x v="1"/>
    <n v="4"/>
    <x v="1"/>
    <n v="46"/>
    <x v="1"/>
    <n v="2"/>
    <x v="2"/>
    <n v="2"/>
    <x v="1"/>
    <x v="717"/>
    <n v="23679"/>
    <n v="4"/>
    <s v="Y"/>
    <x v="0"/>
    <n v="13"/>
    <n v="3"/>
    <n v="1"/>
    <n v="80"/>
    <n v="1"/>
    <n v="10"/>
    <n v="2"/>
    <n v="3"/>
    <n v="4"/>
    <n v="3"/>
    <n v="0"/>
    <n v="3"/>
  </r>
  <r>
    <n v="29"/>
    <x v="2"/>
    <x v="1"/>
    <n v="0"/>
    <x v="0"/>
    <n v="468"/>
    <x v="1"/>
    <x v="26"/>
    <n v="4"/>
    <x v="2"/>
    <x v="2"/>
    <n v="4"/>
    <x v="0"/>
    <n v="73"/>
    <x v="1"/>
    <n v="1"/>
    <x v="1"/>
    <n v="1"/>
    <x v="0"/>
    <x v="1340"/>
    <n v="8489"/>
    <n v="1"/>
    <s v="Y"/>
    <x v="1"/>
    <n v="14"/>
    <n v="3"/>
    <n v="2"/>
    <n v="80"/>
    <n v="0"/>
    <n v="5"/>
    <n v="3"/>
    <n v="1"/>
    <n v="5"/>
    <n v="4"/>
    <n v="0"/>
    <n v="4"/>
  </r>
  <r>
    <n v="50"/>
    <x v="1"/>
    <x v="0"/>
    <n v="1"/>
    <x v="0"/>
    <n v="410"/>
    <x v="0"/>
    <x v="26"/>
    <n v="3"/>
    <x v="3"/>
    <x v="3"/>
    <n v="4"/>
    <x v="1"/>
    <n v="39"/>
    <x v="1"/>
    <n v="3"/>
    <x v="0"/>
    <n v="1"/>
    <x v="2"/>
    <x v="1341"/>
    <n v="16586"/>
    <n v="4"/>
    <s v="Y"/>
    <x v="0"/>
    <n v="13"/>
    <n v="3"/>
    <n v="2"/>
    <n v="80"/>
    <n v="1"/>
    <n v="20"/>
    <n v="3"/>
    <n v="3"/>
    <n v="3"/>
    <n v="2"/>
    <n v="2"/>
    <n v="0"/>
  </r>
  <r>
    <n v="39"/>
    <x v="0"/>
    <x v="1"/>
    <n v="0"/>
    <x v="0"/>
    <n v="722"/>
    <x v="0"/>
    <x v="4"/>
    <n v="1"/>
    <x v="1"/>
    <x v="3"/>
    <n v="2"/>
    <x v="0"/>
    <n v="60"/>
    <x v="1"/>
    <n v="4"/>
    <x v="0"/>
    <n v="4"/>
    <x v="1"/>
    <x v="1342"/>
    <n v="8828"/>
    <n v="0"/>
    <s v="Y"/>
    <x v="1"/>
    <n v="11"/>
    <n v="3"/>
    <n v="1"/>
    <n v="80"/>
    <n v="1"/>
    <n v="21"/>
    <n v="2"/>
    <n v="2"/>
    <n v="20"/>
    <n v="9"/>
    <n v="9"/>
    <n v="6"/>
  </r>
  <r>
    <n v="31"/>
    <x v="2"/>
    <x v="1"/>
    <n v="0"/>
    <x v="2"/>
    <n v="325"/>
    <x v="1"/>
    <x v="12"/>
    <n v="3"/>
    <x v="3"/>
    <x v="2"/>
    <n v="2"/>
    <x v="1"/>
    <n v="74"/>
    <x v="0"/>
    <n v="2"/>
    <x v="3"/>
    <n v="1"/>
    <x v="0"/>
    <x v="1343"/>
    <n v="3787"/>
    <n v="0"/>
    <s v="Y"/>
    <x v="1"/>
    <n v="19"/>
    <n v="3"/>
    <n v="2"/>
    <n v="80"/>
    <n v="0"/>
    <n v="10"/>
    <n v="2"/>
    <n v="3"/>
    <n v="9"/>
    <n v="4"/>
    <n v="1"/>
    <n v="7"/>
  </r>
  <r>
    <n v="26"/>
    <x v="2"/>
    <x v="1"/>
    <n v="0"/>
    <x v="0"/>
    <n v="1167"/>
    <x v="0"/>
    <x v="12"/>
    <n v="3"/>
    <x v="3"/>
    <x v="1"/>
    <n v="4"/>
    <x v="0"/>
    <n v="30"/>
    <x v="1"/>
    <n v="1"/>
    <x v="6"/>
    <n v="3"/>
    <x v="0"/>
    <x v="1344"/>
    <n v="21378"/>
    <n v="0"/>
    <s v="Y"/>
    <x v="1"/>
    <n v="18"/>
    <n v="3"/>
    <n v="4"/>
    <n v="80"/>
    <n v="0"/>
    <n v="5"/>
    <n v="2"/>
    <n v="3"/>
    <n v="4"/>
    <n v="2"/>
    <n v="0"/>
    <n v="0"/>
  </r>
  <r>
    <n v="36"/>
    <x v="0"/>
    <x v="1"/>
    <n v="0"/>
    <x v="1"/>
    <n v="884"/>
    <x v="1"/>
    <x v="5"/>
    <n v="2"/>
    <x v="0"/>
    <x v="2"/>
    <n v="3"/>
    <x v="1"/>
    <n v="41"/>
    <x v="2"/>
    <n v="2"/>
    <x v="2"/>
    <n v="4"/>
    <x v="1"/>
    <x v="1345"/>
    <n v="12290"/>
    <n v="4"/>
    <s v="Y"/>
    <x v="1"/>
    <n v="17"/>
    <n v="3"/>
    <n v="3"/>
    <n v="80"/>
    <n v="1"/>
    <n v="17"/>
    <n v="3"/>
    <n v="3"/>
    <n v="5"/>
    <n v="2"/>
    <n v="0"/>
    <n v="3"/>
  </r>
  <r>
    <n v="39"/>
    <x v="0"/>
    <x v="1"/>
    <n v="0"/>
    <x v="0"/>
    <n v="613"/>
    <x v="1"/>
    <x v="16"/>
    <n v="1"/>
    <x v="1"/>
    <x v="2"/>
    <n v="4"/>
    <x v="1"/>
    <n v="42"/>
    <x v="1"/>
    <n v="3"/>
    <x v="4"/>
    <n v="1"/>
    <x v="1"/>
    <x v="1346"/>
    <n v="21457"/>
    <n v="4"/>
    <s v="Y"/>
    <x v="1"/>
    <n v="15"/>
    <n v="3"/>
    <n v="1"/>
    <n v="80"/>
    <n v="1"/>
    <n v="9"/>
    <n v="5"/>
    <n v="3"/>
    <n v="7"/>
    <n v="7"/>
    <n v="1"/>
    <n v="7"/>
  </r>
  <r>
    <n v="27"/>
    <x v="2"/>
    <x v="1"/>
    <n v="0"/>
    <x v="0"/>
    <n v="155"/>
    <x v="1"/>
    <x v="18"/>
    <n v="3"/>
    <x v="3"/>
    <x v="0"/>
    <n v="2"/>
    <x v="1"/>
    <n v="87"/>
    <x v="2"/>
    <n v="2"/>
    <x v="3"/>
    <n v="2"/>
    <x v="1"/>
    <x v="528"/>
    <n v="5174"/>
    <n v="1"/>
    <s v="Y"/>
    <x v="0"/>
    <n v="20"/>
    <n v="4"/>
    <n v="2"/>
    <n v="80"/>
    <n v="1"/>
    <n v="6"/>
    <n v="0"/>
    <n v="3"/>
    <n v="6"/>
    <n v="2"/>
    <n v="0"/>
    <n v="3"/>
  </r>
  <r>
    <n v="49"/>
    <x v="1"/>
    <x v="1"/>
    <n v="0"/>
    <x v="1"/>
    <n v="1023"/>
    <x v="0"/>
    <x v="2"/>
    <n v="3"/>
    <x v="3"/>
    <x v="2"/>
    <n v="4"/>
    <x v="1"/>
    <n v="63"/>
    <x v="1"/>
    <n v="2"/>
    <x v="0"/>
    <n v="2"/>
    <x v="1"/>
    <x v="1347"/>
    <n v="13243"/>
    <n v="2"/>
    <s v="Y"/>
    <x v="1"/>
    <n v="14"/>
    <n v="3"/>
    <n v="4"/>
    <n v="80"/>
    <n v="0"/>
    <n v="17"/>
    <n v="3"/>
    <n v="2"/>
    <n v="9"/>
    <n v="6"/>
    <n v="0"/>
    <n v="8"/>
  </r>
  <r>
    <n v="34"/>
    <x v="2"/>
    <x v="1"/>
    <n v="0"/>
    <x v="0"/>
    <n v="628"/>
    <x v="1"/>
    <x v="1"/>
    <n v="3"/>
    <x v="3"/>
    <x v="2"/>
    <n v="2"/>
    <x v="1"/>
    <n v="82"/>
    <x v="2"/>
    <n v="2"/>
    <x v="2"/>
    <n v="3"/>
    <x v="1"/>
    <x v="1348"/>
    <n v="10228"/>
    <n v="2"/>
    <s v="Y"/>
    <x v="1"/>
    <n v="12"/>
    <n v="3"/>
    <n v="1"/>
    <n v="80"/>
    <n v="0"/>
    <n v="6"/>
    <n v="3"/>
    <n v="4"/>
    <n v="4"/>
    <n v="3"/>
    <n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BB98D2-FD0D-4FA8-8E6D-C9E5AD89A65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7:C31" firstHeaderRow="1" firstDataRow="1" firstDataCol="1"/>
  <pivotFields count="36">
    <pivotField showAll="0"/>
    <pivotField showAll="0">
      <items count="6">
        <item x="4"/>
        <item x="2"/>
        <item x="0"/>
        <item x="1"/>
        <item x="3"/>
        <item t="default"/>
      </items>
    </pivotField>
    <pivotField showAll="0">
      <items count="3">
        <item x="1"/>
        <item x="0"/>
        <item t="default"/>
      </items>
    </pivotField>
    <pivotField dataField="1" showAll="0"/>
    <pivotField showAll="0">
      <items count="4">
        <item x="2"/>
        <item x="1"/>
        <item x="0"/>
        <item t="default"/>
      </items>
    </pivotField>
    <pivotField numFmtId="164" showAll="0"/>
    <pivotField axis="axisRow" showAll="0">
      <items count="4">
        <item x="2"/>
        <item x="1"/>
        <item x="0"/>
        <item t="default"/>
      </items>
    </pivotField>
    <pivotField showAll="0">
      <items count="10">
        <item x="0"/>
        <item x="1"/>
        <item x="2"/>
        <item x="3"/>
        <item x="4"/>
        <item x="5"/>
        <item x="6"/>
        <item x="7"/>
        <item x="8"/>
        <item t="default"/>
      </items>
    </pivotField>
    <pivotField showAll="0"/>
    <pivotField showAll="0">
      <items count="6">
        <item x="3"/>
        <item x="1"/>
        <item x="0"/>
        <item x="4"/>
        <item x="2"/>
        <item t="default"/>
      </items>
    </pivotField>
    <pivotField showAll="0">
      <items count="7">
        <item x="5"/>
        <item x="0"/>
        <item x="3"/>
        <item x="2"/>
        <item x="1"/>
        <item x="4"/>
        <item t="default"/>
      </items>
    </pivotField>
    <pivotField showAll="0"/>
    <pivotField showAll="0">
      <items count="3">
        <item x="0"/>
        <item x="1"/>
        <item t="default"/>
      </items>
    </pivotField>
    <pivotField numFmtId="164" showAll="0"/>
    <pivotField showAll="0"/>
    <pivotField showAll="0"/>
    <pivotField showAll="0"/>
    <pivotField showAll="0"/>
    <pivotField showAll="0">
      <items count="4">
        <item x="2"/>
        <item x="1"/>
        <item x="0"/>
        <item t="default"/>
      </items>
    </pivotField>
    <pivotField numFmtId="164" showAll="0"/>
    <pivotField numFmtId="164"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4">
    <i>
      <x/>
    </i>
    <i>
      <x v="1"/>
    </i>
    <i>
      <x v="2"/>
    </i>
    <i t="grand">
      <x/>
    </i>
  </rowItems>
  <colItems count="1">
    <i/>
  </colItems>
  <dataFields count="1">
    <dataField name="Sum of ResignedCount" fld="3" baseField="0" baseItem="0"/>
  </dataFields>
  <chartFormats count="4">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6" count="1" selected="0">
            <x v="0"/>
          </reference>
        </references>
      </pivotArea>
    </chartFormat>
    <chartFormat chart="2" format="3">
      <pivotArea type="data" outline="0" fieldPosition="0">
        <references count="2">
          <reference field="4294967294" count="1" selected="0">
            <x v="0"/>
          </reference>
          <reference field="6" count="1" selected="0">
            <x v="1"/>
          </reference>
        </references>
      </pivotArea>
    </chartFormat>
    <chartFormat chart="2" format="4">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CA8E17-2356-47AA-B51B-25FFAE9553F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13:C23" firstHeaderRow="1" firstDataRow="1" firstDataCol="1"/>
  <pivotFields count="36">
    <pivotField showAll="0"/>
    <pivotField showAll="0">
      <items count="6">
        <item x="4"/>
        <item x="2"/>
        <item x="0"/>
        <item x="1"/>
        <item x="3"/>
        <item t="default"/>
      </items>
    </pivotField>
    <pivotField showAll="0"/>
    <pivotField dataField="1" showAll="0"/>
    <pivotField showAll="0">
      <items count="4">
        <item x="2"/>
        <item x="1"/>
        <item x="0"/>
        <item t="default"/>
      </items>
    </pivotField>
    <pivotField numFmtId="164" showAll="0"/>
    <pivotField showAll="0">
      <items count="4">
        <item x="2"/>
        <item x="1"/>
        <item x="0"/>
        <item t="default"/>
      </items>
    </pivotField>
    <pivotField showAll="0">
      <items count="10">
        <item x="0"/>
        <item x="1"/>
        <item x="2"/>
        <item x="3"/>
        <item x="4"/>
        <item x="5"/>
        <item x="6"/>
        <item x="7"/>
        <item x="8"/>
        <item t="default"/>
      </items>
    </pivotField>
    <pivotField showAll="0"/>
    <pivotField showAll="0">
      <items count="6">
        <item x="3"/>
        <item x="1"/>
        <item x="0"/>
        <item x="4"/>
        <item x="2"/>
        <item t="default"/>
      </items>
    </pivotField>
    <pivotField showAll="0"/>
    <pivotField showAll="0"/>
    <pivotField showAll="0">
      <items count="3">
        <item x="0"/>
        <item x="1"/>
        <item t="default"/>
      </items>
    </pivotField>
    <pivotField numFmtId="164" showAll="0"/>
    <pivotField showAll="0">
      <items count="5">
        <item x="3"/>
        <item x="1"/>
        <item x="0"/>
        <item x="2"/>
        <item t="default"/>
      </items>
    </pivotField>
    <pivotField showAll="0"/>
    <pivotField axis="axisRow" showAll="0" sortType="a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showAll="0"/>
    <pivotField showAll="0">
      <items count="4">
        <item x="2"/>
        <item x="1"/>
        <item x="0"/>
        <item t="default"/>
      </items>
    </pivotField>
    <pivotField numFmtId="164" showAll="0"/>
    <pivotField numFmtId="164" showAll="0"/>
    <pivotField showAll="0"/>
    <pivotField showAll="0"/>
    <pivotField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16"/>
  </rowFields>
  <rowItems count="10">
    <i>
      <x v="5"/>
    </i>
    <i>
      <x v="3"/>
    </i>
    <i>
      <x/>
    </i>
    <i>
      <x v="4"/>
    </i>
    <i>
      <x v="1"/>
    </i>
    <i>
      <x v="8"/>
    </i>
    <i>
      <x v="6"/>
    </i>
    <i>
      <x v="7"/>
    </i>
    <i>
      <x v="2"/>
    </i>
    <i t="grand">
      <x/>
    </i>
  </rowItems>
  <colItems count="1">
    <i/>
  </colItems>
  <dataFields count="1">
    <dataField name="Sum of ResignedCount" fld="3" baseField="0" baseItem="0"/>
  </dataFields>
  <conditionalFormats count="1">
    <conditionalFormat type="all" priority="1">
      <pivotAreas count="1">
        <pivotArea type="data" collapsedLevelsAreSubtotals="1" fieldPosition="0">
          <references count="2">
            <reference field="4294967294" count="1" selected="0">
              <x v="0"/>
            </reference>
            <reference field="16" count="9">
              <x v="0"/>
              <x v="1"/>
              <x v="2"/>
              <x v="3"/>
              <x v="4"/>
              <x v="5"/>
              <x v="6"/>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637B06-2A8C-4537-A4EC-0B33771EF93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3:H6" firstHeaderRow="0" firstDataRow="1" firstDataCol="1"/>
  <pivotFields count="36">
    <pivotField showAll="0"/>
    <pivotField showAll="0">
      <items count="6">
        <item x="4"/>
        <item x="2"/>
        <item x="0"/>
        <item x="1"/>
        <item x="3"/>
        <item t="default"/>
      </items>
    </pivotField>
    <pivotField axis="axisRow" showAll="0">
      <items count="3">
        <item x="1"/>
        <item x="0"/>
        <item t="default"/>
      </items>
    </pivotField>
    <pivotField showAll="0"/>
    <pivotField showAll="0"/>
    <pivotField numFmtId="164" showAll="0"/>
    <pivotField showAll="0"/>
    <pivotField showAll="0">
      <items count="10">
        <item x="0"/>
        <item x="1"/>
        <item x="2"/>
        <item x="3"/>
        <item x="4"/>
        <item x="5"/>
        <item x="6"/>
        <item x="7"/>
        <item x="8"/>
        <item t="default"/>
      </items>
    </pivotField>
    <pivotField showAll="0"/>
    <pivotField showAll="0">
      <items count="6">
        <item x="3"/>
        <item x="1"/>
        <item x="0"/>
        <item x="4"/>
        <item x="2"/>
        <item t="default"/>
      </items>
    </pivotField>
    <pivotField showAll="0"/>
    <pivotField dataField="1" showAll="0"/>
    <pivotField showAll="0">
      <items count="3">
        <item x="0"/>
        <item x="1"/>
        <item t="default"/>
      </items>
    </pivotField>
    <pivotField numFmtId="164" showAll="0"/>
    <pivotField showAll="0"/>
    <pivotField showAll="0"/>
    <pivotField showAll="0"/>
    <pivotField dataField="1" showAll="0"/>
    <pivotField showAll="0">
      <items count="4">
        <item x="2"/>
        <item x="1"/>
        <item x="0"/>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3">
    <i>
      <x/>
    </i>
    <i>
      <x v="1"/>
    </i>
    <i t="grand">
      <x/>
    </i>
  </rowItems>
  <colFields count="1">
    <field x="-2"/>
  </colFields>
  <colItems count="3">
    <i>
      <x/>
    </i>
    <i i="1">
      <x v="1"/>
    </i>
    <i i="2">
      <x v="2"/>
    </i>
  </colItems>
  <dataFields count="3">
    <dataField name="Average of JobSatisfaction" fld="17" subtotal="average" baseField="0" baseItem="0"/>
    <dataField name="Average of EnvironmentSatisfaction" fld="11" subtotal="average" baseField="0" baseItem="1"/>
    <dataField name="Average of WorkLifeBalance" fld="31" subtotal="average" baseField="2" baseItem="1"/>
  </dataFields>
  <formats count="2">
    <format dxfId="26">
      <pivotArea collapsedLevelsAreSubtotals="1" fieldPosition="0">
        <references count="1">
          <reference field="2" count="0"/>
        </references>
      </pivotArea>
    </format>
    <format dxfId="25">
      <pivotArea grandRow="1" outline="0" collapsedLevelsAreSubtotals="1" fieldPosition="0"/>
    </format>
  </formats>
  <chartFormats count="3">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18DDFF-F9CE-454D-A7A3-23B96D6AB55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3:C9" firstHeaderRow="1" firstDataRow="1" firstDataCol="1"/>
  <pivotFields count="36">
    <pivotField showAll="0"/>
    <pivotField showAll="0">
      <items count="6">
        <item x="4"/>
        <item x="2"/>
        <item x="0"/>
        <item x="1"/>
        <item x="3"/>
        <item t="default"/>
      </items>
    </pivotField>
    <pivotField showAll="0"/>
    <pivotField dataField="1" showAll="0"/>
    <pivotField showAll="0"/>
    <pivotField numFmtId="164" showAll="0"/>
    <pivotField showAll="0"/>
    <pivotField showAll="0">
      <items count="10">
        <item x="0"/>
        <item x="1"/>
        <item x="2"/>
        <item x="3"/>
        <item x="4"/>
        <item x="5"/>
        <item x="6"/>
        <item x="7"/>
        <item x="8"/>
        <item t="default"/>
      </items>
    </pivotField>
    <pivotField showAll="0"/>
    <pivotField showAll="0">
      <items count="6">
        <item x="3"/>
        <item x="1"/>
        <item x="0"/>
        <item x="4"/>
        <item x="2"/>
        <item t="default"/>
      </items>
    </pivotField>
    <pivotField showAll="0"/>
    <pivotField showAll="0"/>
    <pivotField showAll="0">
      <items count="3">
        <item x="0"/>
        <item x="1"/>
        <item t="default"/>
      </items>
    </pivotField>
    <pivotField numFmtId="164" showAll="0"/>
    <pivotField showAll="0"/>
    <pivotField showAll="0"/>
    <pivotField showAll="0"/>
    <pivotField showAll="0"/>
    <pivotField showAll="0">
      <items count="4">
        <item x="2"/>
        <item x="1"/>
        <item x="0"/>
        <item t="default"/>
      </items>
    </pivotField>
    <pivotField axis="axisRow" numFmtId="164" showAll="0">
      <items count="8">
        <item x="0"/>
        <item x="1"/>
        <item x="2"/>
        <item x="3"/>
        <item x="4"/>
        <item x="5"/>
        <item x="6"/>
        <item t="default"/>
      </items>
    </pivotField>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
  </rowFields>
  <rowItems count="6">
    <i>
      <x v="1"/>
    </i>
    <i>
      <x v="2"/>
    </i>
    <i>
      <x v="3"/>
    </i>
    <i>
      <x v="4"/>
    </i>
    <i>
      <x v="5"/>
    </i>
    <i t="grand">
      <x/>
    </i>
  </rowItems>
  <colItems count="1">
    <i/>
  </colItems>
  <dataFields count="1">
    <dataField name="Sum of ResignedCount" fld="3" baseField="0" baseItem="0"/>
  </dataFields>
  <chartFormats count="6">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19" count="1" selected="0">
            <x v="1"/>
          </reference>
        </references>
      </pivotArea>
    </chartFormat>
    <chartFormat chart="10" format="6">
      <pivotArea type="data" outline="0" fieldPosition="0">
        <references count="2">
          <reference field="4294967294" count="1" selected="0">
            <x v="0"/>
          </reference>
          <reference field="19" count="1" selected="0">
            <x v="2"/>
          </reference>
        </references>
      </pivotArea>
    </chartFormat>
    <chartFormat chart="10" format="7">
      <pivotArea type="data" outline="0" fieldPosition="0">
        <references count="2">
          <reference field="4294967294" count="1" selected="0">
            <x v="0"/>
          </reference>
          <reference field="19" count="1" selected="0">
            <x v="4"/>
          </reference>
        </references>
      </pivotArea>
    </chartFormat>
    <chartFormat chart="10" format="8">
      <pivotArea type="data" outline="0" fieldPosition="0">
        <references count="2">
          <reference field="4294967294" count="1" selected="0">
            <x v="0"/>
          </reference>
          <reference field="19" count="1" selected="0">
            <x v="3"/>
          </reference>
        </references>
      </pivotArea>
    </chartFormat>
    <chartFormat chart="10" format="9">
      <pivotArea type="data" outline="0" fieldPosition="0">
        <references count="2">
          <reference field="4294967294" count="1" selected="0">
            <x v="0"/>
          </reference>
          <reference field="1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A6A0FE-671F-4B5C-BEE7-9B432909957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5:C43" firstHeaderRow="1" firstDataRow="1" firstDataCol="1"/>
  <pivotFields count="36">
    <pivotField showAll="0"/>
    <pivotField showAll="0">
      <items count="6">
        <item x="4"/>
        <item x="2"/>
        <item x="0"/>
        <item x="1"/>
        <item x="3"/>
        <item t="default"/>
      </items>
    </pivotField>
    <pivotField showAll="0">
      <items count="3">
        <item x="1"/>
        <item x="0"/>
        <item t="default"/>
      </items>
    </pivotField>
    <pivotField dataField="1" showAll="0"/>
    <pivotField showAll="0"/>
    <pivotField numFmtId="164" showAll="0"/>
    <pivotField showAll="0"/>
    <pivotField axis="axisRow" showAll="0">
      <items count="10">
        <item x="0"/>
        <item x="1"/>
        <item x="2"/>
        <item x="3"/>
        <item x="4"/>
        <item x="5"/>
        <item x="6"/>
        <item x="7"/>
        <item x="8"/>
        <item t="default"/>
      </items>
    </pivotField>
    <pivotField showAll="0"/>
    <pivotField showAll="0">
      <items count="6">
        <item x="3"/>
        <item x="1"/>
        <item x="0"/>
        <item x="4"/>
        <item x="2"/>
        <item t="default"/>
      </items>
    </pivotField>
    <pivotField showAll="0"/>
    <pivotField showAll="0"/>
    <pivotField showAll="0">
      <items count="3">
        <item x="0"/>
        <item x="1"/>
        <item t="default"/>
      </items>
    </pivotField>
    <pivotField numFmtId="164" showAll="0"/>
    <pivotField showAll="0"/>
    <pivotField showAll="0"/>
    <pivotField showAll="0"/>
    <pivotField showAll="0"/>
    <pivotField showAll="0">
      <items count="4">
        <item x="2"/>
        <item x="1"/>
        <item x="0"/>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8">
    <i>
      <x v="1"/>
    </i>
    <i>
      <x v="2"/>
    </i>
    <i>
      <x v="3"/>
    </i>
    <i>
      <x v="4"/>
    </i>
    <i>
      <x v="5"/>
    </i>
    <i>
      <x v="6"/>
    </i>
    <i>
      <x v="7"/>
    </i>
    <i t="grand">
      <x/>
    </i>
  </rowItems>
  <colItems count="1">
    <i/>
  </colItems>
  <dataFields count="1">
    <dataField name="Sum of ResignedC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DEB386C-5F93-4FD8-A1F3-B62B52BA247D}" sourceName="Gender">
  <pivotTables>
    <pivotTable tabId="2" name="PivotTable3"/>
    <pivotTable tabId="2" name="PivotTable4"/>
    <pivotTable tabId="2" name="PivotTable5"/>
    <pivotTable tabId="2" name="PivotTable6"/>
    <pivotTable tabId="2" name="PivotTable7"/>
  </pivotTables>
  <data>
    <tabular pivotCacheId="84217985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Group" xr10:uid="{99949735-5D35-4A34-8848-9865FDADBF51}" sourceName="AgeGroup">
  <pivotTables>
    <pivotTable tabId="2" name="PivotTable5"/>
    <pivotTable tabId="2" name="PivotTable3"/>
    <pivotTable tabId="2" name="PivotTable4"/>
    <pivotTable tabId="2" name="PivotTable6"/>
    <pivotTable tabId="2" name="PivotTable7"/>
  </pivotTables>
  <data>
    <tabular pivotCacheId="842179853">
      <items count="5">
        <i x="4" s="1"/>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E3DFDDE2-09AC-4212-98E2-D025BA430540}" sourceName="MaritalStatus">
  <pivotTables>
    <pivotTable tabId="2" name="PivotTable5"/>
    <pivotTable tabId="2" name="PivotTable3"/>
    <pivotTable tabId="2" name="PivotTable4"/>
    <pivotTable tabId="2" name="PivotTable6"/>
    <pivotTable tabId="2" name="PivotTable7"/>
  </pivotTables>
  <data>
    <tabular pivotCacheId="842179853">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Category" xr10:uid="{9E9D225F-6007-4F6A-8BC5-D6061086048D}" sourceName="EducationCategory">
  <pivotTables>
    <pivotTable tabId="2" name="PivotTable6"/>
    <pivotTable tabId="2" name="PivotTable3"/>
    <pivotTable tabId="2" name="PivotTable4"/>
    <pivotTable tabId="2" name="PivotTable5"/>
    <pivotTable tabId="2" name="PivotTable7"/>
  </pivotTables>
  <data>
    <tabular pivotCacheId="842179853">
      <items count="5">
        <i x="3" s="1"/>
        <i x="1" s="1"/>
        <i x="0" s="1"/>
        <i x="4"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Travel" xr10:uid="{F6323017-92C7-4BD0-A7F1-EA8680F64FBA}" sourceName="BusinessTravel">
  <pivotTables>
    <pivotTable tabId="2" name="PivotTable5"/>
    <pivotTable tabId="2" name="PivotTable6"/>
  </pivotTables>
  <data>
    <tabular pivotCacheId="842179853">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Time" xr10:uid="{A5EEC446-8788-4A7E-85C6-499A4E62D144}" sourceName="OverTime">
  <pivotTables>
    <pivotTable tabId="2" name="PivotTable5"/>
    <pivotTable tabId="2" name="PivotTable6"/>
  </pivotTables>
  <data>
    <tabular pivotCacheId="84217985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59667BE7-4AB1-4D5F-968A-46A2D9FE2084}" cache="Slicer_Gender" caption="Gender" columnCount="2" rowHeight="241300"/>
  <slicer name="AgeGroup" xr10:uid="{FB25E029-133E-4E4A-A893-4E150149FF0C}" cache="Slicer_AgeGroup" caption="Age Group" rowHeight="241300"/>
  <slicer name="MaritalStatus" xr10:uid="{01039977-35C5-4F9D-BEE6-F751C4A53CF8}" cache="Slicer_MaritalStatus" caption="Marital Status" columnCount="2" rowHeight="241300"/>
  <slicer name="EducationCategory" xr10:uid="{0D06ADFB-7E6A-486D-981F-122603405FF3}" cache="Slicer_EducationCategory" caption="Education Category" columnCount="2" rowHeight="241300"/>
  <slicer name="BusinessTravel" xr10:uid="{AE6FFA85-0CFD-40A0-8C46-F87F7FEEE603}" cache="Slicer_BusinessTravel" caption="Business Travel" columnCount="2" rowHeight="241300"/>
  <slicer name="OverTime" xr10:uid="{A58C1FB5-348D-4809-9160-C935D3B2E8BB}" cache="Slicer_OverTime" caption="OverTime"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5E599B-8C6E-45BA-9939-325C3CA519C4}" name="Table1" displayName="Table1" ref="A1:AI1471" totalsRowShown="0">
  <autoFilter ref="A1:AI1471" xr:uid="{B65E599B-8C6E-45BA-9939-325C3CA519C4}"/>
  <tableColumns count="35">
    <tableColumn id="1" xr3:uid="{76FCAE8F-5EC2-499D-81AD-4227B4F57CCD}" name="Age"/>
    <tableColumn id="36" xr3:uid="{F6D124CD-4D94-43E8-B172-1CD266E2C499}" name="AgeGroup" dataDxfId="34">
      <calculatedColumnFormula>IF(A2="","",IF(A2&lt;25,"18-24",
 IF(A2&lt;35,"25-34",
 IF(A2&lt;45,"35-44",
 IF(A2&lt;55,"45-54",
 IF(A2&lt;65,"55-64","65+"))))))</calculatedColumnFormula>
    </tableColumn>
    <tableColumn id="2" xr3:uid="{A57FE08C-2945-486C-BEBF-87B21499EFA0}" name="Attrition" dataDxfId="33"/>
    <tableColumn id="9" xr3:uid="{7B965101-75D2-4BD5-9D5E-8842E7B4610C}" name="ResignedCount" dataDxfId="32">
      <calculatedColumnFormula>IF(Table1[[#This Row],[Attrition]]="Yes",1,0)</calculatedColumnFormula>
    </tableColumn>
    <tableColumn id="3" xr3:uid="{58FE48D9-035D-4F26-ADDD-9B27582E2D53}" name="BusinessTravel"/>
    <tableColumn id="4" xr3:uid="{1B146C60-4B4F-48BC-AA95-D423AEAA8BA1}" name="DailyRate" dataDxfId="31"/>
    <tableColumn id="5" xr3:uid="{5A78D1E7-2CAF-4776-A5F0-DF269179449E}" name="Department"/>
    <tableColumn id="6" xr3:uid="{5AC16DCB-2167-44D3-A23D-A83B9904B75A}" name="DistanceFromHome"/>
    <tableColumn id="7" xr3:uid="{3B01856F-7072-4177-A8D9-D5B6DD2C586C}" name="Education"/>
    <tableColumn id="37" xr3:uid="{B08278D1-FCBE-45E2-8D11-6BDD0586BA78}" name="EducationCategory" dataDxfId="30">
      <calculatedColumnFormula>CHOOSE(I2,"Below College","College","Bachelor","Master","Doctor")</calculatedColumnFormula>
    </tableColumn>
    <tableColumn id="8" xr3:uid="{D104DBD7-95DE-4995-B783-754793C453D4}" name="EducationField"/>
    <tableColumn id="11" xr3:uid="{6F8DEE20-CDDB-4BDE-B17E-26B60177160D}" name="EnvironmentSatisfaction"/>
    <tableColumn id="12" xr3:uid="{5B8315F6-D7CD-403B-8D9B-14289588A69A}" name="Gender"/>
    <tableColumn id="13" xr3:uid="{8EA262A7-A6AB-4632-8963-1F576CDE01C8}" name="HourlyRate" dataDxfId="29"/>
    <tableColumn id="14" xr3:uid="{E0F3EED6-AD0E-487D-8B78-636C5906DB58}" name="JobInvolvement"/>
    <tableColumn id="15" xr3:uid="{ABF587E1-4D39-4D40-94B5-2FB83BBCAB3D}" name="JobLevel"/>
    <tableColumn id="16" xr3:uid="{B70621CD-C94D-46B5-866D-91FCACEA0481}" name="JobRole"/>
    <tableColumn id="17" xr3:uid="{DA4EB0F3-06C0-4FBB-8226-CFCA01B61D48}" name="JobSatisfaction"/>
    <tableColumn id="18" xr3:uid="{88F963F3-E0EC-44C8-93E6-ECEECCE75DAA}" name="MaritalStatus"/>
    <tableColumn id="19" xr3:uid="{94FD0CEB-E663-4B39-9B12-4BB268253B1E}" name="MonthlyIncome" dataDxfId="28"/>
    <tableColumn id="20" xr3:uid="{73649D10-9150-4A75-B0D9-C32960D4B314}" name="MonthlyRate" dataDxfId="27"/>
    <tableColumn id="21" xr3:uid="{C8C845BF-BD6C-4A12-810F-656D1E429186}" name="NumCompaniesWorked"/>
    <tableColumn id="23" xr3:uid="{CBE5A2C4-D8F0-4D54-A512-6283D99B72B5}" name="OverTime"/>
    <tableColumn id="24" xr3:uid="{E180918B-3AEC-495F-BE70-A12D4F65A5A2}" name="PercentSalaryHike"/>
    <tableColumn id="25" xr3:uid="{C2F3DCC0-4BD9-411F-B5AC-C2D18C905021}" name="PerformanceRating"/>
    <tableColumn id="26" xr3:uid="{A15CBE67-7D94-4EAC-8FDC-5113562E3F76}" name="RelationshipSatisfaction"/>
    <tableColumn id="27" xr3:uid="{0FB7A7FC-3FC3-4CCA-B70E-EE3B25F44A01}" name="StandardHours"/>
    <tableColumn id="28" xr3:uid="{761E0DF6-3B80-411E-9AFB-3DAD351C9376}" name="StockOptionLevel"/>
    <tableColumn id="29" xr3:uid="{FD5164C0-E051-465F-95D3-06C5CF70CCD5}" name="TotalWorkingYears"/>
    <tableColumn id="30" xr3:uid="{758C3E33-AD67-4D53-8E20-C935993475B2}" name="TrainingTimesLastYear"/>
    <tableColumn id="31" xr3:uid="{26ACFBD1-7591-472D-857A-573A5099EF1E}" name="WorkLifeBalance"/>
    <tableColumn id="32" xr3:uid="{F009D026-F6D0-49C0-9524-B532ABE03985}" name="YearsAtCompany"/>
    <tableColumn id="33" xr3:uid="{F7F1B603-DDA1-4E65-924B-3B885A4FAAE6}" name="YearsInCurrentRole"/>
    <tableColumn id="34" xr3:uid="{B602BFB0-F857-4A53-BA8C-7670963679CE}" name="YearsSinceLastPromotion"/>
    <tableColumn id="35" xr3:uid="{C369AA30-F343-463A-8DFA-CCF995F548D6}" name="YearsWithCurrManager"/>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3AE21-33AD-4034-9761-10C65A398EC5}">
  <sheetPr codeName="Sheet1"/>
  <dimension ref="A1:AI1471"/>
  <sheetViews>
    <sheetView topLeftCell="A2" workbookViewId="0">
      <selection activeCell="Y16" sqref="Y16"/>
    </sheetView>
  </sheetViews>
  <sheetFormatPr defaultRowHeight="15" x14ac:dyDescent="0.25"/>
  <cols>
    <col min="1" max="1" width="6.7109375" bestFit="1" customWidth="1"/>
    <col min="2" max="2" width="12.28515625" bestFit="1" customWidth="1"/>
    <col min="3" max="3" width="10.85546875" style="1" bestFit="1" customWidth="1"/>
    <col min="4" max="4" width="16.85546875" style="17" bestFit="1" customWidth="1"/>
    <col min="5" max="5" width="16.7109375" style="2" bestFit="1" customWidth="1"/>
    <col min="6" max="6" width="11.7109375" bestFit="1" customWidth="1"/>
    <col min="7" max="7" width="23.85546875" bestFit="1" customWidth="1"/>
    <col min="8" max="8" width="21" bestFit="1" customWidth="1"/>
    <col min="9" max="9" width="12" bestFit="1" customWidth="1"/>
    <col min="10" max="10" width="20.140625" bestFit="1" customWidth="1"/>
    <col min="11" max="11" width="16.85546875" bestFit="1" customWidth="1"/>
    <col min="12" max="12" width="25.42578125" bestFit="1" customWidth="1"/>
    <col min="13" max="13" width="10" style="2" bestFit="1" customWidth="1"/>
    <col min="14" max="14" width="13.140625" bestFit="1" customWidth="1"/>
    <col min="15" max="15" width="17.7109375" bestFit="1" customWidth="1"/>
    <col min="16" max="16" width="11" bestFit="1" customWidth="1"/>
    <col min="17" max="17" width="25" bestFit="1" customWidth="1"/>
    <col min="18" max="18" width="16.7109375" bestFit="1" customWidth="1"/>
    <col min="19" max="19" width="15.140625" style="2" bestFit="1" customWidth="1"/>
    <col min="20" max="20" width="17.5703125" style="2" bestFit="1" customWidth="1"/>
    <col min="21" max="21" width="14.85546875" bestFit="1" customWidth="1"/>
    <col min="22" max="22" width="25" bestFit="1" customWidth="1"/>
    <col min="23" max="23" width="9.5703125" bestFit="1" customWidth="1"/>
    <col min="24" max="24" width="12" bestFit="1" customWidth="1"/>
    <col min="25" max="25" width="19.7109375" bestFit="1" customWidth="1"/>
    <col min="26" max="26" width="20.5703125" bestFit="1" customWidth="1"/>
    <col min="27" max="27" width="25.140625" bestFit="1" customWidth="1"/>
    <col min="28" max="28" width="16.42578125" bestFit="1" customWidth="1"/>
    <col min="29" max="29" width="19" bestFit="1" customWidth="1"/>
    <col min="30" max="30" width="20.42578125" bestFit="1" customWidth="1"/>
    <col min="31" max="31" width="23.42578125" bestFit="1" customWidth="1"/>
    <col min="32" max="32" width="18.42578125" bestFit="1" customWidth="1"/>
    <col min="33" max="33" width="18.5703125" bestFit="1" customWidth="1"/>
    <col min="34" max="34" width="20.85546875" bestFit="1" customWidth="1"/>
    <col min="35" max="35" width="26.140625" bestFit="1" customWidth="1"/>
    <col min="36" max="36" width="24.5703125" bestFit="1" customWidth="1"/>
  </cols>
  <sheetData>
    <row r="1" spans="1:35" x14ac:dyDescent="0.25">
      <c r="A1" t="s">
        <v>0</v>
      </c>
      <c r="B1" t="s">
        <v>56</v>
      </c>
      <c r="C1" s="1" t="s">
        <v>1</v>
      </c>
      <c r="D1" s="17" t="s">
        <v>76</v>
      </c>
      <c r="E1" t="s">
        <v>2</v>
      </c>
      <c r="F1" s="2" t="s">
        <v>3</v>
      </c>
      <c r="G1" t="s">
        <v>4</v>
      </c>
      <c r="H1" t="s">
        <v>5</v>
      </c>
      <c r="I1" t="s">
        <v>6</v>
      </c>
      <c r="J1" t="s">
        <v>59</v>
      </c>
      <c r="K1" t="s">
        <v>7</v>
      </c>
      <c r="L1" t="s">
        <v>8</v>
      </c>
      <c r="M1" t="s">
        <v>9</v>
      </c>
      <c r="N1" s="2" t="s">
        <v>10</v>
      </c>
      <c r="O1" t="s">
        <v>11</v>
      </c>
      <c r="P1" t="s">
        <v>12</v>
      </c>
      <c r="Q1" t="s">
        <v>13</v>
      </c>
      <c r="R1" t="s">
        <v>14</v>
      </c>
      <c r="S1" t="s">
        <v>15</v>
      </c>
      <c r="T1" s="2" t="s">
        <v>16</v>
      </c>
      <c r="U1" s="2" t="s">
        <v>17</v>
      </c>
      <c r="V1" t="s">
        <v>18</v>
      </c>
      <c r="W1" t="s">
        <v>19</v>
      </c>
      <c r="X1" t="s">
        <v>20</v>
      </c>
      <c r="Y1" t="s">
        <v>21</v>
      </c>
      <c r="Z1" t="s">
        <v>22</v>
      </c>
      <c r="AA1" t="s">
        <v>23</v>
      </c>
      <c r="AB1" t="s">
        <v>24</v>
      </c>
      <c r="AC1" t="s">
        <v>25</v>
      </c>
      <c r="AD1" t="s">
        <v>26</v>
      </c>
      <c r="AE1" t="s">
        <v>27</v>
      </c>
      <c r="AF1" t="s">
        <v>28</v>
      </c>
      <c r="AG1" t="s">
        <v>29</v>
      </c>
      <c r="AH1" t="s">
        <v>30</v>
      </c>
      <c r="AI1" t="s">
        <v>31</v>
      </c>
    </row>
    <row r="2" spans="1:35" x14ac:dyDescent="0.25">
      <c r="A2">
        <v>41</v>
      </c>
      <c r="B2" t="str">
        <f t="shared" ref="B2:B65" si="0">IF(A2="","",IF(A2&lt;25,"18-24",
 IF(A2&lt;35,"25-34",
 IF(A2&lt;45,"35-44",
 IF(A2&lt;55,"45-54",
 IF(A2&lt;65,"55-64","65+"))))))</f>
        <v>35-44</v>
      </c>
      <c r="C2" s="1" t="s">
        <v>32</v>
      </c>
      <c r="D2" s="17">
        <f>IF(Table1[[#This Row],[Attrition]]="Yes",1,0)</f>
        <v>1</v>
      </c>
      <c r="E2" t="s">
        <v>57</v>
      </c>
      <c r="F2" s="2">
        <v>1102</v>
      </c>
      <c r="G2" t="s">
        <v>33</v>
      </c>
      <c r="H2">
        <v>1</v>
      </c>
      <c r="I2">
        <v>2</v>
      </c>
      <c r="J2" t="str">
        <f t="shared" ref="J2:J65" si="1">CHOOSE(I2,"Below College","College","Bachelor","Master","Doctor")</f>
        <v>College</v>
      </c>
      <c r="K2" t="s">
        <v>34</v>
      </c>
      <c r="L2">
        <v>2</v>
      </c>
      <c r="M2" t="s">
        <v>35</v>
      </c>
      <c r="N2" s="2">
        <v>94</v>
      </c>
      <c r="O2">
        <v>3</v>
      </c>
      <c r="P2">
        <v>2</v>
      </c>
      <c r="Q2" t="s">
        <v>36</v>
      </c>
      <c r="R2">
        <v>4</v>
      </c>
      <c r="S2" t="s">
        <v>37</v>
      </c>
      <c r="T2" s="2">
        <v>5993</v>
      </c>
      <c r="U2" s="2">
        <v>19479</v>
      </c>
      <c r="V2">
        <v>8</v>
      </c>
      <c r="W2" t="s">
        <v>32</v>
      </c>
      <c r="X2">
        <v>11</v>
      </c>
      <c r="Y2">
        <v>3</v>
      </c>
      <c r="Z2">
        <v>1</v>
      </c>
      <c r="AA2">
        <v>80</v>
      </c>
      <c r="AB2">
        <v>0</v>
      </c>
      <c r="AC2">
        <v>8</v>
      </c>
      <c r="AD2">
        <v>0</v>
      </c>
      <c r="AE2">
        <v>1</v>
      </c>
      <c r="AF2">
        <v>6</v>
      </c>
      <c r="AG2">
        <v>4</v>
      </c>
      <c r="AH2">
        <v>0</v>
      </c>
      <c r="AI2">
        <v>5</v>
      </c>
    </row>
    <row r="3" spans="1:35" x14ac:dyDescent="0.25">
      <c r="A3">
        <v>49</v>
      </c>
      <c r="B3" t="str">
        <f t="shared" si="0"/>
        <v>45-54</v>
      </c>
      <c r="C3" s="1" t="s">
        <v>38</v>
      </c>
      <c r="D3" s="17">
        <f>IF(Table1[[#This Row],[Attrition]]="Yes",1,0)</f>
        <v>0</v>
      </c>
      <c r="E3" t="s">
        <v>58</v>
      </c>
      <c r="F3" s="2">
        <v>279</v>
      </c>
      <c r="G3" t="s">
        <v>39</v>
      </c>
      <c r="H3">
        <v>8</v>
      </c>
      <c r="I3">
        <v>1</v>
      </c>
      <c r="J3" t="str">
        <f t="shared" si="1"/>
        <v>Below College</v>
      </c>
      <c r="K3" t="s">
        <v>34</v>
      </c>
      <c r="L3">
        <v>3</v>
      </c>
      <c r="M3" t="s">
        <v>40</v>
      </c>
      <c r="N3" s="2">
        <v>61</v>
      </c>
      <c r="O3">
        <v>2</v>
      </c>
      <c r="P3">
        <v>2</v>
      </c>
      <c r="Q3" t="s">
        <v>41</v>
      </c>
      <c r="R3">
        <v>2</v>
      </c>
      <c r="S3" t="s">
        <v>42</v>
      </c>
      <c r="T3" s="2">
        <v>5130</v>
      </c>
      <c r="U3" s="2">
        <v>24907</v>
      </c>
      <c r="V3">
        <v>1</v>
      </c>
      <c r="W3" t="s">
        <v>38</v>
      </c>
      <c r="X3">
        <v>23</v>
      </c>
      <c r="Y3">
        <v>4</v>
      </c>
      <c r="Z3">
        <v>4</v>
      </c>
      <c r="AA3">
        <v>80</v>
      </c>
      <c r="AB3">
        <v>1</v>
      </c>
      <c r="AC3">
        <v>10</v>
      </c>
      <c r="AD3">
        <v>3</v>
      </c>
      <c r="AE3">
        <v>3</v>
      </c>
      <c r="AF3">
        <v>10</v>
      </c>
      <c r="AG3">
        <v>7</v>
      </c>
      <c r="AH3">
        <v>1</v>
      </c>
      <c r="AI3">
        <v>7</v>
      </c>
    </row>
    <row r="4" spans="1:35" x14ac:dyDescent="0.25">
      <c r="A4">
        <v>37</v>
      </c>
      <c r="B4" t="str">
        <f t="shared" si="0"/>
        <v>35-44</v>
      </c>
      <c r="C4" s="1" t="s">
        <v>32</v>
      </c>
      <c r="D4" s="17">
        <f>IF(Table1[[#This Row],[Attrition]]="Yes",1,0)</f>
        <v>1</v>
      </c>
      <c r="E4" t="s">
        <v>57</v>
      </c>
      <c r="F4" s="2">
        <v>1373</v>
      </c>
      <c r="G4" t="s">
        <v>39</v>
      </c>
      <c r="H4">
        <v>2</v>
      </c>
      <c r="I4">
        <v>2</v>
      </c>
      <c r="J4" t="str">
        <f t="shared" si="1"/>
        <v>College</v>
      </c>
      <c r="K4" t="s">
        <v>43</v>
      </c>
      <c r="L4">
        <v>4</v>
      </c>
      <c r="M4" t="s">
        <v>40</v>
      </c>
      <c r="N4" s="2">
        <v>92</v>
      </c>
      <c r="O4">
        <v>2</v>
      </c>
      <c r="P4">
        <v>1</v>
      </c>
      <c r="Q4" t="s">
        <v>44</v>
      </c>
      <c r="R4">
        <v>3</v>
      </c>
      <c r="S4" t="s">
        <v>37</v>
      </c>
      <c r="T4" s="2">
        <v>2090</v>
      </c>
      <c r="U4" s="2">
        <v>2396</v>
      </c>
      <c r="V4">
        <v>6</v>
      </c>
      <c r="W4" t="s">
        <v>32</v>
      </c>
      <c r="X4">
        <v>15</v>
      </c>
      <c r="Y4">
        <v>3</v>
      </c>
      <c r="Z4">
        <v>2</v>
      </c>
      <c r="AA4">
        <v>80</v>
      </c>
      <c r="AB4">
        <v>0</v>
      </c>
      <c r="AC4">
        <v>7</v>
      </c>
      <c r="AD4">
        <v>3</v>
      </c>
      <c r="AE4">
        <v>3</v>
      </c>
      <c r="AF4">
        <v>0</v>
      </c>
      <c r="AG4">
        <v>0</v>
      </c>
      <c r="AH4">
        <v>0</v>
      </c>
      <c r="AI4">
        <v>0</v>
      </c>
    </row>
    <row r="5" spans="1:35" x14ac:dyDescent="0.25">
      <c r="A5">
        <v>33</v>
      </c>
      <c r="B5" t="str">
        <f t="shared" si="0"/>
        <v>25-34</v>
      </c>
      <c r="C5" s="1" t="s">
        <v>38</v>
      </c>
      <c r="D5" s="17">
        <f>IF(Table1[[#This Row],[Attrition]]="Yes",1,0)</f>
        <v>0</v>
      </c>
      <c r="E5" t="s">
        <v>58</v>
      </c>
      <c r="F5" s="2">
        <v>1392</v>
      </c>
      <c r="G5" t="s">
        <v>39</v>
      </c>
      <c r="H5">
        <v>3</v>
      </c>
      <c r="I5">
        <v>4</v>
      </c>
      <c r="J5" t="str">
        <f t="shared" si="1"/>
        <v>Master</v>
      </c>
      <c r="K5" t="s">
        <v>34</v>
      </c>
      <c r="L5">
        <v>4</v>
      </c>
      <c r="M5" t="s">
        <v>35</v>
      </c>
      <c r="N5" s="2">
        <v>56</v>
      </c>
      <c r="O5">
        <v>3</v>
      </c>
      <c r="P5">
        <v>1</v>
      </c>
      <c r="Q5" t="s">
        <v>41</v>
      </c>
      <c r="R5">
        <v>3</v>
      </c>
      <c r="S5" t="s">
        <v>42</v>
      </c>
      <c r="T5" s="2">
        <v>2909</v>
      </c>
      <c r="U5" s="2">
        <v>23159</v>
      </c>
      <c r="V5">
        <v>1</v>
      </c>
      <c r="W5" t="s">
        <v>32</v>
      </c>
      <c r="X5">
        <v>11</v>
      </c>
      <c r="Y5">
        <v>3</v>
      </c>
      <c r="Z5">
        <v>3</v>
      </c>
      <c r="AA5">
        <v>80</v>
      </c>
      <c r="AB5">
        <v>0</v>
      </c>
      <c r="AC5">
        <v>8</v>
      </c>
      <c r="AD5">
        <v>3</v>
      </c>
      <c r="AE5">
        <v>3</v>
      </c>
      <c r="AF5">
        <v>8</v>
      </c>
      <c r="AG5">
        <v>7</v>
      </c>
      <c r="AH5">
        <v>3</v>
      </c>
      <c r="AI5">
        <v>0</v>
      </c>
    </row>
    <row r="6" spans="1:35" x14ac:dyDescent="0.25">
      <c r="A6">
        <v>27</v>
      </c>
      <c r="B6" t="str">
        <f t="shared" si="0"/>
        <v>25-34</v>
      </c>
      <c r="C6" s="1" t="s">
        <v>38</v>
      </c>
      <c r="D6" s="17">
        <f>IF(Table1[[#This Row],[Attrition]]="Yes",1,0)</f>
        <v>0</v>
      </c>
      <c r="E6" t="s">
        <v>57</v>
      </c>
      <c r="F6" s="2">
        <v>591</v>
      </c>
      <c r="G6" t="s">
        <v>39</v>
      </c>
      <c r="H6">
        <v>2</v>
      </c>
      <c r="I6">
        <v>1</v>
      </c>
      <c r="J6" t="str">
        <f t="shared" si="1"/>
        <v>Below College</v>
      </c>
      <c r="K6" t="s">
        <v>45</v>
      </c>
      <c r="L6">
        <v>1</v>
      </c>
      <c r="M6" t="s">
        <v>40</v>
      </c>
      <c r="N6" s="2">
        <v>40</v>
      </c>
      <c r="O6">
        <v>3</v>
      </c>
      <c r="P6">
        <v>1</v>
      </c>
      <c r="Q6" t="s">
        <v>44</v>
      </c>
      <c r="R6">
        <v>2</v>
      </c>
      <c r="S6" t="s">
        <v>42</v>
      </c>
      <c r="T6" s="2">
        <v>3468</v>
      </c>
      <c r="U6" s="2">
        <v>16632</v>
      </c>
      <c r="V6">
        <v>9</v>
      </c>
      <c r="W6" t="s">
        <v>38</v>
      </c>
      <c r="X6">
        <v>12</v>
      </c>
      <c r="Y6">
        <v>3</v>
      </c>
      <c r="Z6">
        <v>4</v>
      </c>
      <c r="AA6">
        <v>80</v>
      </c>
      <c r="AB6">
        <v>1</v>
      </c>
      <c r="AC6">
        <v>6</v>
      </c>
      <c r="AD6">
        <v>3</v>
      </c>
      <c r="AE6">
        <v>3</v>
      </c>
      <c r="AF6">
        <v>2</v>
      </c>
      <c r="AG6">
        <v>2</v>
      </c>
      <c r="AH6">
        <v>2</v>
      </c>
      <c r="AI6">
        <v>2</v>
      </c>
    </row>
    <row r="7" spans="1:35" x14ac:dyDescent="0.25">
      <c r="A7">
        <v>32</v>
      </c>
      <c r="B7" t="str">
        <f t="shared" si="0"/>
        <v>25-34</v>
      </c>
      <c r="C7" s="1" t="s">
        <v>38</v>
      </c>
      <c r="D7" s="17">
        <f>IF(Table1[[#This Row],[Attrition]]="Yes",1,0)</f>
        <v>0</v>
      </c>
      <c r="E7" t="s">
        <v>58</v>
      </c>
      <c r="F7" s="2">
        <v>1005</v>
      </c>
      <c r="G7" t="s">
        <v>39</v>
      </c>
      <c r="H7">
        <v>2</v>
      </c>
      <c r="I7">
        <v>2</v>
      </c>
      <c r="J7" t="str">
        <f t="shared" si="1"/>
        <v>College</v>
      </c>
      <c r="K7" t="s">
        <v>34</v>
      </c>
      <c r="L7">
        <v>4</v>
      </c>
      <c r="M7" t="s">
        <v>40</v>
      </c>
      <c r="N7" s="2">
        <v>79</v>
      </c>
      <c r="O7">
        <v>3</v>
      </c>
      <c r="P7">
        <v>1</v>
      </c>
      <c r="Q7" t="s">
        <v>44</v>
      </c>
      <c r="R7">
        <v>4</v>
      </c>
      <c r="S7" t="s">
        <v>37</v>
      </c>
      <c r="T7" s="2">
        <v>3068</v>
      </c>
      <c r="U7" s="2">
        <v>11864</v>
      </c>
      <c r="V7">
        <v>0</v>
      </c>
      <c r="W7" t="s">
        <v>38</v>
      </c>
      <c r="X7">
        <v>13</v>
      </c>
      <c r="Y7">
        <v>3</v>
      </c>
      <c r="Z7">
        <v>3</v>
      </c>
      <c r="AA7">
        <v>80</v>
      </c>
      <c r="AB7">
        <v>0</v>
      </c>
      <c r="AC7">
        <v>8</v>
      </c>
      <c r="AD7">
        <v>2</v>
      </c>
      <c r="AE7">
        <v>2</v>
      </c>
      <c r="AF7">
        <v>7</v>
      </c>
      <c r="AG7">
        <v>7</v>
      </c>
      <c r="AH7">
        <v>3</v>
      </c>
      <c r="AI7">
        <v>6</v>
      </c>
    </row>
    <row r="8" spans="1:35" x14ac:dyDescent="0.25">
      <c r="A8">
        <v>59</v>
      </c>
      <c r="B8" t="str">
        <f t="shared" si="0"/>
        <v>55-64</v>
      </c>
      <c r="C8" s="1" t="s">
        <v>38</v>
      </c>
      <c r="D8" s="17">
        <f>IF(Table1[[#This Row],[Attrition]]="Yes",1,0)</f>
        <v>0</v>
      </c>
      <c r="E8" t="s">
        <v>57</v>
      </c>
      <c r="F8" s="2">
        <v>1324</v>
      </c>
      <c r="G8" t="s">
        <v>39</v>
      </c>
      <c r="H8">
        <v>3</v>
      </c>
      <c r="I8">
        <v>3</v>
      </c>
      <c r="J8" t="str">
        <f t="shared" si="1"/>
        <v>Bachelor</v>
      </c>
      <c r="K8" t="s">
        <v>45</v>
      </c>
      <c r="L8">
        <v>3</v>
      </c>
      <c r="M8" t="s">
        <v>35</v>
      </c>
      <c r="N8" s="2">
        <v>81</v>
      </c>
      <c r="O8">
        <v>4</v>
      </c>
      <c r="P8">
        <v>1</v>
      </c>
      <c r="Q8" t="s">
        <v>44</v>
      </c>
      <c r="R8">
        <v>1</v>
      </c>
      <c r="S8" t="s">
        <v>42</v>
      </c>
      <c r="T8" s="2">
        <v>2670</v>
      </c>
      <c r="U8" s="2">
        <v>9964</v>
      </c>
      <c r="V8">
        <v>4</v>
      </c>
      <c r="W8" t="s">
        <v>32</v>
      </c>
      <c r="X8">
        <v>20</v>
      </c>
      <c r="Y8">
        <v>4</v>
      </c>
      <c r="Z8">
        <v>1</v>
      </c>
      <c r="AA8">
        <v>80</v>
      </c>
      <c r="AB8">
        <v>3</v>
      </c>
      <c r="AC8">
        <v>12</v>
      </c>
      <c r="AD8">
        <v>3</v>
      </c>
      <c r="AE8">
        <v>2</v>
      </c>
      <c r="AF8">
        <v>1</v>
      </c>
      <c r="AG8">
        <v>0</v>
      </c>
      <c r="AH8">
        <v>0</v>
      </c>
      <c r="AI8">
        <v>0</v>
      </c>
    </row>
    <row r="9" spans="1:35" x14ac:dyDescent="0.25">
      <c r="A9">
        <v>30</v>
      </c>
      <c r="B9" t="str">
        <f t="shared" si="0"/>
        <v>25-34</v>
      </c>
      <c r="C9" s="1" t="s">
        <v>38</v>
      </c>
      <c r="D9" s="17">
        <f>IF(Table1[[#This Row],[Attrition]]="Yes",1,0)</f>
        <v>0</v>
      </c>
      <c r="E9" t="s">
        <v>57</v>
      </c>
      <c r="F9" s="2">
        <v>1358</v>
      </c>
      <c r="G9" t="s">
        <v>39</v>
      </c>
      <c r="H9">
        <v>24</v>
      </c>
      <c r="I9">
        <v>1</v>
      </c>
      <c r="J9" t="str">
        <f t="shared" si="1"/>
        <v>Below College</v>
      </c>
      <c r="K9" t="s">
        <v>34</v>
      </c>
      <c r="L9">
        <v>4</v>
      </c>
      <c r="M9" t="s">
        <v>40</v>
      </c>
      <c r="N9" s="2">
        <v>67</v>
      </c>
      <c r="O9">
        <v>3</v>
      </c>
      <c r="P9">
        <v>1</v>
      </c>
      <c r="Q9" t="s">
        <v>44</v>
      </c>
      <c r="R9">
        <v>3</v>
      </c>
      <c r="S9" t="s">
        <v>46</v>
      </c>
      <c r="T9" s="2">
        <v>2693</v>
      </c>
      <c r="U9" s="2">
        <v>13335</v>
      </c>
      <c r="V9">
        <v>1</v>
      </c>
      <c r="W9" t="s">
        <v>38</v>
      </c>
      <c r="X9">
        <v>22</v>
      </c>
      <c r="Y9">
        <v>4</v>
      </c>
      <c r="Z9">
        <v>2</v>
      </c>
      <c r="AA9">
        <v>80</v>
      </c>
      <c r="AB9">
        <v>1</v>
      </c>
      <c r="AC9">
        <v>1</v>
      </c>
      <c r="AD9">
        <v>2</v>
      </c>
      <c r="AE9">
        <v>3</v>
      </c>
      <c r="AF9">
        <v>1</v>
      </c>
      <c r="AG9">
        <v>0</v>
      </c>
      <c r="AH9">
        <v>0</v>
      </c>
      <c r="AI9">
        <v>0</v>
      </c>
    </row>
    <row r="10" spans="1:35" x14ac:dyDescent="0.25">
      <c r="A10">
        <v>38</v>
      </c>
      <c r="B10" t="str">
        <f t="shared" si="0"/>
        <v>35-44</v>
      </c>
      <c r="C10" s="1" t="s">
        <v>38</v>
      </c>
      <c r="D10" s="17">
        <f>IF(Table1[[#This Row],[Attrition]]="Yes",1,0)</f>
        <v>0</v>
      </c>
      <c r="E10" t="s">
        <v>58</v>
      </c>
      <c r="F10" s="2">
        <v>216</v>
      </c>
      <c r="G10" t="s">
        <v>39</v>
      </c>
      <c r="H10">
        <v>23</v>
      </c>
      <c r="I10">
        <v>3</v>
      </c>
      <c r="J10" t="str">
        <f t="shared" si="1"/>
        <v>Bachelor</v>
      </c>
      <c r="K10" t="s">
        <v>34</v>
      </c>
      <c r="L10">
        <v>4</v>
      </c>
      <c r="M10" t="s">
        <v>40</v>
      </c>
      <c r="N10" s="2">
        <v>44</v>
      </c>
      <c r="O10">
        <v>2</v>
      </c>
      <c r="P10">
        <v>3</v>
      </c>
      <c r="Q10" t="s">
        <v>47</v>
      </c>
      <c r="R10">
        <v>3</v>
      </c>
      <c r="S10" t="s">
        <v>37</v>
      </c>
      <c r="T10" s="2">
        <v>9526</v>
      </c>
      <c r="U10" s="2">
        <v>8787</v>
      </c>
      <c r="V10">
        <v>0</v>
      </c>
      <c r="W10" t="s">
        <v>38</v>
      </c>
      <c r="X10">
        <v>21</v>
      </c>
      <c r="Y10">
        <v>4</v>
      </c>
      <c r="Z10">
        <v>2</v>
      </c>
      <c r="AA10">
        <v>80</v>
      </c>
      <c r="AB10">
        <v>0</v>
      </c>
      <c r="AC10">
        <v>10</v>
      </c>
      <c r="AD10">
        <v>2</v>
      </c>
      <c r="AE10">
        <v>3</v>
      </c>
      <c r="AF10">
        <v>9</v>
      </c>
      <c r="AG10">
        <v>7</v>
      </c>
      <c r="AH10">
        <v>1</v>
      </c>
      <c r="AI10">
        <v>8</v>
      </c>
    </row>
    <row r="11" spans="1:35" x14ac:dyDescent="0.25">
      <c r="A11">
        <v>36</v>
      </c>
      <c r="B11" t="str">
        <f t="shared" si="0"/>
        <v>35-44</v>
      </c>
      <c r="C11" s="1" t="s">
        <v>38</v>
      </c>
      <c r="D11" s="17">
        <f>IF(Table1[[#This Row],[Attrition]]="Yes",1,0)</f>
        <v>0</v>
      </c>
      <c r="E11" t="s">
        <v>57</v>
      </c>
      <c r="F11" s="2">
        <v>1299</v>
      </c>
      <c r="G11" t="s">
        <v>39</v>
      </c>
      <c r="H11">
        <v>27</v>
      </c>
      <c r="I11">
        <v>3</v>
      </c>
      <c r="J11" t="str">
        <f t="shared" si="1"/>
        <v>Bachelor</v>
      </c>
      <c r="K11" t="s">
        <v>45</v>
      </c>
      <c r="L11">
        <v>3</v>
      </c>
      <c r="M11" t="s">
        <v>40</v>
      </c>
      <c r="N11" s="2">
        <v>94</v>
      </c>
      <c r="O11">
        <v>3</v>
      </c>
      <c r="P11">
        <v>2</v>
      </c>
      <c r="Q11" t="s">
        <v>48</v>
      </c>
      <c r="R11">
        <v>3</v>
      </c>
      <c r="S11" t="s">
        <v>42</v>
      </c>
      <c r="T11" s="2">
        <v>5237</v>
      </c>
      <c r="U11" s="2">
        <v>16577</v>
      </c>
      <c r="V11">
        <v>6</v>
      </c>
      <c r="W11" t="s">
        <v>38</v>
      </c>
      <c r="X11">
        <v>13</v>
      </c>
      <c r="Y11">
        <v>3</v>
      </c>
      <c r="Z11">
        <v>2</v>
      </c>
      <c r="AA11">
        <v>80</v>
      </c>
      <c r="AB11">
        <v>2</v>
      </c>
      <c r="AC11">
        <v>17</v>
      </c>
      <c r="AD11">
        <v>3</v>
      </c>
      <c r="AE11">
        <v>2</v>
      </c>
      <c r="AF11">
        <v>7</v>
      </c>
      <c r="AG11">
        <v>7</v>
      </c>
      <c r="AH11">
        <v>7</v>
      </c>
      <c r="AI11">
        <v>7</v>
      </c>
    </row>
    <row r="12" spans="1:35" x14ac:dyDescent="0.25">
      <c r="A12">
        <v>35</v>
      </c>
      <c r="B12" t="str">
        <f t="shared" si="0"/>
        <v>35-44</v>
      </c>
      <c r="C12" s="1" t="s">
        <v>38</v>
      </c>
      <c r="D12" s="17">
        <f>IF(Table1[[#This Row],[Attrition]]="Yes",1,0)</f>
        <v>0</v>
      </c>
      <c r="E12" t="s">
        <v>57</v>
      </c>
      <c r="F12" s="2">
        <v>809</v>
      </c>
      <c r="G12" t="s">
        <v>39</v>
      </c>
      <c r="H12">
        <v>16</v>
      </c>
      <c r="I12">
        <v>3</v>
      </c>
      <c r="J12" t="str">
        <f t="shared" si="1"/>
        <v>Bachelor</v>
      </c>
      <c r="K12" t="s">
        <v>45</v>
      </c>
      <c r="L12">
        <v>1</v>
      </c>
      <c r="M12" t="s">
        <v>40</v>
      </c>
      <c r="N12" s="2">
        <v>84</v>
      </c>
      <c r="O12">
        <v>4</v>
      </c>
      <c r="P12">
        <v>1</v>
      </c>
      <c r="Q12" t="s">
        <v>44</v>
      </c>
      <c r="R12">
        <v>2</v>
      </c>
      <c r="S12" t="s">
        <v>42</v>
      </c>
      <c r="T12" s="2">
        <v>2426</v>
      </c>
      <c r="U12" s="2">
        <v>16479</v>
      </c>
      <c r="V12">
        <v>0</v>
      </c>
      <c r="W12" t="s">
        <v>38</v>
      </c>
      <c r="X12">
        <v>13</v>
      </c>
      <c r="Y12">
        <v>3</v>
      </c>
      <c r="Z12">
        <v>3</v>
      </c>
      <c r="AA12">
        <v>80</v>
      </c>
      <c r="AB12">
        <v>1</v>
      </c>
      <c r="AC12">
        <v>6</v>
      </c>
      <c r="AD12">
        <v>5</v>
      </c>
      <c r="AE12">
        <v>3</v>
      </c>
      <c r="AF12">
        <v>5</v>
      </c>
      <c r="AG12">
        <v>4</v>
      </c>
      <c r="AH12">
        <v>0</v>
      </c>
      <c r="AI12">
        <v>3</v>
      </c>
    </row>
    <row r="13" spans="1:35" x14ac:dyDescent="0.25">
      <c r="A13">
        <v>29</v>
      </c>
      <c r="B13" t="str">
        <f t="shared" si="0"/>
        <v>25-34</v>
      </c>
      <c r="C13" s="1" t="s">
        <v>38</v>
      </c>
      <c r="D13" s="17">
        <f>IF(Table1[[#This Row],[Attrition]]="Yes",1,0)</f>
        <v>0</v>
      </c>
      <c r="E13" t="s">
        <v>57</v>
      </c>
      <c r="F13" s="2">
        <v>153</v>
      </c>
      <c r="G13" t="s">
        <v>39</v>
      </c>
      <c r="H13">
        <v>15</v>
      </c>
      <c r="I13">
        <v>2</v>
      </c>
      <c r="J13" t="str">
        <f t="shared" si="1"/>
        <v>College</v>
      </c>
      <c r="K13" t="s">
        <v>34</v>
      </c>
      <c r="L13">
        <v>4</v>
      </c>
      <c r="M13" t="s">
        <v>35</v>
      </c>
      <c r="N13" s="2">
        <v>49</v>
      </c>
      <c r="O13">
        <v>2</v>
      </c>
      <c r="P13">
        <v>2</v>
      </c>
      <c r="Q13" t="s">
        <v>44</v>
      </c>
      <c r="R13">
        <v>3</v>
      </c>
      <c r="S13" t="s">
        <v>37</v>
      </c>
      <c r="T13" s="2">
        <v>4193</v>
      </c>
      <c r="U13" s="2">
        <v>12682</v>
      </c>
      <c r="V13">
        <v>0</v>
      </c>
      <c r="W13" t="s">
        <v>32</v>
      </c>
      <c r="X13">
        <v>12</v>
      </c>
      <c r="Y13">
        <v>3</v>
      </c>
      <c r="Z13">
        <v>4</v>
      </c>
      <c r="AA13">
        <v>80</v>
      </c>
      <c r="AB13">
        <v>0</v>
      </c>
      <c r="AC13">
        <v>10</v>
      </c>
      <c r="AD13">
        <v>3</v>
      </c>
      <c r="AE13">
        <v>3</v>
      </c>
      <c r="AF13">
        <v>9</v>
      </c>
      <c r="AG13">
        <v>5</v>
      </c>
      <c r="AH13">
        <v>0</v>
      </c>
      <c r="AI13">
        <v>8</v>
      </c>
    </row>
    <row r="14" spans="1:35" x14ac:dyDescent="0.25">
      <c r="A14">
        <v>31</v>
      </c>
      <c r="B14" t="str">
        <f t="shared" si="0"/>
        <v>25-34</v>
      </c>
      <c r="C14" s="1" t="s">
        <v>38</v>
      </c>
      <c r="D14" s="17">
        <f>IF(Table1[[#This Row],[Attrition]]="Yes",1,0)</f>
        <v>0</v>
      </c>
      <c r="E14" t="s">
        <v>57</v>
      </c>
      <c r="F14" s="2">
        <v>670</v>
      </c>
      <c r="G14" t="s">
        <v>39</v>
      </c>
      <c r="H14">
        <v>26</v>
      </c>
      <c r="I14">
        <v>1</v>
      </c>
      <c r="J14" t="str">
        <f t="shared" si="1"/>
        <v>Below College</v>
      </c>
      <c r="K14" t="s">
        <v>34</v>
      </c>
      <c r="L14">
        <v>1</v>
      </c>
      <c r="M14" t="s">
        <v>40</v>
      </c>
      <c r="N14" s="2">
        <v>31</v>
      </c>
      <c r="O14">
        <v>3</v>
      </c>
      <c r="P14">
        <v>1</v>
      </c>
      <c r="Q14" t="s">
        <v>41</v>
      </c>
      <c r="R14">
        <v>3</v>
      </c>
      <c r="S14" t="s">
        <v>46</v>
      </c>
      <c r="T14" s="2">
        <v>2911</v>
      </c>
      <c r="U14" s="2">
        <v>15170</v>
      </c>
      <c r="V14">
        <v>1</v>
      </c>
      <c r="W14" t="s">
        <v>38</v>
      </c>
      <c r="X14">
        <v>17</v>
      </c>
      <c r="Y14">
        <v>3</v>
      </c>
      <c r="Z14">
        <v>4</v>
      </c>
      <c r="AA14">
        <v>80</v>
      </c>
      <c r="AB14">
        <v>1</v>
      </c>
      <c r="AC14">
        <v>5</v>
      </c>
      <c r="AD14">
        <v>1</v>
      </c>
      <c r="AE14">
        <v>2</v>
      </c>
      <c r="AF14">
        <v>5</v>
      </c>
      <c r="AG14">
        <v>2</v>
      </c>
      <c r="AH14">
        <v>4</v>
      </c>
      <c r="AI14">
        <v>3</v>
      </c>
    </row>
    <row r="15" spans="1:35" x14ac:dyDescent="0.25">
      <c r="A15">
        <v>34</v>
      </c>
      <c r="B15" t="str">
        <f t="shared" si="0"/>
        <v>25-34</v>
      </c>
      <c r="C15" s="1" t="s">
        <v>38</v>
      </c>
      <c r="D15" s="17">
        <f>IF(Table1[[#This Row],[Attrition]]="Yes",1,0)</f>
        <v>0</v>
      </c>
      <c r="E15" t="s">
        <v>57</v>
      </c>
      <c r="F15" s="2">
        <v>1346</v>
      </c>
      <c r="G15" t="s">
        <v>39</v>
      </c>
      <c r="H15">
        <v>19</v>
      </c>
      <c r="I15">
        <v>2</v>
      </c>
      <c r="J15" t="str">
        <f t="shared" si="1"/>
        <v>College</v>
      </c>
      <c r="K15" t="s">
        <v>45</v>
      </c>
      <c r="L15">
        <v>2</v>
      </c>
      <c r="M15" t="s">
        <v>40</v>
      </c>
      <c r="N15" s="2">
        <v>93</v>
      </c>
      <c r="O15">
        <v>3</v>
      </c>
      <c r="P15">
        <v>1</v>
      </c>
      <c r="Q15" t="s">
        <v>44</v>
      </c>
      <c r="R15">
        <v>4</v>
      </c>
      <c r="S15" t="s">
        <v>46</v>
      </c>
      <c r="T15" s="2">
        <v>2661</v>
      </c>
      <c r="U15" s="2">
        <v>8758</v>
      </c>
      <c r="V15">
        <v>0</v>
      </c>
      <c r="W15" t="s">
        <v>38</v>
      </c>
      <c r="X15">
        <v>11</v>
      </c>
      <c r="Y15">
        <v>3</v>
      </c>
      <c r="Z15">
        <v>3</v>
      </c>
      <c r="AA15">
        <v>80</v>
      </c>
      <c r="AB15">
        <v>1</v>
      </c>
      <c r="AC15">
        <v>3</v>
      </c>
      <c r="AD15">
        <v>2</v>
      </c>
      <c r="AE15">
        <v>3</v>
      </c>
      <c r="AF15">
        <v>2</v>
      </c>
      <c r="AG15">
        <v>2</v>
      </c>
      <c r="AH15">
        <v>1</v>
      </c>
      <c r="AI15">
        <v>2</v>
      </c>
    </row>
    <row r="16" spans="1:35" x14ac:dyDescent="0.25">
      <c r="A16">
        <v>28</v>
      </c>
      <c r="B16" t="str">
        <f t="shared" si="0"/>
        <v>25-34</v>
      </c>
      <c r="C16" s="1" t="s">
        <v>32</v>
      </c>
      <c r="D16" s="17">
        <f>IF(Table1[[#This Row],[Attrition]]="Yes",1,0)</f>
        <v>1</v>
      </c>
      <c r="E16" t="s">
        <v>57</v>
      </c>
      <c r="F16" s="2">
        <v>103</v>
      </c>
      <c r="G16" t="s">
        <v>39</v>
      </c>
      <c r="H16">
        <v>24</v>
      </c>
      <c r="I16">
        <v>3</v>
      </c>
      <c r="J16" t="str">
        <f t="shared" si="1"/>
        <v>Bachelor</v>
      </c>
      <c r="K16" t="s">
        <v>34</v>
      </c>
      <c r="L16">
        <v>3</v>
      </c>
      <c r="M16" t="s">
        <v>40</v>
      </c>
      <c r="N16" s="2">
        <v>50</v>
      </c>
      <c r="O16">
        <v>2</v>
      </c>
      <c r="P16">
        <v>1</v>
      </c>
      <c r="Q16" t="s">
        <v>44</v>
      </c>
      <c r="R16">
        <v>3</v>
      </c>
      <c r="S16" t="s">
        <v>37</v>
      </c>
      <c r="T16" s="2">
        <v>2028</v>
      </c>
      <c r="U16" s="2">
        <v>12947</v>
      </c>
      <c r="V16">
        <v>5</v>
      </c>
      <c r="W16" t="s">
        <v>32</v>
      </c>
      <c r="X16">
        <v>14</v>
      </c>
      <c r="Y16">
        <v>3</v>
      </c>
      <c r="Z16">
        <v>2</v>
      </c>
      <c r="AA16">
        <v>80</v>
      </c>
      <c r="AB16">
        <v>0</v>
      </c>
      <c r="AC16">
        <v>6</v>
      </c>
      <c r="AD16">
        <v>4</v>
      </c>
      <c r="AE16">
        <v>3</v>
      </c>
      <c r="AF16">
        <v>4</v>
      </c>
      <c r="AG16">
        <v>2</v>
      </c>
      <c r="AH16">
        <v>0</v>
      </c>
      <c r="AI16">
        <v>3</v>
      </c>
    </row>
    <row r="17" spans="1:35" x14ac:dyDescent="0.25">
      <c r="A17">
        <v>29</v>
      </c>
      <c r="B17" t="str">
        <f t="shared" si="0"/>
        <v>25-34</v>
      </c>
      <c r="C17" s="1" t="s">
        <v>38</v>
      </c>
      <c r="D17" s="17">
        <f>IF(Table1[[#This Row],[Attrition]]="Yes",1,0)</f>
        <v>0</v>
      </c>
      <c r="E17" t="s">
        <v>57</v>
      </c>
      <c r="F17" s="2">
        <v>1389</v>
      </c>
      <c r="G17" t="s">
        <v>39</v>
      </c>
      <c r="H17">
        <v>21</v>
      </c>
      <c r="I17">
        <v>4</v>
      </c>
      <c r="J17" t="str">
        <f t="shared" si="1"/>
        <v>Master</v>
      </c>
      <c r="K17" t="s">
        <v>34</v>
      </c>
      <c r="L17">
        <v>2</v>
      </c>
      <c r="M17" t="s">
        <v>35</v>
      </c>
      <c r="N17" s="2">
        <v>51</v>
      </c>
      <c r="O17">
        <v>4</v>
      </c>
      <c r="P17">
        <v>3</v>
      </c>
      <c r="Q17" t="s">
        <v>47</v>
      </c>
      <c r="R17">
        <v>1</v>
      </c>
      <c r="S17" t="s">
        <v>46</v>
      </c>
      <c r="T17" s="2">
        <v>9980</v>
      </c>
      <c r="U17" s="2">
        <v>10195</v>
      </c>
      <c r="V17">
        <v>1</v>
      </c>
      <c r="W17" t="s">
        <v>38</v>
      </c>
      <c r="X17">
        <v>11</v>
      </c>
      <c r="Y17">
        <v>3</v>
      </c>
      <c r="Z17">
        <v>3</v>
      </c>
      <c r="AA17">
        <v>80</v>
      </c>
      <c r="AB17">
        <v>1</v>
      </c>
      <c r="AC17">
        <v>10</v>
      </c>
      <c r="AD17">
        <v>1</v>
      </c>
      <c r="AE17">
        <v>3</v>
      </c>
      <c r="AF17">
        <v>10</v>
      </c>
      <c r="AG17">
        <v>9</v>
      </c>
      <c r="AH17">
        <v>8</v>
      </c>
      <c r="AI17">
        <v>8</v>
      </c>
    </row>
    <row r="18" spans="1:35" x14ac:dyDescent="0.25">
      <c r="A18">
        <v>32</v>
      </c>
      <c r="B18" t="str">
        <f t="shared" si="0"/>
        <v>25-34</v>
      </c>
      <c r="C18" s="1" t="s">
        <v>38</v>
      </c>
      <c r="D18" s="17">
        <f>IF(Table1[[#This Row],[Attrition]]="Yes",1,0)</f>
        <v>0</v>
      </c>
      <c r="E18" t="s">
        <v>57</v>
      </c>
      <c r="F18" s="2">
        <v>334</v>
      </c>
      <c r="G18" t="s">
        <v>39</v>
      </c>
      <c r="H18">
        <v>5</v>
      </c>
      <c r="I18">
        <v>2</v>
      </c>
      <c r="J18" t="str">
        <f t="shared" si="1"/>
        <v>College</v>
      </c>
      <c r="K18" t="s">
        <v>34</v>
      </c>
      <c r="L18">
        <v>1</v>
      </c>
      <c r="M18" t="s">
        <v>40</v>
      </c>
      <c r="N18" s="2">
        <v>80</v>
      </c>
      <c r="O18">
        <v>4</v>
      </c>
      <c r="P18">
        <v>1</v>
      </c>
      <c r="Q18" t="s">
        <v>41</v>
      </c>
      <c r="R18">
        <v>2</v>
      </c>
      <c r="S18" t="s">
        <v>46</v>
      </c>
      <c r="T18" s="2">
        <v>3298</v>
      </c>
      <c r="U18" s="2">
        <v>15053</v>
      </c>
      <c r="V18">
        <v>0</v>
      </c>
      <c r="W18" t="s">
        <v>32</v>
      </c>
      <c r="X18">
        <v>12</v>
      </c>
      <c r="Y18">
        <v>3</v>
      </c>
      <c r="Z18">
        <v>4</v>
      </c>
      <c r="AA18">
        <v>80</v>
      </c>
      <c r="AB18">
        <v>2</v>
      </c>
      <c r="AC18">
        <v>7</v>
      </c>
      <c r="AD18">
        <v>5</v>
      </c>
      <c r="AE18">
        <v>2</v>
      </c>
      <c r="AF18">
        <v>6</v>
      </c>
      <c r="AG18">
        <v>2</v>
      </c>
      <c r="AH18">
        <v>0</v>
      </c>
      <c r="AI18">
        <v>5</v>
      </c>
    </row>
    <row r="19" spans="1:35" x14ac:dyDescent="0.25">
      <c r="A19">
        <v>22</v>
      </c>
      <c r="B19" t="str">
        <f t="shared" si="0"/>
        <v>18-24</v>
      </c>
      <c r="C19" s="1" t="s">
        <v>38</v>
      </c>
      <c r="D19" s="17">
        <f>IF(Table1[[#This Row],[Attrition]]="Yes",1,0)</f>
        <v>0</v>
      </c>
      <c r="E19" t="s">
        <v>49</v>
      </c>
      <c r="F19" s="2">
        <v>1123</v>
      </c>
      <c r="G19" t="s">
        <v>39</v>
      </c>
      <c r="H19">
        <v>16</v>
      </c>
      <c r="I19">
        <v>2</v>
      </c>
      <c r="J19" t="str">
        <f t="shared" si="1"/>
        <v>College</v>
      </c>
      <c r="K19" t="s">
        <v>45</v>
      </c>
      <c r="L19">
        <v>4</v>
      </c>
      <c r="M19" t="s">
        <v>40</v>
      </c>
      <c r="N19" s="2">
        <v>96</v>
      </c>
      <c r="O19">
        <v>4</v>
      </c>
      <c r="P19">
        <v>1</v>
      </c>
      <c r="Q19" t="s">
        <v>44</v>
      </c>
      <c r="R19">
        <v>4</v>
      </c>
      <c r="S19" t="s">
        <v>46</v>
      </c>
      <c r="T19" s="2">
        <v>2935</v>
      </c>
      <c r="U19" s="2">
        <v>7324</v>
      </c>
      <c r="V19">
        <v>1</v>
      </c>
      <c r="W19" t="s">
        <v>32</v>
      </c>
      <c r="X19">
        <v>13</v>
      </c>
      <c r="Y19">
        <v>3</v>
      </c>
      <c r="Z19">
        <v>2</v>
      </c>
      <c r="AA19">
        <v>80</v>
      </c>
      <c r="AB19">
        <v>2</v>
      </c>
      <c r="AC19">
        <v>1</v>
      </c>
      <c r="AD19">
        <v>2</v>
      </c>
      <c r="AE19">
        <v>2</v>
      </c>
      <c r="AF19">
        <v>1</v>
      </c>
      <c r="AG19">
        <v>0</v>
      </c>
      <c r="AH19">
        <v>0</v>
      </c>
      <c r="AI19">
        <v>0</v>
      </c>
    </row>
    <row r="20" spans="1:35" x14ac:dyDescent="0.25">
      <c r="A20">
        <v>53</v>
      </c>
      <c r="B20" t="str">
        <f t="shared" si="0"/>
        <v>45-54</v>
      </c>
      <c r="C20" s="1" t="s">
        <v>38</v>
      </c>
      <c r="D20" s="17">
        <f>IF(Table1[[#This Row],[Attrition]]="Yes",1,0)</f>
        <v>0</v>
      </c>
      <c r="E20" t="s">
        <v>57</v>
      </c>
      <c r="F20" s="2">
        <v>1219</v>
      </c>
      <c r="G20" t="s">
        <v>33</v>
      </c>
      <c r="H20">
        <v>2</v>
      </c>
      <c r="I20">
        <v>4</v>
      </c>
      <c r="J20" t="str">
        <f t="shared" si="1"/>
        <v>Master</v>
      </c>
      <c r="K20" t="s">
        <v>34</v>
      </c>
      <c r="L20">
        <v>1</v>
      </c>
      <c r="M20" t="s">
        <v>35</v>
      </c>
      <c r="N20" s="2">
        <v>78</v>
      </c>
      <c r="O20">
        <v>2</v>
      </c>
      <c r="P20">
        <v>4</v>
      </c>
      <c r="Q20" t="s">
        <v>50</v>
      </c>
      <c r="R20">
        <v>4</v>
      </c>
      <c r="S20" t="s">
        <v>42</v>
      </c>
      <c r="T20" s="2">
        <v>15427</v>
      </c>
      <c r="U20" s="2">
        <v>22021</v>
      </c>
      <c r="V20">
        <v>2</v>
      </c>
      <c r="W20" t="s">
        <v>38</v>
      </c>
      <c r="X20">
        <v>16</v>
      </c>
      <c r="Y20">
        <v>3</v>
      </c>
      <c r="Z20">
        <v>3</v>
      </c>
      <c r="AA20">
        <v>80</v>
      </c>
      <c r="AB20">
        <v>0</v>
      </c>
      <c r="AC20">
        <v>31</v>
      </c>
      <c r="AD20">
        <v>3</v>
      </c>
      <c r="AE20">
        <v>3</v>
      </c>
      <c r="AF20">
        <v>25</v>
      </c>
      <c r="AG20">
        <v>8</v>
      </c>
      <c r="AH20">
        <v>3</v>
      </c>
      <c r="AI20">
        <v>7</v>
      </c>
    </row>
    <row r="21" spans="1:35" x14ac:dyDescent="0.25">
      <c r="A21">
        <v>38</v>
      </c>
      <c r="B21" t="str">
        <f t="shared" si="0"/>
        <v>35-44</v>
      </c>
      <c r="C21" s="1" t="s">
        <v>38</v>
      </c>
      <c r="D21" s="17">
        <f>IF(Table1[[#This Row],[Attrition]]="Yes",1,0)</f>
        <v>0</v>
      </c>
      <c r="E21" t="s">
        <v>57</v>
      </c>
      <c r="F21" s="2">
        <v>371</v>
      </c>
      <c r="G21" t="s">
        <v>39</v>
      </c>
      <c r="H21">
        <v>2</v>
      </c>
      <c r="I21">
        <v>3</v>
      </c>
      <c r="J21" t="str">
        <f t="shared" si="1"/>
        <v>Bachelor</v>
      </c>
      <c r="K21" t="s">
        <v>34</v>
      </c>
      <c r="L21">
        <v>4</v>
      </c>
      <c r="M21" t="s">
        <v>40</v>
      </c>
      <c r="N21" s="2">
        <v>45</v>
      </c>
      <c r="O21">
        <v>3</v>
      </c>
      <c r="P21">
        <v>1</v>
      </c>
      <c r="Q21" t="s">
        <v>41</v>
      </c>
      <c r="R21">
        <v>4</v>
      </c>
      <c r="S21" t="s">
        <v>37</v>
      </c>
      <c r="T21" s="2">
        <v>3944</v>
      </c>
      <c r="U21" s="2">
        <v>4306</v>
      </c>
      <c r="V21">
        <v>5</v>
      </c>
      <c r="W21" t="s">
        <v>32</v>
      </c>
      <c r="X21">
        <v>11</v>
      </c>
      <c r="Y21">
        <v>3</v>
      </c>
      <c r="Z21">
        <v>3</v>
      </c>
      <c r="AA21">
        <v>80</v>
      </c>
      <c r="AB21">
        <v>0</v>
      </c>
      <c r="AC21">
        <v>6</v>
      </c>
      <c r="AD21">
        <v>3</v>
      </c>
      <c r="AE21">
        <v>3</v>
      </c>
      <c r="AF21">
        <v>3</v>
      </c>
      <c r="AG21">
        <v>2</v>
      </c>
      <c r="AH21">
        <v>1</v>
      </c>
      <c r="AI21">
        <v>2</v>
      </c>
    </row>
    <row r="22" spans="1:35" x14ac:dyDescent="0.25">
      <c r="A22">
        <v>24</v>
      </c>
      <c r="B22" t="str">
        <f t="shared" si="0"/>
        <v>18-24</v>
      </c>
      <c r="C22" s="1" t="s">
        <v>38</v>
      </c>
      <c r="D22" s="17">
        <f>IF(Table1[[#This Row],[Attrition]]="Yes",1,0)</f>
        <v>0</v>
      </c>
      <c r="E22" t="s">
        <v>49</v>
      </c>
      <c r="F22" s="2">
        <v>673</v>
      </c>
      <c r="G22" t="s">
        <v>39</v>
      </c>
      <c r="H22">
        <v>11</v>
      </c>
      <c r="I22">
        <v>2</v>
      </c>
      <c r="J22" t="str">
        <f t="shared" si="1"/>
        <v>College</v>
      </c>
      <c r="K22" t="s">
        <v>43</v>
      </c>
      <c r="L22">
        <v>1</v>
      </c>
      <c r="M22" t="s">
        <v>35</v>
      </c>
      <c r="N22" s="2">
        <v>96</v>
      </c>
      <c r="O22">
        <v>4</v>
      </c>
      <c r="P22">
        <v>2</v>
      </c>
      <c r="Q22" t="s">
        <v>47</v>
      </c>
      <c r="R22">
        <v>3</v>
      </c>
      <c r="S22" t="s">
        <v>46</v>
      </c>
      <c r="T22" s="2">
        <v>4011</v>
      </c>
      <c r="U22" s="2">
        <v>8232</v>
      </c>
      <c r="V22">
        <v>0</v>
      </c>
      <c r="W22" t="s">
        <v>38</v>
      </c>
      <c r="X22">
        <v>18</v>
      </c>
      <c r="Y22">
        <v>3</v>
      </c>
      <c r="Z22">
        <v>4</v>
      </c>
      <c r="AA22">
        <v>80</v>
      </c>
      <c r="AB22">
        <v>1</v>
      </c>
      <c r="AC22">
        <v>5</v>
      </c>
      <c r="AD22">
        <v>5</v>
      </c>
      <c r="AE22">
        <v>2</v>
      </c>
      <c r="AF22">
        <v>4</v>
      </c>
      <c r="AG22">
        <v>2</v>
      </c>
      <c r="AH22">
        <v>1</v>
      </c>
      <c r="AI22">
        <v>3</v>
      </c>
    </row>
    <row r="23" spans="1:35" x14ac:dyDescent="0.25">
      <c r="A23">
        <v>36</v>
      </c>
      <c r="B23" t="str">
        <f t="shared" si="0"/>
        <v>35-44</v>
      </c>
      <c r="C23" s="1" t="s">
        <v>32</v>
      </c>
      <c r="D23" s="17">
        <f>IF(Table1[[#This Row],[Attrition]]="Yes",1,0)</f>
        <v>1</v>
      </c>
      <c r="E23" t="s">
        <v>57</v>
      </c>
      <c r="F23" s="2">
        <v>1218</v>
      </c>
      <c r="G23" t="s">
        <v>33</v>
      </c>
      <c r="H23">
        <v>9</v>
      </c>
      <c r="I23">
        <v>4</v>
      </c>
      <c r="J23" t="str">
        <f t="shared" si="1"/>
        <v>Master</v>
      </c>
      <c r="K23" t="s">
        <v>34</v>
      </c>
      <c r="L23">
        <v>3</v>
      </c>
      <c r="M23" t="s">
        <v>40</v>
      </c>
      <c r="N23" s="2">
        <v>82</v>
      </c>
      <c r="O23">
        <v>2</v>
      </c>
      <c r="P23">
        <v>1</v>
      </c>
      <c r="Q23" t="s">
        <v>51</v>
      </c>
      <c r="R23">
        <v>1</v>
      </c>
      <c r="S23" t="s">
        <v>37</v>
      </c>
      <c r="T23" s="2">
        <v>3407</v>
      </c>
      <c r="U23" s="2">
        <v>6986</v>
      </c>
      <c r="V23">
        <v>7</v>
      </c>
      <c r="W23" t="s">
        <v>38</v>
      </c>
      <c r="X23">
        <v>23</v>
      </c>
      <c r="Y23">
        <v>4</v>
      </c>
      <c r="Z23">
        <v>2</v>
      </c>
      <c r="AA23">
        <v>80</v>
      </c>
      <c r="AB23">
        <v>0</v>
      </c>
      <c r="AC23">
        <v>10</v>
      </c>
      <c r="AD23">
        <v>4</v>
      </c>
      <c r="AE23">
        <v>3</v>
      </c>
      <c r="AF23">
        <v>5</v>
      </c>
      <c r="AG23">
        <v>3</v>
      </c>
      <c r="AH23">
        <v>0</v>
      </c>
      <c r="AI23">
        <v>3</v>
      </c>
    </row>
    <row r="24" spans="1:35" x14ac:dyDescent="0.25">
      <c r="A24">
        <v>34</v>
      </c>
      <c r="B24" t="str">
        <f t="shared" si="0"/>
        <v>25-34</v>
      </c>
      <c r="C24" s="1" t="s">
        <v>38</v>
      </c>
      <c r="D24" s="17">
        <f>IF(Table1[[#This Row],[Attrition]]="Yes",1,0)</f>
        <v>0</v>
      </c>
      <c r="E24" t="s">
        <v>57</v>
      </c>
      <c r="F24" s="2">
        <v>419</v>
      </c>
      <c r="G24" t="s">
        <v>39</v>
      </c>
      <c r="H24">
        <v>7</v>
      </c>
      <c r="I24">
        <v>4</v>
      </c>
      <c r="J24" t="str">
        <f t="shared" si="1"/>
        <v>Master</v>
      </c>
      <c r="K24" t="s">
        <v>34</v>
      </c>
      <c r="L24">
        <v>1</v>
      </c>
      <c r="M24" t="s">
        <v>35</v>
      </c>
      <c r="N24" s="2">
        <v>53</v>
      </c>
      <c r="O24">
        <v>3</v>
      </c>
      <c r="P24">
        <v>3</v>
      </c>
      <c r="Q24" t="s">
        <v>52</v>
      </c>
      <c r="R24">
        <v>2</v>
      </c>
      <c r="S24" t="s">
        <v>37</v>
      </c>
      <c r="T24" s="2">
        <v>11994</v>
      </c>
      <c r="U24" s="2">
        <v>21293</v>
      </c>
      <c r="V24">
        <v>0</v>
      </c>
      <c r="W24" t="s">
        <v>38</v>
      </c>
      <c r="X24">
        <v>11</v>
      </c>
      <c r="Y24">
        <v>3</v>
      </c>
      <c r="Z24">
        <v>3</v>
      </c>
      <c r="AA24">
        <v>80</v>
      </c>
      <c r="AB24">
        <v>0</v>
      </c>
      <c r="AC24">
        <v>13</v>
      </c>
      <c r="AD24">
        <v>4</v>
      </c>
      <c r="AE24">
        <v>3</v>
      </c>
      <c r="AF24">
        <v>12</v>
      </c>
      <c r="AG24">
        <v>6</v>
      </c>
      <c r="AH24">
        <v>2</v>
      </c>
      <c r="AI24">
        <v>11</v>
      </c>
    </row>
    <row r="25" spans="1:35" x14ac:dyDescent="0.25">
      <c r="A25">
        <v>21</v>
      </c>
      <c r="B25" t="str">
        <f t="shared" si="0"/>
        <v>18-24</v>
      </c>
      <c r="C25" s="1" t="s">
        <v>38</v>
      </c>
      <c r="D25" s="17">
        <f>IF(Table1[[#This Row],[Attrition]]="Yes",1,0)</f>
        <v>0</v>
      </c>
      <c r="E25" t="s">
        <v>57</v>
      </c>
      <c r="F25" s="2">
        <v>391</v>
      </c>
      <c r="G25" t="s">
        <v>39</v>
      </c>
      <c r="H25">
        <v>15</v>
      </c>
      <c r="I25">
        <v>2</v>
      </c>
      <c r="J25" t="str">
        <f t="shared" si="1"/>
        <v>College</v>
      </c>
      <c r="K25" t="s">
        <v>34</v>
      </c>
      <c r="L25">
        <v>3</v>
      </c>
      <c r="M25" t="s">
        <v>40</v>
      </c>
      <c r="N25" s="2">
        <v>96</v>
      </c>
      <c r="O25">
        <v>3</v>
      </c>
      <c r="P25">
        <v>1</v>
      </c>
      <c r="Q25" t="s">
        <v>41</v>
      </c>
      <c r="R25">
        <v>4</v>
      </c>
      <c r="S25" t="s">
        <v>37</v>
      </c>
      <c r="T25" s="2">
        <v>1232</v>
      </c>
      <c r="U25" s="2">
        <v>19281</v>
      </c>
      <c r="V25">
        <v>1</v>
      </c>
      <c r="W25" t="s">
        <v>38</v>
      </c>
      <c r="X25">
        <v>14</v>
      </c>
      <c r="Y25">
        <v>3</v>
      </c>
      <c r="Z25">
        <v>4</v>
      </c>
      <c r="AA25">
        <v>80</v>
      </c>
      <c r="AB25">
        <v>0</v>
      </c>
      <c r="AC25">
        <v>0</v>
      </c>
      <c r="AD25">
        <v>6</v>
      </c>
      <c r="AE25">
        <v>3</v>
      </c>
      <c r="AF25">
        <v>0</v>
      </c>
      <c r="AG25">
        <v>0</v>
      </c>
      <c r="AH25">
        <v>0</v>
      </c>
      <c r="AI25">
        <v>0</v>
      </c>
    </row>
    <row r="26" spans="1:35" x14ac:dyDescent="0.25">
      <c r="A26">
        <v>34</v>
      </c>
      <c r="B26" t="str">
        <f t="shared" si="0"/>
        <v>25-34</v>
      </c>
      <c r="C26" s="1" t="s">
        <v>32</v>
      </c>
      <c r="D26" s="17">
        <f>IF(Table1[[#This Row],[Attrition]]="Yes",1,0)</f>
        <v>1</v>
      </c>
      <c r="E26" t="s">
        <v>57</v>
      </c>
      <c r="F26" s="2">
        <v>699</v>
      </c>
      <c r="G26" t="s">
        <v>39</v>
      </c>
      <c r="H26">
        <v>6</v>
      </c>
      <c r="I26">
        <v>1</v>
      </c>
      <c r="J26" t="str">
        <f t="shared" si="1"/>
        <v>Below College</v>
      </c>
      <c r="K26" t="s">
        <v>45</v>
      </c>
      <c r="L26">
        <v>2</v>
      </c>
      <c r="M26" t="s">
        <v>40</v>
      </c>
      <c r="N26" s="2">
        <v>83</v>
      </c>
      <c r="O26">
        <v>3</v>
      </c>
      <c r="P26">
        <v>1</v>
      </c>
      <c r="Q26" t="s">
        <v>41</v>
      </c>
      <c r="R26">
        <v>1</v>
      </c>
      <c r="S26" t="s">
        <v>37</v>
      </c>
      <c r="T26" s="2">
        <v>2960</v>
      </c>
      <c r="U26" s="2">
        <v>17102</v>
      </c>
      <c r="V26">
        <v>2</v>
      </c>
      <c r="W26" t="s">
        <v>38</v>
      </c>
      <c r="X26">
        <v>11</v>
      </c>
      <c r="Y26">
        <v>3</v>
      </c>
      <c r="Z26">
        <v>3</v>
      </c>
      <c r="AA26">
        <v>80</v>
      </c>
      <c r="AB26">
        <v>0</v>
      </c>
      <c r="AC26">
        <v>8</v>
      </c>
      <c r="AD26">
        <v>2</v>
      </c>
      <c r="AE26">
        <v>3</v>
      </c>
      <c r="AF26">
        <v>4</v>
      </c>
      <c r="AG26">
        <v>2</v>
      </c>
      <c r="AH26">
        <v>1</v>
      </c>
      <c r="AI26">
        <v>3</v>
      </c>
    </row>
    <row r="27" spans="1:35" x14ac:dyDescent="0.25">
      <c r="A27">
        <v>53</v>
      </c>
      <c r="B27" t="str">
        <f t="shared" si="0"/>
        <v>45-54</v>
      </c>
      <c r="C27" s="1" t="s">
        <v>38</v>
      </c>
      <c r="D27" s="17">
        <f>IF(Table1[[#This Row],[Attrition]]="Yes",1,0)</f>
        <v>0</v>
      </c>
      <c r="E27" t="s">
        <v>57</v>
      </c>
      <c r="F27" s="2">
        <v>1282</v>
      </c>
      <c r="G27" t="s">
        <v>39</v>
      </c>
      <c r="H27">
        <v>5</v>
      </c>
      <c r="I27">
        <v>3</v>
      </c>
      <c r="J27" t="str">
        <f t="shared" si="1"/>
        <v>Bachelor</v>
      </c>
      <c r="K27" t="s">
        <v>43</v>
      </c>
      <c r="L27">
        <v>3</v>
      </c>
      <c r="M27" t="s">
        <v>35</v>
      </c>
      <c r="N27" s="2">
        <v>58</v>
      </c>
      <c r="O27">
        <v>3</v>
      </c>
      <c r="P27">
        <v>5</v>
      </c>
      <c r="Q27" t="s">
        <v>50</v>
      </c>
      <c r="R27">
        <v>3</v>
      </c>
      <c r="S27" t="s">
        <v>46</v>
      </c>
      <c r="T27" s="2">
        <v>19094</v>
      </c>
      <c r="U27" s="2">
        <v>10735</v>
      </c>
      <c r="V27">
        <v>4</v>
      </c>
      <c r="W27" t="s">
        <v>38</v>
      </c>
      <c r="X27">
        <v>11</v>
      </c>
      <c r="Y27">
        <v>3</v>
      </c>
      <c r="Z27">
        <v>4</v>
      </c>
      <c r="AA27">
        <v>80</v>
      </c>
      <c r="AB27">
        <v>1</v>
      </c>
      <c r="AC27">
        <v>26</v>
      </c>
      <c r="AD27">
        <v>3</v>
      </c>
      <c r="AE27">
        <v>2</v>
      </c>
      <c r="AF27">
        <v>14</v>
      </c>
      <c r="AG27">
        <v>13</v>
      </c>
      <c r="AH27">
        <v>4</v>
      </c>
      <c r="AI27">
        <v>8</v>
      </c>
    </row>
    <row r="28" spans="1:35" x14ac:dyDescent="0.25">
      <c r="A28">
        <v>32</v>
      </c>
      <c r="B28" t="str">
        <f t="shared" si="0"/>
        <v>25-34</v>
      </c>
      <c r="C28" s="1" t="s">
        <v>32</v>
      </c>
      <c r="D28" s="17">
        <f>IF(Table1[[#This Row],[Attrition]]="Yes",1,0)</f>
        <v>1</v>
      </c>
      <c r="E28" t="s">
        <v>58</v>
      </c>
      <c r="F28" s="2">
        <v>1125</v>
      </c>
      <c r="G28" t="s">
        <v>39</v>
      </c>
      <c r="H28">
        <v>16</v>
      </c>
      <c r="I28">
        <v>1</v>
      </c>
      <c r="J28" t="str">
        <f t="shared" si="1"/>
        <v>Below College</v>
      </c>
      <c r="K28" t="s">
        <v>34</v>
      </c>
      <c r="L28">
        <v>2</v>
      </c>
      <c r="M28" t="s">
        <v>35</v>
      </c>
      <c r="N28" s="2">
        <v>72</v>
      </c>
      <c r="O28">
        <v>1</v>
      </c>
      <c r="P28">
        <v>1</v>
      </c>
      <c r="Q28" t="s">
        <v>41</v>
      </c>
      <c r="R28">
        <v>1</v>
      </c>
      <c r="S28" t="s">
        <v>37</v>
      </c>
      <c r="T28" s="2">
        <v>3919</v>
      </c>
      <c r="U28" s="2">
        <v>4681</v>
      </c>
      <c r="V28">
        <v>1</v>
      </c>
      <c r="W28" t="s">
        <v>32</v>
      </c>
      <c r="X28">
        <v>22</v>
      </c>
      <c r="Y28">
        <v>4</v>
      </c>
      <c r="Z28">
        <v>2</v>
      </c>
      <c r="AA28">
        <v>80</v>
      </c>
      <c r="AB28">
        <v>0</v>
      </c>
      <c r="AC28">
        <v>10</v>
      </c>
      <c r="AD28">
        <v>5</v>
      </c>
      <c r="AE28">
        <v>3</v>
      </c>
      <c r="AF28">
        <v>10</v>
      </c>
      <c r="AG28">
        <v>2</v>
      </c>
      <c r="AH28">
        <v>6</v>
      </c>
      <c r="AI28">
        <v>7</v>
      </c>
    </row>
    <row r="29" spans="1:35" x14ac:dyDescent="0.25">
      <c r="A29">
        <v>42</v>
      </c>
      <c r="B29" t="str">
        <f t="shared" si="0"/>
        <v>35-44</v>
      </c>
      <c r="C29" s="1" t="s">
        <v>38</v>
      </c>
      <c r="D29" s="17">
        <f>IF(Table1[[#This Row],[Attrition]]="Yes",1,0)</f>
        <v>0</v>
      </c>
      <c r="E29" t="s">
        <v>57</v>
      </c>
      <c r="F29" s="2">
        <v>691</v>
      </c>
      <c r="G29" t="s">
        <v>33</v>
      </c>
      <c r="H29">
        <v>8</v>
      </c>
      <c r="I29">
        <v>4</v>
      </c>
      <c r="J29" t="str">
        <f t="shared" si="1"/>
        <v>Master</v>
      </c>
      <c r="K29" t="s">
        <v>53</v>
      </c>
      <c r="L29">
        <v>3</v>
      </c>
      <c r="M29" t="s">
        <v>40</v>
      </c>
      <c r="N29" s="2">
        <v>48</v>
      </c>
      <c r="O29">
        <v>3</v>
      </c>
      <c r="P29">
        <v>2</v>
      </c>
      <c r="Q29" t="s">
        <v>36</v>
      </c>
      <c r="R29">
        <v>2</v>
      </c>
      <c r="S29" t="s">
        <v>42</v>
      </c>
      <c r="T29" s="2">
        <v>6825</v>
      </c>
      <c r="U29" s="2">
        <v>21173</v>
      </c>
      <c r="V29">
        <v>0</v>
      </c>
      <c r="W29" t="s">
        <v>38</v>
      </c>
      <c r="X29">
        <v>11</v>
      </c>
      <c r="Y29">
        <v>3</v>
      </c>
      <c r="Z29">
        <v>4</v>
      </c>
      <c r="AA29">
        <v>80</v>
      </c>
      <c r="AB29">
        <v>1</v>
      </c>
      <c r="AC29">
        <v>10</v>
      </c>
      <c r="AD29">
        <v>2</v>
      </c>
      <c r="AE29">
        <v>3</v>
      </c>
      <c r="AF29">
        <v>9</v>
      </c>
      <c r="AG29">
        <v>7</v>
      </c>
      <c r="AH29">
        <v>4</v>
      </c>
      <c r="AI29">
        <v>2</v>
      </c>
    </row>
    <row r="30" spans="1:35" x14ac:dyDescent="0.25">
      <c r="A30">
        <v>44</v>
      </c>
      <c r="B30" t="str">
        <f t="shared" si="0"/>
        <v>35-44</v>
      </c>
      <c r="C30" s="1" t="s">
        <v>38</v>
      </c>
      <c r="D30" s="17">
        <f>IF(Table1[[#This Row],[Attrition]]="Yes",1,0)</f>
        <v>0</v>
      </c>
      <c r="E30" t="s">
        <v>57</v>
      </c>
      <c r="F30" s="2">
        <v>477</v>
      </c>
      <c r="G30" t="s">
        <v>39</v>
      </c>
      <c r="H30">
        <v>7</v>
      </c>
      <c r="I30">
        <v>4</v>
      </c>
      <c r="J30" t="str">
        <f t="shared" si="1"/>
        <v>Master</v>
      </c>
      <c r="K30" t="s">
        <v>45</v>
      </c>
      <c r="L30">
        <v>1</v>
      </c>
      <c r="M30" t="s">
        <v>35</v>
      </c>
      <c r="N30" s="2">
        <v>42</v>
      </c>
      <c r="O30">
        <v>2</v>
      </c>
      <c r="P30">
        <v>3</v>
      </c>
      <c r="Q30" t="s">
        <v>48</v>
      </c>
      <c r="R30">
        <v>4</v>
      </c>
      <c r="S30" t="s">
        <v>42</v>
      </c>
      <c r="T30" s="2">
        <v>10248</v>
      </c>
      <c r="U30" s="2">
        <v>2094</v>
      </c>
      <c r="V30">
        <v>3</v>
      </c>
      <c r="W30" t="s">
        <v>38</v>
      </c>
      <c r="X30">
        <v>14</v>
      </c>
      <c r="Y30">
        <v>3</v>
      </c>
      <c r="Z30">
        <v>4</v>
      </c>
      <c r="AA30">
        <v>80</v>
      </c>
      <c r="AB30">
        <v>1</v>
      </c>
      <c r="AC30">
        <v>24</v>
      </c>
      <c r="AD30">
        <v>4</v>
      </c>
      <c r="AE30">
        <v>3</v>
      </c>
      <c r="AF30">
        <v>22</v>
      </c>
      <c r="AG30">
        <v>6</v>
      </c>
      <c r="AH30">
        <v>5</v>
      </c>
      <c r="AI30">
        <v>17</v>
      </c>
    </row>
    <row r="31" spans="1:35" x14ac:dyDescent="0.25">
      <c r="A31">
        <v>46</v>
      </c>
      <c r="B31" t="str">
        <f t="shared" si="0"/>
        <v>45-54</v>
      </c>
      <c r="C31" s="1" t="s">
        <v>38</v>
      </c>
      <c r="D31" s="17">
        <f>IF(Table1[[#This Row],[Attrition]]="Yes",1,0)</f>
        <v>0</v>
      </c>
      <c r="E31" t="s">
        <v>57</v>
      </c>
      <c r="F31" s="2">
        <v>705</v>
      </c>
      <c r="G31" t="s">
        <v>33</v>
      </c>
      <c r="H31">
        <v>2</v>
      </c>
      <c r="I31">
        <v>4</v>
      </c>
      <c r="J31" t="str">
        <f t="shared" si="1"/>
        <v>Master</v>
      </c>
      <c r="K31" t="s">
        <v>53</v>
      </c>
      <c r="L31">
        <v>2</v>
      </c>
      <c r="M31" t="s">
        <v>35</v>
      </c>
      <c r="N31" s="2">
        <v>83</v>
      </c>
      <c r="O31">
        <v>3</v>
      </c>
      <c r="P31">
        <v>5</v>
      </c>
      <c r="Q31" t="s">
        <v>50</v>
      </c>
      <c r="R31">
        <v>1</v>
      </c>
      <c r="S31" t="s">
        <v>37</v>
      </c>
      <c r="T31" s="2">
        <v>18947</v>
      </c>
      <c r="U31" s="2">
        <v>22822</v>
      </c>
      <c r="V31">
        <v>3</v>
      </c>
      <c r="W31" t="s">
        <v>38</v>
      </c>
      <c r="X31">
        <v>12</v>
      </c>
      <c r="Y31">
        <v>3</v>
      </c>
      <c r="Z31">
        <v>4</v>
      </c>
      <c r="AA31">
        <v>80</v>
      </c>
      <c r="AB31">
        <v>0</v>
      </c>
      <c r="AC31">
        <v>22</v>
      </c>
      <c r="AD31">
        <v>2</v>
      </c>
      <c r="AE31">
        <v>2</v>
      </c>
      <c r="AF31">
        <v>2</v>
      </c>
      <c r="AG31">
        <v>2</v>
      </c>
      <c r="AH31">
        <v>2</v>
      </c>
      <c r="AI31">
        <v>1</v>
      </c>
    </row>
    <row r="32" spans="1:35" x14ac:dyDescent="0.25">
      <c r="A32">
        <v>33</v>
      </c>
      <c r="B32" t="str">
        <f t="shared" si="0"/>
        <v>25-34</v>
      </c>
      <c r="C32" s="1" t="s">
        <v>38</v>
      </c>
      <c r="D32" s="17">
        <f>IF(Table1[[#This Row],[Attrition]]="Yes",1,0)</f>
        <v>0</v>
      </c>
      <c r="E32" t="s">
        <v>57</v>
      </c>
      <c r="F32" s="2">
        <v>924</v>
      </c>
      <c r="G32" t="s">
        <v>39</v>
      </c>
      <c r="H32">
        <v>2</v>
      </c>
      <c r="I32">
        <v>3</v>
      </c>
      <c r="J32" t="str">
        <f t="shared" si="1"/>
        <v>Bachelor</v>
      </c>
      <c r="K32" t="s">
        <v>45</v>
      </c>
      <c r="L32">
        <v>3</v>
      </c>
      <c r="M32" t="s">
        <v>40</v>
      </c>
      <c r="N32" s="2">
        <v>78</v>
      </c>
      <c r="O32">
        <v>3</v>
      </c>
      <c r="P32">
        <v>1</v>
      </c>
      <c r="Q32" t="s">
        <v>44</v>
      </c>
      <c r="R32">
        <v>4</v>
      </c>
      <c r="S32" t="s">
        <v>37</v>
      </c>
      <c r="T32" s="2">
        <v>2496</v>
      </c>
      <c r="U32" s="2">
        <v>6670</v>
      </c>
      <c r="V32">
        <v>4</v>
      </c>
      <c r="W32" t="s">
        <v>38</v>
      </c>
      <c r="X32">
        <v>11</v>
      </c>
      <c r="Y32">
        <v>3</v>
      </c>
      <c r="Z32">
        <v>4</v>
      </c>
      <c r="AA32">
        <v>80</v>
      </c>
      <c r="AB32">
        <v>0</v>
      </c>
      <c r="AC32">
        <v>7</v>
      </c>
      <c r="AD32">
        <v>3</v>
      </c>
      <c r="AE32">
        <v>3</v>
      </c>
      <c r="AF32">
        <v>1</v>
      </c>
      <c r="AG32">
        <v>1</v>
      </c>
      <c r="AH32">
        <v>0</v>
      </c>
      <c r="AI32">
        <v>0</v>
      </c>
    </row>
    <row r="33" spans="1:35" x14ac:dyDescent="0.25">
      <c r="A33">
        <v>44</v>
      </c>
      <c r="B33" t="str">
        <f t="shared" si="0"/>
        <v>35-44</v>
      </c>
      <c r="C33" s="1" t="s">
        <v>38</v>
      </c>
      <c r="D33" s="17">
        <f>IF(Table1[[#This Row],[Attrition]]="Yes",1,0)</f>
        <v>0</v>
      </c>
      <c r="E33" t="s">
        <v>57</v>
      </c>
      <c r="F33" s="2">
        <v>1459</v>
      </c>
      <c r="G33" t="s">
        <v>39</v>
      </c>
      <c r="H33">
        <v>10</v>
      </c>
      <c r="I33">
        <v>4</v>
      </c>
      <c r="J33" t="str">
        <f t="shared" si="1"/>
        <v>Master</v>
      </c>
      <c r="K33" t="s">
        <v>43</v>
      </c>
      <c r="L33">
        <v>4</v>
      </c>
      <c r="M33" t="s">
        <v>40</v>
      </c>
      <c r="N33" s="2">
        <v>41</v>
      </c>
      <c r="O33">
        <v>3</v>
      </c>
      <c r="P33">
        <v>2</v>
      </c>
      <c r="Q33" t="s">
        <v>48</v>
      </c>
      <c r="R33">
        <v>4</v>
      </c>
      <c r="S33" t="s">
        <v>42</v>
      </c>
      <c r="T33" s="2">
        <v>6465</v>
      </c>
      <c r="U33" s="2">
        <v>19121</v>
      </c>
      <c r="V33">
        <v>2</v>
      </c>
      <c r="W33" t="s">
        <v>32</v>
      </c>
      <c r="X33">
        <v>13</v>
      </c>
      <c r="Y33">
        <v>3</v>
      </c>
      <c r="Z33">
        <v>4</v>
      </c>
      <c r="AA33">
        <v>80</v>
      </c>
      <c r="AB33">
        <v>0</v>
      </c>
      <c r="AC33">
        <v>9</v>
      </c>
      <c r="AD33">
        <v>5</v>
      </c>
      <c r="AE33">
        <v>4</v>
      </c>
      <c r="AF33">
        <v>4</v>
      </c>
      <c r="AG33">
        <v>2</v>
      </c>
      <c r="AH33">
        <v>1</v>
      </c>
      <c r="AI33">
        <v>3</v>
      </c>
    </row>
    <row r="34" spans="1:35" x14ac:dyDescent="0.25">
      <c r="A34">
        <v>30</v>
      </c>
      <c r="B34" t="str">
        <f t="shared" si="0"/>
        <v>25-34</v>
      </c>
      <c r="C34" s="1" t="s">
        <v>38</v>
      </c>
      <c r="D34" s="17">
        <f>IF(Table1[[#This Row],[Attrition]]="Yes",1,0)</f>
        <v>0</v>
      </c>
      <c r="E34" t="s">
        <v>57</v>
      </c>
      <c r="F34" s="2">
        <v>125</v>
      </c>
      <c r="G34" t="s">
        <v>39</v>
      </c>
      <c r="H34">
        <v>9</v>
      </c>
      <c r="I34">
        <v>2</v>
      </c>
      <c r="J34" t="str">
        <f t="shared" si="1"/>
        <v>College</v>
      </c>
      <c r="K34" t="s">
        <v>45</v>
      </c>
      <c r="L34">
        <v>4</v>
      </c>
      <c r="M34" t="s">
        <v>40</v>
      </c>
      <c r="N34" s="2">
        <v>83</v>
      </c>
      <c r="O34">
        <v>2</v>
      </c>
      <c r="P34">
        <v>1</v>
      </c>
      <c r="Q34" t="s">
        <v>44</v>
      </c>
      <c r="R34">
        <v>3</v>
      </c>
      <c r="S34" t="s">
        <v>37</v>
      </c>
      <c r="T34" s="2">
        <v>2206</v>
      </c>
      <c r="U34" s="2">
        <v>16117</v>
      </c>
      <c r="V34">
        <v>1</v>
      </c>
      <c r="W34" t="s">
        <v>38</v>
      </c>
      <c r="X34">
        <v>13</v>
      </c>
      <c r="Y34">
        <v>3</v>
      </c>
      <c r="Z34">
        <v>1</v>
      </c>
      <c r="AA34">
        <v>80</v>
      </c>
      <c r="AB34">
        <v>0</v>
      </c>
      <c r="AC34">
        <v>10</v>
      </c>
      <c r="AD34">
        <v>5</v>
      </c>
      <c r="AE34">
        <v>3</v>
      </c>
      <c r="AF34">
        <v>10</v>
      </c>
      <c r="AG34">
        <v>0</v>
      </c>
      <c r="AH34">
        <v>1</v>
      </c>
      <c r="AI34">
        <v>8</v>
      </c>
    </row>
    <row r="35" spans="1:35" x14ac:dyDescent="0.25">
      <c r="A35">
        <v>39</v>
      </c>
      <c r="B35" t="str">
        <f t="shared" si="0"/>
        <v>35-44</v>
      </c>
      <c r="C35" s="1" t="s">
        <v>32</v>
      </c>
      <c r="D35" s="17">
        <f>IF(Table1[[#This Row],[Attrition]]="Yes",1,0)</f>
        <v>1</v>
      </c>
      <c r="E35" t="s">
        <v>57</v>
      </c>
      <c r="F35" s="2">
        <v>895</v>
      </c>
      <c r="G35" t="s">
        <v>33</v>
      </c>
      <c r="H35">
        <v>5</v>
      </c>
      <c r="I35">
        <v>3</v>
      </c>
      <c r="J35" t="str">
        <f t="shared" si="1"/>
        <v>Bachelor</v>
      </c>
      <c r="K35" t="s">
        <v>54</v>
      </c>
      <c r="L35">
        <v>4</v>
      </c>
      <c r="M35" t="s">
        <v>40</v>
      </c>
      <c r="N35" s="2">
        <v>56</v>
      </c>
      <c r="O35">
        <v>3</v>
      </c>
      <c r="P35">
        <v>2</v>
      </c>
      <c r="Q35" t="s">
        <v>51</v>
      </c>
      <c r="R35">
        <v>4</v>
      </c>
      <c r="S35" t="s">
        <v>42</v>
      </c>
      <c r="T35" s="2">
        <v>2086</v>
      </c>
      <c r="U35" s="2">
        <v>3335</v>
      </c>
      <c r="V35">
        <v>3</v>
      </c>
      <c r="W35" t="s">
        <v>38</v>
      </c>
      <c r="X35">
        <v>14</v>
      </c>
      <c r="Y35">
        <v>3</v>
      </c>
      <c r="Z35">
        <v>3</v>
      </c>
      <c r="AA35">
        <v>80</v>
      </c>
      <c r="AB35">
        <v>1</v>
      </c>
      <c r="AC35">
        <v>19</v>
      </c>
      <c r="AD35">
        <v>6</v>
      </c>
      <c r="AE35">
        <v>4</v>
      </c>
      <c r="AF35">
        <v>1</v>
      </c>
      <c r="AG35">
        <v>0</v>
      </c>
      <c r="AH35">
        <v>0</v>
      </c>
      <c r="AI35">
        <v>0</v>
      </c>
    </row>
    <row r="36" spans="1:35" x14ac:dyDescent="0.25">
      <c r="A36">
        <v>24</v>
      </c>
      <c r="B36" t="str">
        <f t="shared" si="0"/>
        <v>18-24</v>
      </c>
      <c r="C36" s="1" t="s">
        <v>32</v>
      </c>
      <c r="D36" s="17">
        <f>IF(Table1[[#This Row],[Attrition]]="Yes",1,0)</f>
        <v>1</v>
      </c>
      <c r="E36" t="s">
        <v>57</v>
      </c>
      <c r="F36" s="2">
        <v>813</v>
      </c>
      <c r="G36" t="s">
        <v>39</v>
      </c>
      <c r="H36">
        <v>1</v>
      </c>
      <c r="I36">
        <v>3</v>
      </c>
      <c r="J36" t="str">
        <f t="shared" si="1"/>
        <v>Bachelor</v>
      </c>
      <c r="K36" t="s">
        <v>45</v>
      </c>
      <c r="L36">
        <v>2</v>
      </c>
      <c r="M36" t="s">
        <v>40</v>
      </c>
      <c r="N36" s="2">
        <v>61</v>
      </c>
      <c r="O36">
        <v>3</v>
      </c>
      <c r="P36">
        <v>1</v>
      </c>
      <c r="Q36" t="s">
        <v>41</v>
      </c>
      <c r="R36">
        <v>4</v>
      </c>
      <c r="S36" t="s">
        <v>42</v>
      </c>
      <c r="T36" s="2">
        <v>2293</v>
      </c>
      <c r="U36" s="2">
        <v>3020</v>
      </c>
      <c r="V36">
        <v>2</v>
      </c>
      <c r="W36" t="s">
        <v>32</v>
      </c>
      <c r="X36">
        <v>16</v>
      </c>
      <c r="Y36">
        <v>3</v>
      </c>
      <c r="Z36">
        <v>1</v>
      </c>
      <c r="AA36">
        <v>80</v>
      </c>
      <c r="AB36">
        <v>1</v>
      </c>
      <c r="AC36">
        <v>6</v>
      </c>
      <c r="AD36">
        <v>2</v>
      </c>
      <c r="AE36">
        <v>2</v>
      </c>
      <c r="AF36">
        <v>2</v>
      </c>
      <c r="AG36">
        <v>0</v>
      </c>
      <c r="AH36">
        <v>2</v>
      </c>
      <c r="AI36">
        <v>0</v>
      </c>
    </row>
    <row r="37" spans="1:35" x14ac:dyDescent="0.25">
      <c r="A37">
        <v>43</v>
      </c>
      <c r="B37" t="str">
        <f t="shared" si="0"/>
        <v>35-44</v>
      </c>
      <c r="C37" s="1" t="s">
        <v>38</v>
      </c>
      <c r="D37" s="17">
        <f>IF(Table1[[#This Row],[Attrition]]="Yes",1,0)</f>
        <v>0</v>
      </c>
      <c r="E37" t="s">
        <v>57</v>
      </c>
      <c r="F37" s="2">
        <v>1273</v>
      </c>
      <c r="G37" t="s">
        <v>39</v>
      </c>
      <c r="H37">
        <v>2</v>
      </c>
      <c r="I37">
        <v>2</v>
      </c>
      <c r="J37" t="str">
        <f t="shared" si="1"/>
        <v>College</v>
      </c>
      <c r="K37" t="s">
        <v>45</v>
      </c>
      <c r="L37">
        <v>4</v>
      </c>
      <c r="M37" t="s">
        <v>35</v>
      </c>
      <c r="N37" s="2">
        <v>72</v>
      </c>
      <c r="O37">
        <v>4</v>
      </c>
      <c r="P37">
        <v>1</v>
      </c>
      <c r="Q37" t="s">
        <v>41</v>
      </c>
      <c r="R37">
        <v>3</v>
      </c>
      <c r="S37" t="s">
        <v>46</v>
      </c>
      <c r="T37" s="2">
        <v>2645</v>
      </c>
      <c r="U37" s="2">
        <v>21923</v>
      </c>
      <c r="V37">
        <v>1</v>
      </c>
      <c r="W37" t="s">
        <v>38</v>
      </c>
      <c r="X37">
        <v>12</v>
      </c>
      <c r="Y37">
        <v>3</v>
      </c>
      <c r="Z37">
        <v>4</v>
      </c>
      <c r="AA37">
        <v>80</v>
      </c>
      <c r="AB37">
        <v>2</v>
      </c>
      <c r="AC37">
        <v>6</v>
      </c>
      <c r="AD37">
        <v>3</v>
      </c>
      <c r="AE37">
        <v>2</v>
      </c>
      <c r="AF37">
        <v>5</v>
      </c>
      <c r="AG37">
        <v>3</v>
      </c>
      <c r="AH37">
        <v>1</v>
      </c>
      <c r="AI37">
        <v>4</v>
      </c>
    </row>
    <row r="38" spans="1:35" x14ac:dyDescent="0.25">
      <c r="A38">
        <v>50</v>
      </c>
      <c r="B38" t="str">
        <f t="shared" si="0"/>
        <v>45-54</v>
      </c>
      <c r="C38" s="1" t="s">
        <v>32</v>
      </c>
      <c r="D38" s="17">
        <f>IF(Table1[[#This Row],[Attrition]]="Yes",1,0)</f>
        <v>1</v>
      </c>
      <c r="E38" t="s">
        <v>57</v>
      </c>
      <c r="F38" s="2">
        <v>869</v>
      </c>
      <c r="G38" t="s">
        <v>33</v>
      </c>
      <c r="H38">
        <v>3</v>
      </c>
      <c r="I38">
        <v>2</v>
      </c>
      <c r="J38" t="str">
        <f t="shared" si="1"/>
        <v>College</v>
      </c>
      <c r="K38" t="s">
        <v>53</v>
      </c>
      <c r="L38">
        <v>1</v>
      </c>
      <c r="M38" t="s">
        <v>40</v>
      </c>
      <c r="N38" s="2">
        <v>86</v>
      </c>
      <c r="O38">
        <v>2</v>
      </c>
      <c r="P38">
        <v>1</v>
      </c>
      <c r="Q38" t="s">
        <v>51</v>
      </c>
      <c r="R38">
        <v>3</v>
      </c>
      <c r="S38" t="s">
        <v>42</v>
      </c>
      <c r="T38" s="2">
        <v>2683</v>
      </c>
      <c r="U38" s="2">
        <v>3810</v>
      </c>
      <c r="V38">
        <v>1</v>
      </c>
      <c r="W38" t="s">
        <v>32</v>
      </c>
      <c r="X38">
        <v>14</v>
      </c>
      <c r="Y38">
        <v>3</v>
      </c>
      <c r="Z38">
        <v>3</v>
      </c>
      <c r="AA38">
        <v>80</v>
      </c>
      <c r="AB38">
        <v>0</v>
      </c>
      <c r="AC38">
        <v>3</v>
      </c>
      <c r="AD38">
        <v>2</v>
      </c>
      <c r="AE38">
        <v>3</v>
      </c>
      <c r="AF38">
        <v>3</v>
      </c>
      <c r="AG38">
        <v>2</v>
      </c>
      <c r="AH38">
        <v>0</v>
      </c>
      <c r="AI38">
        <v>2</v>
      </c>
    </row>
    <row r="39" spans="1:35" x14ac:dyDescent="0.25">
      <c r="A39">
        <v>35</v>
      </c>
      <c r="B39" t="str">
        <f t="shared" si="0"/>
        <v>35-44</v>
      </c>
      <c r="C39" s="1" t="s">
        <v>38</v>
      </c>
      <c r="D39" s="17">
        <f>IF(Table1[[#This Row],[Attrition]]="Yes",1,0)</f>
        <v>0</v>
      </c>
      <c r="E39" t="s">
        <v>57</v>
      </c>
      <c r="F39" s="2">
        <v>890</v>
      </c>
      <c r="G39" t="s">
        <v>33</v>
      </c>
      <c r="H39">
        <v>2</v>
      </c>
      <c r="I39">
        <v>3</v>
      </c>
      <c r="J39" t="str">
        <f t="shared" si="1"/>
        <v>Bachelor</v>
      </c>
      <c r="K39" t="s">
        <v>53</v>
      </c>
      <c r="L39">
        <v>4</v>
      </c>
      <c r="M39" t="s">
        <v>35</v>
      </c>
      <c r="N39" s="2">
        <v>97</v>
      </c>
      <c r="O39">
        <v>3</v>
      </c>
      <c r="P39">
        <v>1</v>
      </c>
      <c r="Q39" t="s">
        <v>51</v>
      </c>
      <c r="R39">
        <v>4</v>
      </c>
      <c r="S39" t="s">
        <v>42</v>
      </c>
      <c r="T39" s="2">
        <v>2014</v>
      </c>
      <c r="U39" s="2">
        <v>9687</v>
      </c>
      <c r="V39">
        <v>1</v>
      </c>
      <c r="W39" t="s">
        <v>38</v>
      </c>
      <c r="X39">
        <v>13</v>
      </c>
      <c r="Y39">
        <v>3</v>
      </c>
      <c r="Z39">
        <v>1</v>
      </c>
      <c r="AA39">
        <v>80</v>
      </c>
      <c r="AB39">
        <v>0</v>
      </c>
      <c r="AC39">
        <v>2</v>
      </c>
      <c r="AD39">
        <v>3</v>
      </c>
      <c r="AE39">
        <v>3</v>
      </c>
      <c r="AF39">
        <v>2</v>
      </c>
      <c r="AG39">
        <v>2</v>
      </c>
      <c r="AH39">
        <v>2</v>
      </c>
      <c r="AI39">
        <v>2</v>
      </c>
    </row>
    <row r="40" spans="1:35" x14ac:dyDescent="0.25">
      <c r="A40">
        <v>36</v>
      </c>
      <c r="B40" t="str">
        <f t="shared" si="0"/>
        <v>35-44</v>
      </c>
      <c r="C40" s="1" t="s">
        <v>38</v>
      </c>
      <c r="D40" s="17">
        <f>IF(Table1[[#This Row],[Attrition]]="Yes",1,0)</f>
        <v>0</v>
      </c>
      <c r="E40" t="s">
        <v>57</v>
      </c>
      <c r="F40" s="2">
        <v>852</v>
      </c>
      <c r="G40" t="s">
        <v>39</v>
      </c>
      <c r="H40">
        <v>5</v>
      </c>
      <c r="I40">
        <v>4</v>
      </c>
      <c r="J40" t="str">
        <f t="shared" si="1"/>
        <v>Master</v>
      </c>
      <c r="K40" t="s">
        <v>34</v>
      </c>
      <c r="L40">
        <v>2</v>
      </c>
      <c r="M40" t="s">
        <v>35</v>
      </c>
      <c r="N40" s="2">
        <v>82</v>
      </c>
      <c r="O40">
        <v>2</v>
      </c>
      <c r="P40">
        <v>1</v>
      </c>
      <c r="Q40" t="s">
        <v>41</v>
      </c>
      <c r="R40">
        <v>1</v>
      </c>
      <c r="S40" t="s">
        <v>42</v>
      </c>
      <c r="T40" s="2">
        <v>3419</v>
      </c>
      <c r="U40" s="2">
        <v>13072</v>
      </c>
      <c r="V40">
        <v>9</v>
      </c>
      <c r="W40" t="s">
        <v>32</v>
      </c>
      <c r="X40">
        <v>14</v>
      </c>
      <c r="Y40">
        <v>3</v>
      </c>
      <c r="Z40">
        <v>4</v>
      </c>
      <c r="AA40">
        <v>80</v>
      </c>
      <c r="AB40">
        <v>1</v>
      </c>
      <c r="AC40">
        <v>6</v>
      </c>
      <c r="AD40">
        <v>3</v>
      </c>
      <c r="AE40">
        <v>4</v>
      </c>
      <c r="AF40">
        <v>1</v>
      </c>
      <c r="AG40">
        <v>1</v>
      </c>
      <c r="AH40">
        <v>0</v>
      </c>
      <c r="AI40">
        <v>0</v>
      </c>
    </row>
    <row r="41" spans="1:35" x14ac:dyDescent="0.25">
      <c r="A41">
        <v>33</v>
      </c>
      <c r="B41" t="str">
        <f t="shared" si="0"/>
        <v>25-34</v>
      </c>
      <c r="C41" s="1" t="s">
        <v>38</v>
      </c>
      <c r="D41" s="17">
        <f>IF(Table1[[#This Row],[Attrition]]="Yes",1,0)</f>
        <v>0</v>
      </c>
      <c r="E41" t="s">
        <v>58</v>
      </c>
      <c r="F41" s="2">
        <v>1141</v>
      </c>
      <c r="G41" t="s">
        <v>33</v>
      </c>
      <c r="H41">
        <v>1</v>
      </c>
      <c r="I41">
        <v>3</v>
      </c>
      <c r="J41" t="str">
        <f t="shared" si="1"/>
        <v>Bachelor</v>
      </c>
      <c r="K41" t="s">
        <v>34</v>
      </c>
      <c r="L41">
        <v>3</v>
      </c>
      <c r="M41" t="s">
        <v>35</v>
      </c>
      <c r="N41" s="2">
        <v>42</v>
      </c>
      <c r="O41">
        <v>4</v>
      </c>
      <c r="P41">
        <v>2</v>
      </c>
      <c r="Q41" t="s">
        <v>36</v>
      </c>
      <c r="R41">
        <v>1</v>
      </c>
      <c r="S41" t="s">
        <v>42</v>
      </c>
      <c r="T41" s="2">
        <v>5376</v>
      </c>
      <c r="U41" s="2">
        <v>3193</v>
      </c>
      <c r="V41">
        <v>2</v>
      </c>
      <c r="W41" t="s">
        <v>38</v>
      </c>
      <c r="X41">
        <v>19</v>
      </c>
      <c r="Y41">
        <v>3</v>
      </c>
      <c r="Z41">
        <v>1</v>
      </c>
      <c r="AA41">
        <v>80</v>
      </c>
      <c r="AB41">
        <v>2</v>
      </c>
      <c r="AC41">
        <v>10</v>
      </c>
      <c r="AD41">
        <v>3</v>
      </c>
      <c r="AE41">
        <v>3</v>
      </c>
      <c r="AF41">
        <v>5</v>
      </c>
      <c r="AG41">
        <v>3</v>
      </c>
      <c r="AH41">
        <v>1</v>
      </c>
      <c r="AI41">
        <v>3</v>
      </c>
    </row>
    <row r="42" spans="1:35" x14ac:dyDescent="0.25">
      <c r="A42">
        <v>35</v>
      </c>
      <c r="B42" t="str">
        <f t="shared" si="0"/>
        <v>35-44</v>
      </c>
      <c r="C42" s="1" t="s">
        <v>38</v>
      </c>
      <c r="D42" s="17">
        <f>IF(Table1[[#This Row],[Attrition]]="Yes",1,0)</f>
        <v>0</v>
      </c>
      <c r="E42" t="s">
        <v>57</v>
      </c>
      <c r="F42" s="2">
        <v>464</v>
      </c>
      <c r="G42" t="s">
        <v>39</v>
      </c>
      <c r="H42">
        <v>4</v>
      </c>
      <c r="I42">
        <v>2</v>
      </c>
      <c r="J42" t="str">
        <f t="shared" si="1"/>
        <v>College</v>
      </c>
      <c r="K42" t="s">
        <v>43</v>
      </c>
      <c r="L42">
        <v>3</v>
      </c>
      <c r="M42" t="s">
        <v>40</v>
      </c>
      <c r="N42" s="2">
        <v>75</v>
      </c>
      <c r="O42">
        <v>3</v>
      </c>
      <c r="P42">
        <v>1</v>
      </c>
      <c r="Q42" t="s">
        <v>44</v>
      </c>
      <c r="R42">
        <v>4</v>
      </c>
      <c r="S42" t="s">
        <v>46</v>
      </c>
      <c r="T42" s="2">
        <v>1951</v>
      </c>
      <c r="U42" s="2">
        <v>10910</v>
      </c>
      <c r="V42">
        <v>1</v>
      </c>
      <c r="W42" t="s">
        <v>38</v>
      </c>
      <c r="X42">
        <v>12</v>
      </c>
      <c r="Y42">
        <v>3</v>
      </c>
      <c r="Z42">
        <v>3</v>
      </c>
      <c r="AA42">
        <v>80</v>
      </c>
      <c r="AB42">
        <v>1</v>
      </c>
      <c r="AC42">
        <v>1</v>
      </c>
      <c r="AD42">
        <v>3</v>
      </c>
      <c r="AE42">
        <v>3</v>
      </c>
      <c r="AF42">
        <v>1</v>
      </c>
      <c r="AG42">
        <v>0</v>
      </c>
      <c r="AH42">
        <v>0</v>
      </c>
      <c r="AI42">
        <v>0</v>
      </c>
    </row>
    <row r="43" spans="1:35" x14ac:dyDescent="0.25">
      <c r="A43">
        <v>27</v>
      </c>
      <c r="B43" t="str">
        <f t="shared" si="0"/>
        <v>25-34</v>
      </c>
      <c r="C43" s="1" t="s">
        <v>38</v>
      </c>
      <c r="D43" s="17">
        <f>IF(Table1[[#This Row],[Attrition]]="Yes",1,0)</f>
        <v>0</v>
      </c>
      <c r="E43" t="s">
        <v>57</v>
      </c>
      <c r="F43" s="2">
        <v>1240</v>
      </c>
      <c r="G43" t="s">
        <v>39</v>
      </c>
      <c r="H43">
        <v>2</v>
      </c>
      <c r="I43">
        <v>4</v>
      </c>
      <c r="J43" t="str">
        <f t="shared" si="1"/>
        <v>Master</v>
      </c>
      <c r="K43" t="s">
        <v>34</v>
      </c>
      <c r="L43">
        <v>4</v>
      </c>
      <c r="M43" t="s">
        <v>35</v>
      </c>
      <c r="N43" s="2">
        <v>33</v>
      </c>
      <c r="O43">
        <v>3</v>
      </c>
      <c r="P43">
        <v>1</v>
      </c>
      <c r="Q43" t="s">
        <v>44</v>
      </c>
      <c r="R43">
        <v>1</v>
      </c>
      <c r="S43" t="s">
        <v>46</v>
      </c>
      <c r="T43" s="2">
        <v>2341</v>
      </c>
      <c r="U43" s="2">
        <v>19715</v>
      </c>
      <c r="V43">
        <v>1</v>
      </c>
      <c r="W43" t="s">
        <v>38</v>
      </c>
      <c r="X43">
        <v>13</v>
      </c>
      <c r="Y43">
        <v>3</v>
      </c>
      <c r="Z43">
        <v>4</v>
      </c>
      <c r="AA43">
        <v>80</v>
      </c>
      <c r="AB43">
        <v>1</v>
      </c>
      <c r="AC43">
        <v>1</v>
      </c>
      <c r="AD43">
        <v>6</v>
      </c>
      <c r="AE43">
        <v>3</v>
      </c>
      <c r="AF43">
        <v>1</v>
      </c>
      <c r="AG43">
        <v>0</v>
      </c>
      <c r="AH43">
        <v>0</v>
      </c>
      <c r="AI43">
        <v>0</v>
      </c>
    </row>
    <row r="44" spans="1:35" x14ac:dyDescent="0.25">
      <c r="A44">
        <v>26</v>
      </c>
      <c r="B44" t="str">
        <f t="shared" si="0"/>
        <v>25-34</v>
      </c>
      <c r="C44" s="1" t="s">
        <v>32</v>
      </c>
      <c r="D44" s="17">
        <f>IF(Table1[[#This Row],[Attrition]]="Yes",1,0)</f>
        <v>1</v>
      </c>
      <c r="E44" t="s">
        <v>57</v>
      </c>
      <c r="F44" s="2">
        <v>1357</v>
      </c>
      <c r="G44" t="s">
        <v>39</v>
      </c>
      <c r="H44">
        <v>25</v>
      </c>
      <c r="I44">
        <v>3</v>
      </c>
      <c r="J44" t="str">
        <f t="shared" si="1"/>
        <v>Bachelor</v>
      </c>
      <c r="K44" t="s">
        <v>34</v>
      </c>
      <c r="L44">
        <v>1</v>
      </c>
      <c r="M44" t="s">
        <v>40</v>
      </c>
      <c r="N44" s="2">
        <v>48</v>
      </c>
      <c r="O44">
        <v>1</v>
      </c>
      <c r="P44">
        <v>1</v>
      </c>
      <c r="Q44" t="s">
        <v>44</v>
      </c>
      <c r="R44">
        <v>3</v>
      </c>
      <c r="S44" t="s">
        <v>37</v>
      </c>
      <c r="T44" s="2">
        <v>2293</v>
      </c>
      <c r="U44" s="2">
        <v>10558</v>
      </c>
      <c r="V44">
        <v>1</v>
      </c>
      <c r="W44" t="s">
        <v>38</v>
      </c>
      <c r="X44">
        <v>12</v>
      </c>
      <c r="Y44">
        <v>3</v>
      </c>
      <c r="Z44">
        <v>3</v>
      </c>
      <c r="AA44">
        <v>80</v>
      </c>
      <c r="AB44">
        <v>0</v>
      </c>
      <c r="AC44">
        <v>1</v>
      </c>
      <c r="AD44">
        <v>2</v>
      </c>
      <c r="AE44">
        <v>2</v>
      </c>
      <c r="AF44">
        <v>1</v>
      </c>
      <c r="AG44">
        <v>0</v>
      </c>
      <c r="AH44">
        <v>0</v>
      </c>
      <c r="AI44">
        <v>1</v>
      </c>
    </row>
    <row r="45" spans="1:35" x14ac:dyDescent="0.25">
      <c r="A45">
        <v>27</v>
      </c>
      <c r="B45" t="str">
        <f t="shared" si="0"/>
        <v>25-34</v>
      </c>
      <c r="C45" s="1" t="s">
        <v>38</v>
      </c>
      <c r="D45" s="17">
        <f>IF(Table1[[#This Row],[Attrition]]="Yes",1,0)</f>
        <v>0</v>
      </c>
      <c r="E45" t="s">
        <v>58</v>
      </c>
      <c r="F45" s="2">
        <v>994</v>
      </c>
      <c r="G45" t="s">
        <v>33</v>
      </c>
      <c r="H45">
        <v>8</v>
      </c>
      <c r="I45">
        <v>3</v>
      </c>
      <c r="J45" t="str">
        <f t="shared" si="1"/>
        <v>Bachelor</v>
      </c>
      <c r="K45" t="s">
        <v>34</v>
      </c>
      <c r="L45">
        <v>4</v>
      </c>
      <c r="M45" t="s">
        <v>40</v>
      </c>
      <c r="N45" s="2">
        <v>37</v>
      </c>
      <c r="O45">
        <v>3</v>
      </c>
      <c r="P45">
        <v>3</v>
      </c>
      <c r="Q45" t="s">
        <v>36</v>
      </c>
      <c r="R45">
        <v>3</v>
      </c>
      <c r="S45" t="s">
        <v>37</v>
      </c>
      <c r="T45" s="2">
        <v>8726</v>
      </c>
      <c r="U45" s="2">
        <v>2975</v>
      </c>
      <c r="V45">
        <v>1</v>
      </c>
      <c r="W45" t="s">
        <v>38</v>
      </c>
      <c r="X45">
        <v>15</v>
      </c>
      <c r="Y45">
        <v>3</v>
      </c>
      <c r="Z45">
        <v>4</v>
      </c>
      <c r="AA45">
        <v>80</v>
      </c>
      <c r="AB45">
        <v>0</v>
      </c>
      <c r="AC45">
        <v>9</v>
      </c>
      <c r="AD45">
        <v>0</v>
      </c>
      <c r="AE45">
        <v>3</v>
      </c>
      <c r="AF45">
        <v>9</v>
      </c>
      <c r="AG45">
        <v>8</v>
      </c>
      <c r="AH45">
        <v>1</v>
      </c>
      <c r="AI45">
        <v>7</v>
      </c>
    </row>
    <row r="46" spans="1:35" x14ac:dyDescent="0.25">
      <c r="A46">
        <v>30</v>
      </c>
      <c r="B46" t="str">
        <f t="shared" si="0"/>
        <v>25-34</v>
      </c>
      <c r="C46" s="1" t="s">
        <v>38</v>
      </c>
      <c r="D46" s="17">
        <f>IF(Table1[[#This Row],[Attrition]]="Yes",1,0)</f>
        <v>0</v>
      </c>
      <c r="E46" t="s">
        <v>58</v>
      </c>
      <c r="F46" s="2">
        <v>721</v>
      </c>
      <c r="G46" t="s">
        <v>39</v>
      </c>
      <c r="H46">
        <v>1</v>
      </c>
      <c r="I46">
        <v>2</v>
      </c>
      <c r="J46" t="str">
        <f t="shared" si="1"/>
        <v>College</v>
      </c>
      <c r="K46" t="s">
        <v>45</v>
      </c>
      <c r="L46">
        <v>3</v>
      </c>
      <c r="M46" t="s">
        <v>35</v>
      </c>
      <c r="N46" s="2">
        <v>58</v>
      </c>
      <c r="O46">
        <v>3</v>
      </c>
      <c r="P46">
        <v>2</v>
      </c>
      <c r="Q46" t="s">
        <v>44</v>
      </c>
      <c r="R46">
        <v>4</v>
      </c>
      <c r="S46" t="s">
        <v>37</v>
      </c>
      <c r="T46" s="2">
        <v>4011</v>
      </c>
      <c r="U46" s="2">
        <v>10781</v>
      </c>
      <c r="V46">
        <v>1</v>
      </c>
      <c r="W46" t="s">
        <v>38</v>
      </c>
      <c r="X46">
        <v>23</v>
      </c>
      <c r="Y46">
        <v>4</v>
      </c>
      <c r="Z46">
        <v>4</v>
      </c>
      <c r="AA46">
        <v>80</v>
      </c>
      <c r="AB46">
        <v>0</v>
      </c>
      <c r="AC46">
        <v>12</v>
      </c>
      <c r="AD46">
        <v>2</v>
      </c>
      <c r="AE46">
        <v>3</v>
      </c>
      <c r="AF46">
        <v>12</v>
      </c>
      <c r="AG46">
        <v>8</v>
      </c>
      <c r="AH46">
        <v>3</v>
      </c>
      <c r="AI46">
        <v>7</v>
      </c>
    </row>
    <row r="47" spans="1:35" x14ac:dyDescent="0.25">
      <c r="A47">
        <v>41</v>
      </c>
      <c r="B47" t="str">
        <f t="shared" si="0"/>
        <v>35-44</v>
      </c>
      <c r="C47" s="1" t="s">
        <v>32</v>
      </c>
      <c r="D47" s="17">
        <f>IF(Table1[[#This Row],[Attrition]]="Yes",1,0)</f>
        <v>1</v>
      </c>
      <c r="E47" t="s">
        <v>57</v>
      </c>
      <c r="F47" s="2">
        <v>1360</v>
      </c>
      <c r="G47" t="s">
        <v>39</v>
      </c>
      <c r="H47">
        <v>12</v>
      </c>
      <c r="I47">
        <v>3</v>
      </c>
      <c r="J47" t="str">
        <f t="shared" si="1"/>
        <v>Bachelor</v>
      </c>
      <c r="K47" t="s">
        <v>54</v>
      </c>
      <c r="L47">
        <v>2</v>
      </c>
      <c r="M47" t="s">
        <v>35</v>
      </c>
      <c r="N47" s="2">
        <v>49</v>
      </c>
      <c r="O47">
        <v>3</v>
      </c>
      <c r="P47">
        <v>5</v>
      </c>
      <c r="Q47" t="s">
        <v>52</v>
      </c>
      <c r="R47">
        <v>3</v>
      </c>
      <c r="S47" t="s">
        <v>42</v>
      </c>
      <c r="T47" s="2">
        <v>19545</v>
      </c>
      <c r="U47" s="2">
        <v>16280</v>
      </c>
      <c r="V47">
        <v>1</v>
      </c>
      <c r="W47" t="s">
        <v>38</v>
      </c>
      <c r="X47">
        <v>12</v>
      </c>
      <c r="Y47">
        <v>3</v>
      </c>
      <c r="Z47">
        <v>4</v>
      </c>
      <c r="AA47">
        <v>80</v>
      </c>
      <c r="AB47">
        <v>0</v>
      </c>
      <c r="AC47">
        <v>23</v>
      </c>
      <c r="AD47">
        <v>0</v>
      </c>
      <c r="AE47">
        <v>3</v>
      </c>
      <c r="AF47">
        <v>22</v>
      </c>
      <c r="AG47">
        <v>15</v>
      </c>
      <c r="AH47">
        <v>15</v>
      </c>
      <c r="AI47">
        <v>8</v>
      </c>
    </row>
    <row r="48" spans="1:35" x14ac:dyDescent="0.25">
      <c r="A48">
        <v>34</v>
      </c>
      <c r="B48" t="str">
        <f t="shared" si="0"/>
        <v>25-34</v>
      </c>
      <c r="C48" s="1" t="s">
        <v>38</v>
      </c>
      <c r="D48" s="17">
        <f>IF(Table1[[#This Row],[Attrition]]="Yes",1,0)</f>
        <v>0</v>
      </c>
      <c r="E48" t="s">
        <v>49</v>
      </c>
      <c r="F48" s="2">
        <v>1065</v>
      </c>
      <c r="G48" t="s">
        <v>33</v>
      </c>
      <c r="H48">
        <v>23</v>
      </c>
      <c r="I48">
        <v>4</v>
      </c>
      <c r="J48" t="str">
        <f t="shared" si="1"/>
        <v>Master</v>
      </c>
      <c r="K48" t="s">
        <v>53</v>
      </c>
      <c r="L48">
        <v>2</v>
      </c>
      <c r="M48" t="s">
        <v>40</v>
      </c>
      <c r="N48" s="2">
        <v>72</v>
      </c>
      <c r="O48">
        <v>3</v>
      </c>
      <c r="P48">
        <v>2</v>
      </c>
      <c r="Q48" t="s">
        <v>36</v>
      </c>
      <c r="R48">
        <v>3</v>
      </c>
      <c r="S48" t="s">
        <v>37</v>
      </c>
      <c r="T48" s="2">
        <v>4568</v>
      </c>
      <c r="U48" s="2">
        <v>10034</v>
      </c>
      <c r="V48">
        <v>0</v>
      </c>
      <c r="W48" t="s">
        <v>38</v>
      </c>
      <c r="X48">
        <v>20</v>
      </c>
      <c r="Y48">
        <v>4</v>
      </c>
      <c r="Z48">
        <v>3</v>
      </c>
      <c r="AA48">
        <v>80</v>
      </c>
      <c r="AB48">
        <v>0</v>
      </c>
      <c r="AC48">
        <v>10</v>
      </c>
      <c r="AD48">
        <v>2</v>
      </c>
      <c r="AE48">
        <v>3</v>
      </c>
      <c r="AF48">
        <v>9</v>
      </c>
      <c r="AG48">
        <v>5</v>
      </c>
      <c r="AH48">
        <v>8</v>
      </c>
      <c r="AI48">
        <v>7</v>
      </c>
    </row>
    <row r="49" spans="1:35" x14ac:dyDescent="0.25">
      <c r="A49">
        <v>37</v>
      </c>
      <c r="B49" t="str">
        <f t="shared" si="0"/>
        <v>35-44</v>
      </c>
      <c r="C49" s="1" t="s">
        <v>38</v>
      </c>
      <c r="D49" s="17">
        <f>IF(Table1[[#This Row],[Attrition]]="Yes",1,0)</f>
        <v>0</v>
      </c>
      <c r="E49" t="s">
        <v>57</v>
      </c>
      <c r="F49" s="2">
        <v>408</v>
      </c>
      <c r="G49" t="s">
        <v>39</v>
      </c>
      <c r="H49">
        <v>19</v>
      </c>
      <c r="I49">
        <v>2</v>
      </c>
      <c r="J49" t="str">
        <f t="shared" si="1"/>
        <v>College</v>
      </c>
      <c r="K49" t="s">
        <v>34</v>
      </c>
      <c r="L49">
        <v>2</v>
      </c>
      <c r="M49" t="s">
        <v>40</v>
      </c>
      <c r="N49" s="2">
        <v>73</v>
      </c>
      <c r="O49">
        <v>3</v>
      </c>
      <c r="P49">
        <v>1</v>
      </c>
      <c r="Q49" t="s">
        <v>41</v>
      </c>
      <c r="R49">
        <v>2</v>
      </c>
      <c r="S49" t="s">
        <v>42</v>
      </c>
      <c r="T49" s="2">
        <v>3022</v>
      </c>
      <c r="U49" s="2">
        <v>10227</v>
      </c>
      <c r="V49">
        <v>4</v>
      </c>
      <c r="W49" t="s">
        <v>38</v>
      </c>
      <c r="X49">
        <v>21</v>
      </c>
      <c r="Y49">
        <v>4</v>
      </c>
      <c r="Z49">
        <v>1</v>
      </c>
      <c r="AA49">
        <v>80</v>
      </c>
      <c r="AB49">
        <v>0</v>
      </c>
      <c r="AC49">
        <v>8</v>
      </c>
      <c r="AD49">
        <v>1</v>
      </c>
      <c r="AE49">
        <v>3</v>
      </c>
      <c r="AF49">
        <v>1</v>
      </c>
      <c r="AG49">
        <v>0</v>
      </c>
      <c r="AH49">
        <v>0</v>
      </c>
      <c r="AI49">
        <v>0</v>
      </c>
    </row>
    <row r="50" spans="1:35" x14ac:dyDescent="0.25">
      <c r="A50">
        <v>46</v>
      </c>
      <c r="B50" t="str">
        <f t="shared" si="0"/>
        <v>45-54</v>
      </c>
      <c r="C50" s="1" t="s">
        <v>38</v>
      </c>
      <c r="D50" s="17">
        <f>IF(Table1[[#This Row],[Attrition]]="Yes",1,0)</f>
        <v>0</v>
      </c>
      <c r="E50" t="s">
        <v>58</v>
      </c>
      <c r="F50" s="2">
        <v>1211</v>
      </c>
      <c r="G50" t="s">
        <v>33</v>
      </c>
      <c r="H50">
        <v>5</v>
      </c>
      <c r="I50">
        <v>4</v>
      </c>
      <c r="J50" t="str">
        <f t="shared" si="1"/>
        <v>Master</v>
      </c>
      <c r="K50" t="s">
        <v>53</v>
      </c>
      <c r="L50">
        <v>1</v>
      </c>
      <c r="M50" t="s">
        <v>40</v>
      </c>
      <c r="N50" s="2">
        <v>98</v>
      </c>
      <c r="O50">
        <v>3</v>
      </c>
      <c r="P50">
        <v>2</v>
      </c>
      <c r="Q50" t="s">
        <v>36</v>
      </c>
      <c r="R50">
        <v>4</v>
      </c>
      <c r="S50" t="s">
        <v>37</v>
      </c>
      <c r="T50" s="2">
        <v>5772</v>
      </c>
      <c r="U50" s="2">
        <v>20445</v>
      </c>
      <c r="V50">
        <v>4</v>
      </c>
      <c r="W50" t="s">
        <v>32</v>
      </c>
      <c r="X50">
        <v>21</v>
      </c>
      <c r="Y50">
        <v>4</v>
      </c>
      <c r="Z50">
        <v>3</v>
      </c>
      <c r="AA50">
        <v>80</v>
      </c>
      <c r="AB50">
        <v>0</v>
      </c>
      <c r="AC50">
        <v>14</v>
      </c>
      <c r="AD50">
        <v>4</v>
      </c>
      <c r="AE50">
        <v>3</v>
      </c>
      <c r="AF50">
        <v>9</v>
      </c>
      <c r="AG50">
        <v>6</v>
      </c>
      <c r="AH50">
        <v>0</v>
      </c>
      <c r="AI50">
        <v>8</v>
      </c>
    </row>
    <row r="51" spans="1:35" x14ac:dyDescent="0.25">
      <c r="A51">
        <v>35</v>
      </c>
      <c r="B51" t="str">
        <f t="shared" si="0"/>
        <v>35-44</v>
      </c>
      <c r="C51" s="1" t="s">
        <v>38</v>
      </c>
      <c r="D51" s="17">
        <f>IF(Table1[[#This Row],[Attrition]]="Yes",1,0)</f>
        <v>0</v>
      </c>
      <c r="E51" t="s">
        <v>57</v>
      </c>
      <c r="F51" s="2">
        <v>1229</v>
      </c>
      <c r="G51" t="s">
        <v>39</v>
      </c>
      <c r="H51">
        <v>8</v>
      </c>
      <c r="I51">
        <v>1</v>
      </c>
      <c r="J51" t="str">
        <f t="shared" si="1"/>
        <v>Below College</v>
      </c>
      <c r="K51" t="s">
        <v>34</v>
      </c>
      <c r="L51">
        <v>4</v>
      </c>
      <c r="M51" t="s">
        <v>40</v>
      </c>
      <c r="N51" s="2">
        <v>36</v>
      </c>
      <c r="O51">
        <v>4</v>
      </c>
      <c r="P51">
        <v>1</v>
      </c>
      <c r="Q51" t="s">
        <v>44</v>
      </c>
      <c r="R51">
        <v>4</v>
      </c>
      <c r="S51" t="s">
        <v>42</v>
      </c>
      <c r="T51" s="2">
        <v>2269</v>
      </c>
      <c r="U51" s="2">
        <v>4892</v>
      </c>
      <c r="V51">
        <v>1</v>
      </c>
      <c r="W51" t="s">
        <v>38</v>
      </c>
      <c r="X51">
        <v>19</v>
      </c>
      <c r="Y51">
        <v>3</v>
      </c>
      <c r="Z51">
        <v>4</v>
      </c>
      <c r="AA51">
        <v>80</v>
      </c>
      <c r="AB51">
        <v>0</v>
      </c>
      <c r="AC51">
        <v>1</v>
      </c>
      <c r="AD51">
        <v>2</v>
      </c>
      <c r="AE51">
        <v>3</v>
      </c>
      <c r="AF51">
        <v>1</v>
      </c>
      <c r="AG51">
        <v>0</v>
      </c>
      <c r="AH51">
        <v>0</v>
      </c>
      <c r="AI51">
        <v>1</v>
      </c>
    </row>
    <row r="52" spans="1:35" x14ac:dyDescent="0.25">
      <c r="A52">
        <v>48</v>
      </c>
      <c r="B52" t="str">
        <f t="shared" si="0"/>
        <v>45-54</v>
      </c>
      <c r="C52" s="1" t="s">
        <v>32</v>
      </c>
      <c r="D52" s="17">
        <f>IF(Table1[[#This Row],[Attrition]]="Yes",1,0)</f>
        <v>1</v>
      </c>
      <c r="E52" t="s">
        <v>57</v>
      </c>
      <c r="F52" s="2">
        <v>626</v>
      </c>
      <c r="G52" t="s">
        <v>39</v>
      </c>
      <c r="H52">
        <v>1</v>
      </c>
      <c r="I52">
        <v>2</v>
      </c>
      <c r="J52" t="str">
        <f t="shared" si="1"/>
        <v>College</v>
      </c>
      <c r="K52" t="s">
        <v>34</v>
      </c>
      <c r="L52">
        <v>1</v>
      </c>
      <c r="M52" t="s">
        <v>40</v>
      </c>
      <c r="N52" s="2">
        <v>98</v>
      </c>
      <c r="O52">
        <v>2</v>
      </c>
      <c r="P52">
        <v>3</v>
      </c>
      <c r="Q52" t="s">
        <v>44</v>
      </c>
      <c r="R52">
        <v>3</v>
      </c>
      <c r="S52" t="s">
        <v>37</v>
      </c>
      <c r="T52" s="2">
        <v>5381</v>
      </c>
      <c r="U52" s="2">
        <v>19294</v>
      </c>
      <c r="V52">
        <v>9</v>
      </c>
      <c r="W52" t="s">
        <v>32</v>
      </c>
      <c r="X52">
        <v>13</v>
      </c>
      <c r="Y52">
        <v>3</v>
      </c>
      <c r="Z52">
        <v>4</v>
      </c>
      <c r="AA52">
        <v>80</v>
      </c>
      <c r="AB52">
        <v>0</v>
      </c>
      <c r="AC52">
        <v>23</v>
      </c>
      <c r="AD52">
        <v>2</v>
      </c>
      <c r="AE52">
        <v>3</v>
      </c>
      <c r="AF52">
        <v>1</v>
      </c>
      <c r="AG52">
        <v>0</v>
      </c>
      <c r="AH52">
        <v>0</v>
      </c>
      <c r="AI52">
        <v>0</v>
      </c>
    </row>
    <row r="53" spans="1:35" x14ac:dyDescent="0.25">
      <c r="A53">
        <v>28</v>
      </c>
      <c r="B53" t="str">
        <f t="shared" si="0"/>
        <v>25-34</v>
      </c>
      <c r="C53" s="1" t="s">
        <v>32</v>
      </c>
      <c r="D53" s="17">
        <f>IF(Table1[[#This Row],[Attrition]]="Yes",1,0)</f>
        <v>1</v>
      </c>
      <c r="E53" t="s">
        <v>57</v>
      </c>
      <c r="F53" s="2">
        <v>1434</v>
      </c>
      <c r="G53" t="s">
        <v>39</v>
      </c>
      <c r="H53">
        <v>5</v>
      </c>
      <c r="I53">
        <v>4</v>
      </c>
      <c r="J53" t="str">
        <f t="shared" si="1"/>
        <v>Master</v>
      </c>
      <c r="K53" t="s">
        <v>54</v>
      </c>
      <c r="L53">
        <v>3</v>
      </c>
      <c r="M53" t="s">
        <v>40</v>
      </c>
      <c r="N53" s="2">
        <v>50</v>
      </c>
      <c r="O53">
        <v>3</v>
      </c>
      <c r="P53">
        <v>1</v>
      </c>
      <c r="Q53" t="s">
        <v>44</v>
      </c>
      <c r="R53">
        <v>3</v>
      </c>
      <c r="S53" t="s">
        <v>37</v>
      </c>
      <c r="T53" s="2">
        <v>3441</v>
      </c>
      <c r="U53" s="2">
        <v>11179</v>
      </c>
      <c r="V53">
        <v>1</v>
      </c>
      <c r="W53" t="s">
        <v>32</v>
      </c>
      <c r="X53">
        <v>13</v>
      </c>
      <c r="Y53">
        <v>3</v>
      </c>
      <c r="Z53">
        <v>3</v>
      </c>
      <c r="AA53">
        <v>80</v>
      </c>
      <c r="AB53">
        <v>0</v>
      </c>
      <c r="AC53">
        <v>2</v>
      </c>
      <c r="AD53">
        <v>3</v>
      </c>
      <c r="AE53">
        <v>2</v>
      </c>
      <c r="AF53">
        <v>2</v>
      </c>
      <c r="AG53">
        <v>2</v>
      </c>
      <c r="AH53">
        <v>2</v>
      </c>
      <c r="AI53">
        <v>2</v>
      </c>
    </row>
    <row r="54" spans="1:35" x14ac:dyDescent="0.25">
      <c r="A54">
        <v>44</v>
      </c>
      <c r="B54" t="str">
        <f t="shared" si="0"/>
        <v>35-44</v>
      </c>
      <c r="C54" s="1" t="s">
        <v>38</v>
      </c>
      <c r="D54" s="17">
        <f>IF(Table1[[#This Row],[Attrition]]="Yes",1,0)</f>
        <v>0</v>
      </c>
      <c r="E54" t="s">
        <v>57</v>
      </c>
      <c r="F54" s="2">
        <v>1488</v>
      </c>
      <c r="G54" t="s">
        <v>33</v>
      </c>
      <c r="H54">
        <v>1</v>
      </c>
      <c r="I54">
        <v>5</v>
      </c>
      <c r="J54" t="str">
        <f t="shared" si="1"/>
        <v>Doctor</v>
      </c>
      <c r="K54" t="s">
        <v>53</v>
      </c>
      <c r="L54">
        <v>2</v>
      </c>
      <c r="M54" t="s">
        <v>35</v>
      </c>
      <c r="N54" s="2">
        <v>75</v>
      </c>
      <c r="O54">
        <v>3</v>
      </c>
      <c r="P54">
        <v>2</v>
      </c>
      <c r="Q54" t="s">
        <v>36</v>
      </c>
      <c r="R54">
        <v>1</v>
      </c>
      <c r="S54" t="s">
        <v>46</v>
      </c>
      <c r="T54" s="2">
        <v>5454</v>
      </c>
      <c r="U54" s="2">
        <v>4009</v>
      </c>
      <c r="V54">
        <v>5</v>
      </c>
      <c r="W54" t="s">
        <v>32</v>
      </c>
      <c r="X54">
        <v>21</v>
      </c>
      <c r="Y54">
        <v>4</v>
      </c>
      <c r="Z54">
        <v>3</v>
      </c>
      <c r="AA54">
        <v>80</v>
      </c>
      <c r="AB54">
        <v>1</v>
      </c>
      <c r="AC54">
        <v>9</v>
      </c>
      <c r="AD54">
        <v>2</v>
      </c>
      <c r="AE54">
        <v>2</v>
      </c>
      <c r="AF54">
        <v>4</v>
      </c>
      <c r="AG54">
        <v>3</v>
      </c>
      <c r="AH54">
        <v>1</v>
      </c>
      <c r="AI54">
        <v>3</v>
      </c>
    </row>
    <row r="55" spans="1:35" x14ac:dyDescent="0.25">
      <c r="A55">
        <v>35</v>
      </c>
      <c r="B55" t="str">
        <f t="shared" si="0"/>
        <v>35-44</v>
      </c>
      <c r="C55" s="1" t="s">
        <v>38</v>
      </c>
      <c r="D55" s="17">
        <f>IF(Table1[[#This Row],[Attrition]]="Yes",1,0)</f>
        <v>0</v>
      </c>
      <c r="E55" t="s">
        <v>49</v>
      </c>
      <c r="F55" s="2">
        <v>1097</v>
      </c>
      <c r="G55" t="s">
        <v>39</v>
      </c>
      <c r="H55">
        <v>11</v>
      </c>
      <c r="I55">
        <v>2</v>
      </c>
      <c r="J55" t="str">
        <f t="shared" si="1"/>
        <v>College</v>
      </c>
      <c r="K55" t="s">
        <v>45</v>
      </c>
      <c r="L55">
        <v>3</v>
      </c>
      <c r="M55" t="s">
        <v>40</v>
      </c>
      <c r="N55" s="2">
        <v>79</v>
      </c>
      <c r="O55">
        <v>2</v>
      </c>
      <c r="P55">
        <v>3</v>
      </c>
      <c r="Q55" t="s">
        <v>48</v>
      </c>
      <c r="R55">
        <v>1</v>
      </c>
      <c r="S55" t="s">
        <v>42</v>
      </c>
      <c r="T55" s="2">
        <v>9884</v>
      </c>
      <c r="U55" s="2">
        <v>8302</v>
      </c>
      <c r="V55">
        <v>2</v>
      </c>
      <c r="W55" t="s">
        <v>32</v>
      </c>
      <c r="X55">
        <v>13</v>
      </c>
      <c r="Y55">
        <v>3</v>
      </c>
      <c r="Z55">
        <v>3</v>
      </c>
      <c r="AA55">
        <v>80</v>
      </c>
      <c r="AB55">
        <v>1</v>
      </c>
      <c r="AC55">
        <v>10</v>
      </c>
      <c r="AD55">
        <v>3</v>
      </c>
      <c r="AE55">
        <v>3</v>
      </c>
      <c r="AF55">
        <v>4</v>
      </c>
      <c r="AG55">
        <v>0</v>
      </c>
      <c r="AH55">
        <v>2</v>
      </c>
      <c r="AI55">
        <v>3</v>
      </c>
    </row>
    <row r="56" spans="1:35" x14ac:dyDescent="0.25">
      <c r="A56">
        <v>26</v>
      </c>
      <c r="B56" t="str">
        <f t="shared" si="0"/>
        <v>25-34</v>
      </c>
      <c r="C56" s="1" t="s">
        <v>38</v>
      </c>
      <c r="D56" s="17">
        <f>IF(Table1[[#This Row],[Attrition]]="Yes",1,0)</f>
        <v>0</v>
      </c>
      <c r="E56" t="s">
        <v>57</v>
      </c>
      <c r="F56" s="2">
        <v>1443</v>
      </c>
      <c r="G56" t="s">
        <v>33</v>
      </c>
      <c r="H56">
        <v>23</v>
      </c>
      <c r="I56">
        <v>3</v>
      </c>
      <c r="J56" t="str">
        <f t="shared" si="1"/>
        <v>Bachelor</v>
      </c>
      <c r="K56" t="s">
        <v>53</v>
      </c>
      <c r="L56">
        <v>3</v>
      </c>
      <c r="M56" t="s">
        <v>35</v>
      </c>
      <c r="N56" s="2">
        <v>47</v>
      </c>
      <c r="O56">
        <v>2</v>
      </c>
      <c r="P56">
        <v>2</v>
      </c>
      <c r="Q56" t="s">
        <v>36</v>
      </c>
      <c r="R56">
        <v>4</v>
      </c>
      <c r="S56" t="s">
        <v>42</v>
      </c>
      <c r="T56" s="2">
        <v>4157</v>
      </c>
      <c r="U56" s="2">
        <v>21436</v>
      </c>
      <c r="V56">
        <v>7</v>
      </c>
      <c r="W56" t="s">
        <v>32</v>
      </c>
      <c r="X56">
        <v>19</v>
      </c>
      <c r="Y56">
        <v>3</v>
      </c>
      <c r="Z56">
        <v>3</v>
      </c>
      <c r="AA56">
        <v>80</v>
      </c>
      <c r="AB56">
        <v>1</v>
      </c>
      <c r="AC56">
        <v>5</v>
      </c>
      <c r="AD56">
        <v>2</v>
      </c>
      <c r="AE56">
        <v>2</v>
      </c>
      <c r="AF56">
        <v>2</v>
      </c>
      <c r="AG56">
        <v>2</v>
      </c>
      <c r="AH56">
        <v>0</v>
      </c>
      <c r="AI56">
        <v>0</v>
      </c>
    </row>
    <row r="57" spans="1:35" x14ac:dyDescent="0.25">
      <c r="A57">
        <v>33</v>
      </c>
      <c r="B57" t="str">
        <f t="shared" si="0"/>
        <v>25-34</v>
      </c>
      <c r="C57" s="1" t="s">
        <v>38</v>
      </c>
      <c r="D57" s="17">
        <f>IF(Table1[[#This Row],[Attrition]]="Yes",1,0)</f>
        <v>0</v>
      </c>
      <c r="E57" t="s">
        <v>58</v>
      </c>
      <c r="F57" s="2">
        <v>515</v>
      </c>
      <c r="G57" t="s">
        <v>39</v>
      </c>
      <c r="H57">
        <v>1</v>
      </c>
      <c r="I57">
        <v>2</v>
      </c>
      <c r="J57" t="str">
        <f t="shared" si="1"/>
        <v>College</v>
      </c>
      <c r="K57" t="s">
        <v>34</v>
      </c>
      <c r="L57">
        <v>1</v>
      </c>
      <c r="M57" t="s">
        <v>35</v>
      </c>
      <c r="N57" s="2">
        <v>98</v>
      </c>
      <c r="O57">
        <v>3</v>
      </c>
      <c r="P57">
        <v>3</v>
      </c>
      <c r="Q57" t="s">
        <v>52</v>
      </c>
      <c r="R57">
        <v>4</v>
      </c>
      <c r="S57" t="s">
        <v>37</v>
      </c>
      <c r="T57" s="2">
        <v>13458</v>
      </c>
      <c r="U57" s="2">
        <v>15146</v>
      </c>
      <c r="V57">
        <v>1</v>
      </c>
      <c r="W57" t="s">
        <v>32</v>
      </c>
      <c r="X57">
        <v>12</v>
      </c>
      <c r="Y57">
        <v>3</v>
      </c>
      <c r="Z57">
        <v>3</v>
      </c>
      <c r="AA57">
        <v>80</v>
      </c>
      <c r="AB57">
        <v>0</v>
      </c>
      <c r="AC57">
        <v>15</v>
      </c>
      <c r="AD57">
        <v>1</v>
      </c>
      <c r="AE57">
        <v>3</v>
      </c>
      <c r="AF57">
        <v>15</v>
      </c>
      <c r="AG57">
        <v>14</v>
      </c>
      <c r="AH57">
        <v>8</v>
      </c>
      <c r="AI57">
        <v>12</v>
      </c>
    </row>
    <row r="58" spans="1:35" x14ac:dyDescent="0.25">
      <c r="A58">
        <v>35</v>
      </c>
      <c r="B58" t="str">
        <f t="shared" si="0"/>
        <v>35-44</v>
      </c>
      <c r="C58" s="1" t="s">
        <v>38</v>
      </c>
      <c r="D58" s="17">
        <f>IF(Table1[[#This Row],[Attrition]]="Yes",1,0)</f>
        <v>0</v>
      </c>
      <c r="E58" t="s">
        <v>58</v>
      </c>
      <c r="F58" s="2">
        <v>853</v>
      </c>
      <c r="G58" t="s">
        <v>33</v>
      </c>
      <c r="H58">
        <v>18</v>
      </c>
      <c r="I58">
        <v>5</v>
      </c>
      <c r="J58" t="str">
        <f t="shared" si="1"/>
        <v>Doctor</v>
      </c>
      <c r="K58" t="s">
        <v>34</v>
      </c>
      <c r="L58">
        <v>2</v>
      </c>
      <c r="M58" t="s">
        <v>40</v>
      </c>
      <c r="N58" s="2">
        <v>71</v>
      </c>
      <c r="O58">
        <v>3</v>
      </c>
      <c r="P58">
        <v>3</v>
      </c>
      <c r="Q58" t="s">
        <v>36</v>
      </c>
      <c r="R58">
        <v>1</v>
      </c>
      <c r="S58" t="s">
        <v>42</v>
      </c>
      <c r="T58" s="2">
        <v>9069</v>
      </c>
      <c r="U58" s="2">
        <v>11031</v>
      </c>
      <c r="V58">
        <v>1</v>
      </c>
      <c r="W58" t="s">
        <v>38</v>
      </c>
      <c r="X58">
        <v>22</v>
      </c>
      <c r="Y58">
        <v>4</v>
      </c>
      <c r="Z58">
        <v>4</v>
      </c>
      <c r="AA58">
        <v>80</v>
      </c>
      <c r="AB58">
        <v>1</v>
      </c>
      <c r="AC58">
        <v>9</v>
      </c>
      <c r="AD58">
        <v>3</v>
      </c>
      <c r="AE58">
        <v>2</v>
      </c>
      <c r="AF58">
        <v>9</v>
      </c>
      <c r="AG58">
        <v>8</v>
      </c>
      <c r="AH58">
        <v>1</v>
      </c>
      <c r="AI58">
        <v>8</v>
      </c>
    </row>
    <row r="59" spans="1:35" x14ac:dyDescent="0.25">
      <c r="A59">
        <v>35</v>
      </c>
      <c r="B59" t="str">
        <f t="shared" si="0"/>
        <v>35-44</v>
      </c>
      <c r="C59" s="1" t="s">
        <v>38</v>
      </c>
      <c r="D59" s="17">
        <f>IF(Table1[[#This Row],[Attrition]]="Yes",1,0)</f>
        <v>0</v>
      </c>
      <c r="E59" t="s">
        <v>57</v>
      </c>
      <c r="F59" s="2">
        <v>1142</v>
      </c>
      <c r="G59" t="s">
        <v>39</v>
      </c>
      <c r="H59">
        <v>23</v>
      </c>
      <c r="I59">
        <v>4</v>
      </c>
      <c r="J59" t="str">
        <f t="shared" si="1"/>
        <v>Master</v>
      </c>
      <c r="K59" t="s">
        <v>45</v>
      </c>
      <c r="L59">
        <v>3</v>
      </c>
      <c r="M59" t="s">
        <v>35</v>
      </c>
      <c r="N59" s="2">
        <v>30</v>
      </c>
      <c r="O59">
        <v>3</v>
      </c>
      <c r="P59">
        <v>1</v>
      </c>
      <c r="Q59" t="s">
        <v>44</v>
      </c>
      <c r="R59">
        <v>1</v>
      </c>
      <c r="S59" t="s">
        <v>42</v>
      </c>
      <c r="T59" s="2">
        <v>4014</v>
      </c>
      <c r="U59" s="2">
        <v>16002</v>
      </c>
      <c r="V59">
        <v>3</v>
      </c>
      <c r="W59" t="s">
        <v>32</v>
      </c>
      <c r="X59">
        <v>15</v>
      </c>
      <c r="Y59">
        <v>3</v>
      </c>
      <c r="Z59">
        <v>3</v>
      </c>
      <c r="AA59">
        <v>80</v>
      </c>
      <c r="AB59">
        <v>1</v>
      </c>
      <c r="AC59">
        <v>4</v>
      </c>
      <c r="AD59">
        <v>3</v>
      </c>
      <c r="AE59">
        <v>3</v>
      </c>
      <c r="AF59">
        <v>2</v>
      </c>
      <c r="AG59">
        <v>2</v>
      </c>
      <c r="AH59">
        <v>2</v>
      </c>
      <c r="AI59">
        <v>2</v>
      </c>
    </row>
    <row r="60" spans="1:35" x14ac:dyDescent="0.25">
      <c r="A60">
        <v>31</v>
      </c>
      <c r="B60" t="str">
        <f t="shared" si="0"/>
        <v>25-34</v>
      </c>
      <c r="C60" s="1" t="s">
        <v>38</v>
      </c>
      <c r="D60" s="17">
        <f>IF(Table1[[#This Row],[Attrition]]="Yes",1,0)</f>
        <v>0</v>
      </c>
      <c r="E60" t="s">
        <v>57</v>
      </c>
      <c r="F60" s="2">
        <v>655</v>
      </c>
      <c r="G60" t="s">
        <v>39</v>
      </c>
      <c r="H60">
        <v>7</v>
      </c>
      <c r="I60">
        <v>4</v>
      </c>
      <c r="J60" t="str">
        <f t="shared" si="1"/>
        <v>Master</v>
      </c>
      <c r="K60" t="s">
        <v>34</v>
      </c>
      <c r="L60">
        <v>4</v>
      </c>
      <c r="M60" t="s">
        <v>40</v>
      </c>
      <c r="N60" s="2">
        <v>48</v>
      </c>
      <c r="O60">
        <v>3</v>
      </c>
      <c r="P60">
        <v>2</v>
      </c>
      <c r="Q60" t="s">
        <v>44</v>
      </c>
      <c r="R60">
        <v>4</v>
      </c>
      <c r="S60" t="s">
        <v>46</v>
      </c>
      <c r="T60" s="2">
        <v>5915</v>
      </c>
      <c r="U60" s="2">
        <v>9528</v>
      </c>
      <c r="V60">
        <v>3</v>
      </c>
      <c r="W60" t="s">
        <v>38</v>
      </c>
      <c r="X60">
        <v>22</v>
      </c>
      <c r="Y60">
        <v>4</v>
      </c>
      <c r="Z60">
        <v>4</v>
      </c>
      <c r="AA60">
        <v>80</v>
      </c>
      <c r="AB60">
        <v>1</v>
      </c>
      <c r="AC60">
        <v>10</v>
      </c>
      <c r="AD60">
        <v>3</v>
      </c>
      <c r="AE60">
        <v>2</v>
      </c>
      <c r="AF60">
        <v>7</v>
      </c>
      <c r="AG60">
        <v>7</v>
      </c>
      <c r="AH60">
        <v>1</v>
      </c>
      <c r="AI60">
        <v>7</v>
      </c>
    </row>
    <row r="61" spans="1:35" x14ac:dyDescent="0.25">
      <c r="A61">
        <v>37</v>
      </c>
      <c r="B61" t="str">
        <f t="shared" si="0"/>
        <v>35-44</v>
      </c>
      <c r="C61" s="1" t="s">
        <v>38</v>
      </c>
      <c r="D61" s="17">
        <f>IF(Table1[[#This Row],[Attrition]]="Yes",1,0)</f>
        <v>0</v>
      </c>
      <c r="E61" t="s">
        <v>57</v>
      </c>
      <c r="F61" s="2">
        <v>1115</v>
      </c>
      <c r="G61" t="s">
        <v>39</v>
      </c>
      <c r="H61">
        <v>1</v>
      </c>
      <c r="I61">
        <v>4</v>
      </c>
      <c r="J61" t="str">
        <f t="shared" si="1"/>
        <v>Master</v>
      </c>
      <c r="K61" t="s">
        <v>34</v>
      </c>
      <c r="L61">
        <v>1</v>
      </c>
      <c r="M61" t="s">
        <v>40</v>
      </c>
      <c r="N61" s="2">
        <v>51</v>
      </c>
      <c r="O61">
        <v>2</v>
      </c>
      <c r="P61">
        <v>2</v>
      </c>
      <c r="Q61" t="s">
        <v>47</v>
      </c>
      <c r="R61">
        <v>3</v>
      </c>
      <c r="S61" t="s">
        <v>46</v>
      </c>
      <c r="T61" s="2">
        <v>5993</v>
      </c>
      <c r="U61" s="2">
        <v>2689</v>
      </c>
      <c r="V61">
        <v>1</v>
      </c>
      <c r="W61" t="s">
        <v>38</v>
      </c>
      <c r="X61">
        <v>18</v>
      </c>
      <c r="Y61">
        <v>3</v>
      </c>
      <c r="Z61">
        <v>3</v>
      </c>
      <c r="AA61">
        <v>80</v>
      </c>
      <c r="AB61">
        <v>1</v>
      </c>
      <c r="AC61">
        <v>7</v>
      </c>
      <c r="AD61">
        <v>2</v>
      </c>
      <c r="AE61">
        <v>4</v>
      </c>
      <c r="AF61">
        <v>7</v>
      </c>
      <c r="AG61">
        <v>5</v>
      </c>
      <c r="AH61">
        <v>0</v>
      </c>
      <c r="AI61">
        <v>7</v>
      </c>
    </row>
    <row r="62" spans="1:35" x14ac:dyDescent="0.25">
      <c r="A62">
        <v>32</v>
      </c>
      <c r="B62" t="str">
        <f t="shared" si="0"/>
        <v>25-34</v>
      </c>
      <c r="C62" s="1" t="s">
        <v>38</v>
      </c>
      <c r="D62" s="17">
        <f>IF(Table1[[#This Row],[Attrition]]="Yes",1,0)</f>
        <v>0</v>
      </c>
      <c r="E62" t="s">
        <v>57</v>
      </c>
      <c r="F62" s="2">
        <v>427</v>
      </c>
      <c r="G62" t="s">
        <v>39</v>
      </c>
      <c r="H62">
        <v>1</v>
      </c>
      <c r="I62">
        <v>3</v>
      </c>
      <c r="J62" t="str">
        <f t="shared" si="1"/>
        <v>Bachelor</v>
      </c>
      <c r="K62" t="s">
        <v>45</v>
      </c>
      <c r="L62">
        <v>1</v>
      </c>
      <c r="M62" t="s">
        <v>40</v>
      </c>
      <c r="N62" s="2">
        <v>33</v>
      </c>
      <c r="O62">
        <v>3</v>
      </c>
      <c r="P62">
        <v>2</v>
      </c>
      <c r="Q62" t="s">
        <v>47</v>
      </c>
      <c r="R62">
        <v>4</v>
      </c>
      <c r="S62" t="s">
        <v>42</v>
      </c>
      <c r="T62" s="2">
        <v>6162</v>
      </c>
      <c r="U62" s="2">
        <v>10877</v>
      </c>
      <c r="V62">
        <v>1</v>
      </c>
      <c r="W62" t="s">
        <v>32</v>
      </c>
      <c r="X62">
        <v>22</v>
      </c>
      <c r="Y62">
        <v>4</v>
      </c>
      <c r="Z62">
        <v>2</v>
      </c>
      <c r="AA62">
        <v>80</v>
      </c>
      <c r="AB62">
        <v>1</v>
      </c>
      <c r="AC62">
        <v>9</v>
      </c>
      <c r="AD62">
        <v>3</v>
      </c>
      <c r="AE62">
        <v>3</v>
      </c>
      <c r="AF62">
        <v>9</v>
      </c>
      <c r="AG62">
        <v>8</v>
      </c>
      <c r="AH62">
        <v>7</v>
      </c>
      <c r="AI62">
        <v>8</v>
      </c>
    </row>
    <row r="63" spans="1:35" x14ac:dyDescent="0.25">
      <c r="A63">
        <v>38</v>
      </c>
      <c r="B63" t="str">
        <f t="shared" si="0"/>
        <v>35-44</v>
      </c>
      <c r="C63" s="1" t="s">
        <v>38</v>
      </c>
      <c r="D63" s="17">
        <f>IF(Table1[[#This Row],[Attrition]]="Yes",1,0)</f>
        <v>0</v>
      </c>
      <c r="E63" t="s">
        <v>58</v>
      </c>
      <c r="F63" s="2">
        <v>653</v>
      </c>
      <c r="G63" t="s">
        <v>39</v>
      </c>
      <c r="H63">
        <v>29</v>
      </c>
      <c r="I63">
        <v>5</v>
      </c>
      <c r="J63" t="str">
        <f t="shared" si="1"/>
        <v>Doctor</v>
      </c>
      <c r="K63" t="s">
        <v>34</v>
      </c>
      <c r="L63">
        <v>4</v>
      </c>
      <c r="M63" t="s">
        <v>35</v>
      </c>
      <c r="N63" s="2">
        <v>50</v>
      </c>
      <c r="O63">
        <v>3</v>
      </c>
      <c r="P63">
        <v>2</v>
      </c>
      <c r="Q63" t="s">
        <v>44</v>
      </c>
      <c r="R63">
        <v>4</v>
      </c>
      <c r="S63" t="s">
        <v>37</v>
      </c>
      <c r="T63" s="2">
        <v>2406</v>
      </c>
      <c r="U63" s="2">
        <v>5456</v>
      </c>
      <c r="V63">
        <v>1</v>
      </c>
      <c r="W63" t="s">
        <v>38</v>
      </c>
      <c r="X63">
        <v>11</v>
      </c>
      <c r="Y63">
        <v>3</v>
      </c>
      <c r="Z63">
        <v>4</v>
      </c>
      <c r="AA63">
        <v>80</v>
      </c>
      <c r="AB63">
        <v>0</v>
      </c>
      <c r="AC63">
        <v>10</v>
      </c>
      <c r="AD63">
        <v>2</v>
      </c>
      <c r="AE63">
        <v>3</v>
      </c>
      <c r="AF63">
        <v>10</v>
      </c>
      <c r="AG63">
        <v>3</v>
      </c>
      <c r="AH63">
        <v>9</v>
      </c>
      <c r="AI63">
        <v>9</v>
      </c>
    </row>
    <row r="64" spans="1:35" x14ac:dyDescent="0.25">
      <c r="A64">
        <v>50</v>
      </c>
      <c r="B64" t="str">
        <f t="shared" si="0"/>
        <v>45-54</v>
      </c>
      <c r="C64" s="1" t="s">
        <v>38</v>
      </c>
      <c r="D64" s="17">
        <f>IF(Table1[[#This Row],[Attrition]]="Yes",1,0)</f>
        <v>0</v>
      </c>
      <c r="E64" t="s">
        <v>57</v>
      </c>
      <c r="F64" s="2">
        <v>989</v>
      </c>
      <c r="G64" t="s">
        <v>39</v>
      </c>
      <c r="H64">
        <v>7</v>
      </c>
      <c r="I64">
        <v>2</v>
      </c>
      <c r="J64" t="str">
        <f t="shared" si="1"/>
        <v>College</v>
      </c>
      <c r="K64" t="s">
        <v>45</v>
      </c>
      <c r="L64">
        <v>2</v>
      </c>
      <c r="M64" t="s">
        <v>35</v>
      </c>
      <c r="N64" s="2">
        <v>43</v>
      </c>
      <c r="O64">
        <v>2</v>
      </c>
      <c r="P64">
        <v>5</v>
      </c>
      <c r="Q64" t="s">
        <v>52</v>
      </c>
      <c r="R64">
        <v>3</v>
      </c>
      <c r="S64" t="s">
        <v>46</v>
      </c>
      <c r="T64" s="2">
        <v>18740</v>
      </c>
      <c r="U64" s="2">
        <v>16701</v>
      </c>
      <c r="V64">
        <v>5</v>
      </c>
      <c r="W64" t="s">
        <v>32</v>
      </c>
      <c r="X64">
        <v>12</v>
      </c>
      <c r="Y64">
        <v>3</v>
      </c>
      <c r="Z64">
        <v>4</v>
      </c>
      <c r="AA64">
        <v>80</v>
      </c>
      <c r="AB64">
        <v>1</v>
      </c>
      <c r="AC64">
        <v>29</v>
      </c>
      <c r="AD64">
        <v>2</v>
      </c>
      <c r="AE64">
        <v>2</v>
      </c>
      <c r="AF64">
        <v>27</v>
      </c>
      <c r="AG64">
        <v>3</v>
      </c>
      <c r="AH64">
        <v>13</v>
      </c>
      <c r="AI64">
        <v>8</v>
      </c>
    </row>
    <row r="65" spans="1:35" x14ac:dyDescent="0.25">
      <c r="A65">
        <v>59</v>
      </c>
      <c r="B65" t="str">
        <f t="shared" si="0"/>
        <v>55-64</v>
      </c>
      <c r="C65" s="1" t="s">
        <v>38</v>
      </c>
      <c r="D65" s="17">
        <f>IF(Table1[[#This Row],[Attrition]]="Yes",1,0)</f>
        <v>0</v>
      </c>
      <c r="E65" t="s">
        <v>57</v>
      </c>
      <c r="F65" s="2">
        <v>1435</v>
      </c>
      <c r="G65" t="s">
        <v>33</v>
      </c>
      <c r="H65">
        <v>25</v>
      </c>
      <c r="I65">
        <v>3</v>
      </c>
      <c r="J65" t="str">
        <f t="shared" si="1"/>
        <v>Bachelor</v>
      </c>
      <c r="K65" t="s">
        <v>34</v>
      </c>
      <c r="L65">
        <v>1</v>
      </c>
      <c r="M65" t="s">
        <v>35</v>
      </c>
      <c r="N65" s="2">
        <v>99</v>
      </c>
      <c r="O65">
        <v>3</v>
      </c>
      <c r="P65">
        <v>3</v>
      </c>
      <c r="Q65" t="s">
        <v>36</v>
      </c>
      <c r="R65">
        <v>1</v>
      </c>
      <c r="S65" t="s">
        <v>37</v>
      </c>
      <c r="T65" s="2">
        <v>7637</v>
      </c>
      <c r="U65" s="2">
        <v>2354</v>
      </c>
      <c r="V65">
        <v>7</v>
      </c>
      <c r="W65" t="s">
        <v>38</v>
      </c>
      <c r="X65">
        <v>11</v>
      </c>
      <c r="Y65">
        <v>3</v>
      </c>
      <c r="Z65">
        <v>4</v>
      </c>
      <c r="AA65">
        <v>80</v>
      </c>
      <c r="AB65">
        <v>0</v>
      </c>
      <c r="AC65">
        <v>28</v>
      </c>
      <c r="AD65">
        <v>3</v>
      </c>
      <c r="AE65">
        <v>2</v>
      </c>
      <c r="AF65">
        <v>21</v>
      </c>
      <c r="AG65">
        <v>16</v>
      </c>
      <c r="AH65">
        <v>7</v>
      </c>
      <c r="AI65">
        <v>9</v>
      </c>
    </row>
    <row r="66" spans="1:35" x14ac:dyDescent="0.25">
      <c r="A66">
        <v>36</v>
      </c>
      <c r="B66" t="str">
        <f t="shared" ref="B66:B129" si="2">IF(A66="","",IF(A66&lt;25,"18-24",
 IF(A66&lt;35,"25-34",
 IF(A66&lt;45,"35-44",
 IF(A66&lt;55,"45-54",
 IF(A66&lt;65,"55-64","65+"))))))</f>
        <v>35-44</v>
      </c>
      <c r="C66" s="1" t="s">
        <v>38</v>
      </c>
      <c r="D66" s="17">
        <f>IF(Table1[[#This Row],[Attrition]]="Yes",1,0)</f>
        <v>0</v>
      </c>
      <c r="E66" t="s">
        <v>57</v>
      </c>
      <c r="F66" s="2">
        <v>1223</v>
      </c>
      <c r="G66" t="s">
        <v>39</v>
      </c>
      <c r="H66">
        <v>8</v>
      </c>
      <c r="I66">
        <v>3</v>
      </c>
      <c r="J66" t="str">
        <f t="shared" ref="J66:J129" si="3">CHOOSE(I66,"Below College","College","Bachelor","Master","Doctor")</f>
        <v>Bachelor</v>
      </c>
      <c r="K66" t="s">
        <v>54</v>
      </c>
      <c r="L66">
        <v>3</v>
      </c>
      <c r="M66" t="s">
        <v>35</v>
      </c>
      <c r="N66" s="2">
        <v>59</v>
      </c>
      <c r="O66">
        <v>3</v>
      </c>
      <c r="P66">
        <v>3</v>
      </c>
      <c r="Q66" t="s">
        <v>48</v>
      </c>
      <c r="R66">
        <v>3</v>
      </c>
      <c r="S66" t="s">
        <v>46</v>
      </c>
      <c r="T66" s="2">
        <v>10096</v>
      </c>
      <c r="U66" s="2">
        <v>8202</v>
      </c>
      <c r="V66">
        <v>1</v>
      </c>
      <c r="W66" t="s">
        <v>38</v>
      </c>
      <c r="X66">
        <v>13</v>
      </c>
      <c r="Y66">
        <v>3</v>
      </c>
      <c r="Z66">
        <v>2</v>
      </c>
      <c r="AA66">
        <v>80</v>
      </c>
      <c r="AB66">
        <v>3</v>
      </c>
      <c r="AC66">
        <v>17</v>
      </c>
      <c r="AD66">
        <v>2</v>
      </c>
      <c r="AE66">
        <v>3</v>
      </c>
      <c r="AF66">
        <v>17</v>
      </c>
      <c r="AG66">
        <v>14</v>
      </c>
      <c r="AH66">
        <v>12</v>
      </c>
      <c r="AI66">
        <v>8</v>
      </c>
    </row>
    <row r="67" spans="1:35" x14ac:dyDescent="0.25">
      <c r="A67">
        <v>55</v>
      </c>
      <c r="B67" t="str">
        <f t="shared" si="2"/>
        <v>55-64</v>
      </c>
      <c r="C67" s="1" t="s">
        <v>38</v>
      </c>
      <c r="D67" s="17">
        <f>IF(Table1[[#This Row],[Attrition]]="Yes",1,0)</f>
        <v>0</v>
      </c>
      <c r="E67" t="s">
        <v>57</v>
      </c>
      <c r="F67" s="2">
        <v>836</v>
      </c>
      <c r="G67" t="s">
        <v>39</v>
      </c>
      <c r="H67">
        <v>8</v>
      </c>
      <c r="I67">
        <v>3</v>
      </c>
      <c r="J67" t="str">
        <f t="shared" si="3"/>
        <v>Bachelor</v>
      </c>
      <c r="K67" t="s">
        <v>45</v>
      </c>
      <c r="L67">
        <v>4</v>
      </c>
      <c r="M67" t="s">
        <v>35</v>
      </c>
      <c r="N67" s="2">
        <v>33</v>
      </c>
      <c r="O67">
        <v>3</v>
      </c>
      <c r="P67">
        <v>4</v>
      </c>
      <c r="Q67" t="s">
        <v>50</v>
      </c>
      <c r="R67">
        <v>3</v>
      </c>
      <c r="S67" t="s">
        <v>46</v>
      </c>
      <c r="T67" s="2">
        <v>14756</v>
      </c>
      <c r="U67" s="2">
        <v>19730</v>
      </c>
      <c r="V67">
        <v>2</v>
      </c>
      <c r="W67" t="s">
        <v>32</v>
      </c>
      <c r="X67">
        <v>14</v>
      </c>
      <c r="Y67">
        <v>3</v>
      </c>
      <c r="Z67">
        <v>3</v>
      </c>
      <c r="AA67">
        <v>80</v>
      </c>
      <c r="AB67">
        <v>3</v>
      </c>
      <c r="AC67">
        <v>21</v>
      </c>
      <c r="AD67">
        <v>2</v>
      </c>
      <c r="AE67">
        <v>3</v>
      </c>
      <c r="AF67">
        <v>5</v>
      </c>
      <c r="AG67">
        <v>0</v>
      </c>
      <c r="AH67">
        <v>0</v>
      </c>
      <c r="AI67">
        <v>2</v>
      </c>
    </row>
    <row r="68" spans="1:35" x14ac:dyDescent="0.25">
      <c r="A68">
        <v>36</v>
      </c>
      <c r="B68" t="str">
        <f t="shared" si="2"/>
        <v>35-44</v>
      </c>
      <c r="C68" s="1" t="s">
        <v>38</v>
      </c>
      <c r="D68" s="17">
        <f>IF(Table1[[#This Row],[Attrition]]="Yes",1,0)</f>
        <v>0</v>
      </c>
      <c r="E68" t="s">
        <v>58</v>
      </c>
      <c r="F68" s="2">
        <v>1195</v>
      </c>
      <c r="G68" t="s">
        <v>39</v>
      </c>
      <c r="H68">
        <v>11</v>
      </c>
      <c r="I68">
        <v>3</v>
      </c>
      <c r="J68" t="str">
        <f t="shared" si="3"/>
        <v>Bachelor</v>
      </c>
      <c r="K68" t="s">
        <v>34</v>
      </c>
      <c r="L68">
        <v>2</v>
      </c>
      <c r="M68" t="s">
        <v>40</v>
      </c>
      <c r="N68" s="2">
        <v>95</v>
      </c>
      <c r="O68">
        <v>2</v>
      </c>
      <c r="P68">
        <v>2</v>
      </c>
      <c r="Q68" t="s">
        <v>47</v>
      </c>
      <c r="R68">
        <v>2</v>
      </c>
      <c r="S68" t="s">
        <v>37</v>
      </c>
      <c r="T68" s="2">
        <v>6499</v>
      </c>
      <c r="U68" s="2">
        <v>22656</v>
      </c>
      <c r="V68">
        <v>1</v>
      </c>
      <c r="W68" t="s">
        <v>38</v>
      </c>
      <c r="X68">
        <v>13</v>
      </c>
      <c r="Y68">
        <v>3</v>
      </c>
      <c r="Z68">
        <v>3</v>
      </c>
      <c r="AA68">
        <v>80</v>
      </c>
      <c r="AB68">
        <v>0</v>
      </c>
      <c r="AC68">
        <v>6</v>
      </c>
      <c r="AD68">
        <v>3</v>
      </c>
      <c r="AE68">
        <v>3</v>
      </c>
      <c r="AF68">
        <v>6</v>
      </c>
      <c r="AG68">
        <v>5</v>
      </c>
      <c r="AH68">
        <v>0</v>
      </c>
      <c r="AI68">
        <v>3</v>
      </c>
    </row>
    <row r="69" spans="1:35" x14ac:dyDescent="0.25">
      <c r="A69">
        <v>45</v>
      </c>
      <c r="B69" t="str">
        <f t="shared" si="2"/>
        <v>45-54</v>
      </c>
      <c r="C69" s="1" t="s">
        <v>38</v>
      </c>
      <c r="D69" s="17">
        <f>IF(Table1[[#This Row],[Attrition]]="Yes",1,0)</f>
        <v>0</v>
      </c>
      <c r="E69" t="s">
        <v>57</v>
      </c>
      <c r="F69" s="2">
        <v>1339</v>
      </c>
      <c r="G69" t="s">
        <v>39</v>
      </c>
      <c r="H69">
        <v>7</v>
      </c>
      <c r="I69">
        <v>3</v>
      </c>
      <c r="J69" t="str">
        <f t="shared" si="3"/>
        <v>Bachelor</v>
      </c>
      <c r="K69" t="s">
        <v>34</v>
      </c>
      <c r="L69">
        <v>2</v>
      </c>
      <c r="M69" t="s">
        <v>40</v>
      </c>
      <c r="N69" s="2">
        <v>59</v>
      </c>
      <c r="O69">
        <v>3</v>
      </c>
      <c r="P69">
        <v>3</v>
      </c>
      <c r="Q69" t="s">
        <v>41</v>
      </c>
      <c r="R69">
        <v>1</v>
      </c>
      <c r="S69" t="s">
        <v>46</v>
      </c>
      <c r="T69" s="2">
        <v>9724</v>
      </c>
      <c r="U69" s="2">
        <v>18787</v>
      </c>
      <c r="V69">
        <v>2</v>
      </c>
      <c r="W69" t="s">
        <v>38</v>
      </c>
      <c r="X69">
        <v>17</v>
      </c>
      <c r="Y69">
        <v>3</v>
      </c>
      <c r="Z69">
        <v>3</v>
      </c>
      <c r="AA69">
        <v>80</v>
      </c>
      <c r="AB69">
        <v>1</v>
      </c>
      <c r="AC69">
        <v>25</v>
      </c>
      <c r="AD69">
        <v>2</v>
      </c>
      <c r="AE69">
        <v>3</v>
      </c>
      <c r="AF69">
        <v>1</v>
      </c>
      <c r="AG69">
        <v>0</v>
      </c>
      <c r="AH69">
        <v>0</v>
      </c>
      <c r="AI69">
        <v>0</v>
      </c>
    </row>
    <row r="70" spans="1:35" x14ac:dyDescent="0.25">
      <c r="A70">
        <v>35</v>
      </c>
      <c r="B70" t="str">
        <f t="shared" si="2"/>
        <v>35-44</v>
      </c>
      <c r="C70" s="1" t="s">
        <v>38</v>
      </c>
      <c r="D70" s="17">
        <f>IF(Table1[[#This Row],[Attrition]]="Yes",1,0)</f>
        <v>0</v>
      </c>
      <c r="E70" t="s">
        <v>58</v>
      </c>
      <c r="F70" s="2">
        <v>664</v>
      </c>
      <c r="G70" t="s">
        <v>39</v>
      </c>
      <c r="H70">
        <v>1</v>
      </c>
      <c r="I70">
        <v>3</v>
      </c>
      <c r="J70" t="str">
        <f t="shared" si="3"/>
        <v>Bachelor</v>
      </c>
      <c r="K70" t="s">
        <v>45</v>
      </c>
      <c r="L70">
        <v>2</v>
      </c>
      <c r="M70" t="s">
        <v>40</v>
      </c>
      <c r="N70" s="2">
        <v>79</v>
      </c>
      <c r="O70">
        <v>3</v>
      </c>
      <c r="P70">
        <v>1</v>
      </c>
      <c r="Q70" t="s">
        <v>41</v>
      </c>
      <c r="R70">
        <v>1</v>
      </c>
      <c r="S70" t="s">
        <v>42</v>
      </c>
      <c r="T70" s="2">
        <v>2194</v>
      </c>
      <c r="U70" s="2">
        <v>5868</v>
      </c>
      <c r="V70">
        <v>4</v>
      </c>
      <c r="W70" t="s">
        <v>38</v>
      </c>
      <c r="X70">
        <v>13</v>
      </c>
      <c r="Y70">
        <v>3</v>
      </c>
      <c r="Z70">
        <v>4</v>
      </c>
      <c r="AA70">
        <v>80</v>
      </c>
      <c r="AB70">
        <v>1</v>
      </c>
      <c r="AC70">
        <v>5</v>
      </c>
      <c r="AD70">
        <v>2</v>
      </c>
      <c r="AE70">
        <v>2</v>
      </c>
      <c r="AF70">
        <v>3</v>
      </c>
      <c r="AG70">
        <v>2</v>
      </c>
      <c r="AH70">
        <v>1</v>
      </c>
      <c r="AI70">
        <v>2</v>
      </c>
    </row>
    <row r="71" spans="1:35" x14ac:dyDescent="0.25">
      <c r="A71">
        <v>36</v>
      </c>
      <c r="B71" t="str">
        <f t="shared" si="2"/>
        <v>35-44</v>
      </c>
      <c r="C71" s="1" t="s">
        <v>32</v>
      </c>
      <c r="D71" s="17">
        <f>IF(Table1[[#This Row],[Attrition]]="Yes",1,0)</f>
        <v>1</v>
      </c>
      <c r="E71" t="s">
        <v>57</v>
      </c>
      <c r="F71" s="2">
        <v>318</v>
      </c>
      <c r="G71" t="s">
        <v>39</v>
      </c>
      <c r="H71">
        <v>9</v>
      </c>
      <c r="I71">
        <v>3</v>
      </c>
      <c r="J71" t="str">
        <f t="shared" si="3"/>
        <v>Bachelor</v>
      </c>
      <c r="K71" t="s">
        <v>45</v>
      </c>
      <c r="L71">
        <v>4</v>
      </c>
      <c r="M71" t="s">
        <v>40</v>
      </c>
      <c r="N71" s="2">
        <v>79</v>
      </c>
      <c r="O71">
        <v>2</v>
      </c>
      <c r="P71">
        <v>1</v>
      </c>
      <c r="Q71" t="s">
        <v>41</v>
      </c>
      <c r="R71">
        <v>3</v>
      </c>
      <c r="S71" t="s">
        <v>42</v>
      </c>
      <c r="T71" s="2">
        <v>3388</v>
      </c>
      <c r="U71" s="2">
        <v>21777</v>
      </c>
      <c r="V71">
        <v>0</v>
      </c>
      <c r="W71" t="s">
        <v>32</v>
      </c>
      <c r="X71">
        <v>17</v>
      </c>
      <c r="Y71">
        <v>3</v>
      </c>
      <c r="Z71">
        <v>1</v>
      </c>
      <c r="AA71">
        <v>80</v>
      </c>
      <c r="AB71">
        <v>1</v>
      </c>
      <c r="AC71">
        <v>2</v>
      </c>
      <c r="AD71">
        <v>0</v>
      </c>
      <c r="AE71">
        <v>2</v>
      </c>
      <c r="AF71">
        <v>1</v>
      </c>
      <c r="AG71">
        <v>0</v>
      </c>
      <c r="AH71">
        <v>0</v>
      </c>
      <c r="AI71">
        <v>0</v>
      </c>
    </row>
    <row r="72" spans="1:35" x14ac:dyDescent="0.25">
      <c r="A72">
        <v>59</v>
      </c>
      <c r="B72" t="str">
        <f t="shared" si="2"/>
        <v>55-64</v>
      </c>
      <c r="C72" s="1" t="s">
        <v>38</v>
      </c>
      <c r="D72" s="17">
        <f>IF(Table1[[#This Row],[Attrition]]="Yes",1,0)</f>
        <v>0</v>
      </c>
      <c r="E72" t="s">
        <v>58</v>
      </c>
      <c r="F72" s="2">
        <v>1225</v>
      </c>
      <c r="G72" t="s">
        <v>33</v>
      </c>
      <c r="H72">
        <v>1</v>
      </c>
      <c r="I72">
        <v>1</v>
      </c>
      <c r="J72" t="str">
        <f t="shared" si="3"/>
        <v>Below College</v>
      </c>
      <c r="K72" t="s">
        <v>34</v>
      </c>
      <c r="L72">
        <v>1</v>
      </c>
      <c r="M72" t="s">
        <v>35</v>
      </c>
      <c r="N72" s="2">
        <v>57</v>
      </c>
      <c r="O72">
        <v>2</v>
      </c>
      <c r="P72">
        <v>2</v>
      </c>
      <c r="Q72" t="s">
        <v>36</v>
      </c>
      <c r="R72">
        <v>3</v>
      </c>
      <c r="S72" t="s">
        <v>37</v>
      </c>
      <c r="T72" s="2">
        <v>5473</v>
      </c>
      <c r="U72" s="2">
        <v>24668</v>
      </c>
      <c r="V72">
        <v>7</v>
      </c>
      <c r="W72" t="s">
        <v>38</v>
      </c>
      <c r="X72">
        <v>11</v>
      </c>
      <c r="Y72">
        <v>3</v>
      </c>
      <c r="Z72">
        <v>4</v>
      </c>
      <c r="AA72">
        <v>80</v>
      </c>
      <c r="AB72">
        <v>0</v>
      </c>
      <c r="AC72">
        <v>20</v>
      </c>
      <c r="AD72">
        <v>2</v>
      </c>
      <c r="AE72">
        <v>2</v>
      </c>
      <c r="AF72">
        <v>4</v>
      </c>
      <c r="AG72">
        <v>3</v>
      </c>
      <c r="AH72">
        <v>1</v>
      </c>
      <c r="AI72">
        <v>3</v>
      </c>
    </row>
    <row r="73" spans="1:35" x14ac:dyDescent="0.25">
      <c r="A73">
        <v>29</v>
      </c>
      <c r="B73" t="str">
        <f t="shared" si="2"/>
        <v>25-34</v>
      </c>
      <c r="C73" s="1" t="s">
        <v>38</v>
      </c>
      <c r="D73" s="17">
        <f>IF(Table1[[#This Row],[Attrition]]="Yes",1,0)</f>
        <v>0</v>
      </c>
      <c r="E73" t="s">
        <v>57</v>
      </c>
      <c r="F73" s="2">
        <v>1328</v>
      </c>
      <c r="G73" t="s">
        <v>39</v>
      </c>
      <c r="H73">
        <v>2</v>
      </c>
      <c r="I73">
        <v>3</v>
      </c>
      <c r="J73" t="str">
        <f t="shared" si="3"/>
        <v>Bachelor</v>
      </c>
      <c r="K73" t="s">
        <v>34</v>
      </c>
      <c r="L73">
        <v>3</v>
      </c>
      <c r="M73" t="s">
        <v>40</v>
      </c>
      <c r="N73" s="2">
        <v>76</v>
      </c>
      <c r="O73">
        <v>3</v>
      </c>
      <c r="P73">
        <v>1</v>
      </c>
      <c r="Q73" t="s">
        <v>41</v>
      </c>
      <c r="R73">
        <v>2</v>
      </c>
      <c r="S73" t="s">
        <v>42</v>
      </c>
      <c r="T73" s="2">
        <v>2703</v>
      </c>
      <c r="U73" s="2">
        <v>4956</v>
      </c>
      <c r="V73">
        <v>0</v>
      </c>
      <c r="W73" t="s">
        <v>38</v>
      </c>
      <c r="X73">
        <v>23</v>
      </c>
      <c r="Y73">
        <v>4</v>
      </c>
      <c r="Z73">
        <v>4</v>
      </c>
      <c r="AA73">
        <v>80</v>
      </c>
      <c r="AB73">
        <v>1</v>
      </c>
      <c r="AC73">
        <v>6</v>
      </c>
      <c r="AD73">
        <v>3</v>
      </c>
      <c r="AE73">
        <v>3</v>
      </c>
      <c r="AF73">
        <v>5</v>
      </c>
      <c r="AG73">
        <v>4</v>
      </c>
      <c r="AH73">
        <v>0</v>
      </c>
      <c r="AI73">
        <v>4</v>
      </c>
    </row>
    <row r="74" spans="1:35" x14ac:dyDescent="0.25">
      <c r="A74">
        <v>31</v>
      </c>
      <c r="B74" t="str">
        <f t="shared" si="2"/>
        <v>25-34</v>
      </c>
      <c r="C74" s="1" t="s">
        <v>38</v>
      </c>
      <c r="D74" s="17">
        <f>IF(Table1[[#This Row],[Attrition]]="Yes",1,0)</f>
        <v>0</v>
      </c>
      <c r="E74" t="s">
        <v>57</v>
      </c>
      <c r="F74" s="2">
        <v>1082</v>
      </c>
      <c r="G74" t="s">
        <v>39</v>
      </c>
      <c r="H74">
        <v>1</v>
      </c>
      <c r="I74">
        <v>4</v>
      </c>
      <c r="J74" t="str">
        <f t="shared" si="3"/>
        <v>Master</v>
      </c>
      <c r="K74" t="s">
        <v>45</v>
      </c>
      <c r="L74">
        <v>3</v>
      </c>
      <c r="M74" t="s">
        <v>40</v>
      </c>
      <c r="N74" s="2">
        <v>87</v>
      </c>
      <c r="O74">
        <v>3</v>
      </c>
      <c r="P74">
        <v>1</v>
      </c>
      <c r="Q74" t="s">
        <v>41</v>
      </c>
      <c r="R74">
        <v>2</v>
      </c>
      <c r="S74" t="s">
        <v>37</v>
      </c>
      <c r="T74" s="2">
        <v>2501</v>
      </c>
      <c r="U74" s="2">
        <v>18775</v>
      </c>
      <c r="V74">
        <v>1</v>
      </c>
      <c r="W74" t="s">
        <v>38</v>
      </c>
      <c r="X74">
        <v>17</v>
      </c>
      <c r="Y74">
        <v>3</v>
      </c>
      <c r="Z74">
        <v>2</v>
      </c>
      <c r="AA74">
        <v>80</v>
      </c>
      <c r="AB74">
        <v>0</v>
      </c>
      <c r="AC74">
        <v>1</v>
      </c>
      <c r="AD74">
        <v>4</v>
      </c>
      <c r="AE74">
        <v>3</v>
      </c>
      <c r="AF74">
        <v>1</v>
      </c>
      <c r="AG74">
        <v>1</v>
      </c>
      <c r="AH74">
        <v>1</v>
      </c>
      <c r="AI74">
        <v>0</v>
      </c>
    </row>
    <row r="75" spans="1:35" x14ac:dyDescent="0.25">
      <c r="A75">
        <v>32</v>
      </c>
      <c r="B75" t="str">
        <f t="shared" si="2"/>
        <v>25-34</v>
      </c>
      <c r="C75" s="1" t="s">
        <v>38</v>
      </c>
      <c r="D75" s="17">
        <f>IF(Table1[[#This Row],[Attrition]]="Yes",1,0)</f>
        <v>0</v>
      </c>
      <c r="E75" t="s">
        <v>57</v>
      </c>
      <c r="F75" s="2">
        <v>548</v>
      </c>
      <c r="G75" t="s">
        <v>39</v>
      </c>
      <c r="H75">
        <v>1</v>
      </c>
      <c r="I75">
        <v>3</v>
      </c>
      <c r="J75" t="str">
        <f t="shared" si="3"/>
        <v>Bachelor</v>
      </c>
      <c r="K75" t="s">
        <v>34</v>
      </c>
      <c r="L75">
        <v>2</v>
      </c>
      <c r="M75" t="s">
        <v>40</v>
      </c>
      <c r="N75" s="2">
        <v>66</v>
      </c>
      <c r="O75">
        <v>3</v>
      </c>
      <c r="P75">
        <v>2</v>
      </c>
      <c r="Q75" t="s">
        <v>41</v>
      </c>
      <c r="R75">
        <v>2</v>
      </c>
      <c r="S75" t="s">
        <v>42</v>
      </c>
      <c r="T75" s="2">
        <v>6220</v>
      </c>
      <c r="U75" s="2">
        <v>7346</v>
      </c>
      <c r="V75">
        <v>1</v>
      </c>
      <c r="W75" t="s">
        <v>38</v>
      </c>
      <c r="X75">
        <v>17</v>
      </c>
      <c r="Y75">
        <v>3</v>
      </c>
      <c r="Z75">
        <v>2</v>
      </c>
      <c r="AA75">
        <v>80</v>
      </c>
      <c r="AB75">
        <v>2</v>
      </c>
      <c r="AC75">
        <v>10</v>
      </c>
      <c r="AD75">
        <v>3</v>
      </c>
      <c r="AE75">
        <v>3</v>
      </c>
      <c r="AF75">
        <v>10</v>
      </c>
      <c r="AG75">
        <v>4</v>
      </c>
      <c r="AH75">
        <v>0</v>
      </c>
      <c r="AI75">
        <v>9</v>
      </c>
    </row>
    <row r="76" spans="1:35" x14ac:dyDescent="0.25">
      <c r="A76">
        <v>36</v>
      </c>
      <c r="B76" t="str">
        <f t="shared" si="2"/>
        <v>35-44</v>
      </c>
      <c r="C76" s="1" t="s">
        <v>38</v>
      </c>
      <c r="D76" s="17">
        <f>IF(Table1[[#This Row],[Attrition]]="Yes",1,0)</f>
        <v>0</v>
      </c>
      <c r="E76" t="s">
        <v>57</v>
      </c>
      <c r="F76" s="2">
        <v>132</v>
      </c>
      <c r="G76" t="s">
        <v>39</v>
      </c>
      <c r="H76">
        <v>6</v>
      </c>
      <c r="I76">
        <v>3</v>
      </c>
      <c r="J76" t="str">
        <f t="shared" si="3"/>
        <v>Bachelor</v>
      </c>
      <c r="K76" t="s">
        <v>34</v>
      </c>
      <c r="L76">
        <v>2</v>
      </c>
      <c r="M76" t="s">
        <v>35</v>
      </c>
      <c r="N76" s="2">
        <v>55</v>
      </c>
      <c r="O76">
        <v>4</v>
      </c>
      <c r="P76">
        <v>1</v>
      </c>
      <c r="Q76" t="s">
        <v>44</v>
      </c>
      <c r="R76">
        <v>4</v>
      </c>
      <c r="S76" t="s">
        <v>42</v>
      </c>
      <c r="T76" s="2">
        <v>3038</v>
      </c>
      <c r="U76" s="2">
        <v>22002</v>
      </c>
      <c r="V76">
        <v>3</v>
      </c>
      <c r="W76" t="s">
        <v>38</v>
      </c>
      <c r="X76">
        <v>12</v>
      </c>
      <c r="Y76">
        <v>3</v>
      </c>
      <c r="Z76">
        <v>2</v>
      </c>
      <c r="AA76">
        <v>80</v>
      </c>
      <c r="AB76">
        <v>0</v>
      </c>
      <c r="AC76">
        <v>5</v>
      </c>
      <c r="AD76">
        <v>3</v>
      </c>
      <c r="AE76">
        <v>3</v>
      </c>
      <c r="AF76">
        <v>1</v>
      </c>
      <c r="AG76">
        <v>0</v>
      </c>
      <c r="AH76">
        <v>0</v>
      </c>
      <c r="AI76">
        <v>0</v>
      </c>
    </row>
    <row r="77" spans="1:35" x14ac:dyDescent="0.25">
      <c r="A77">
        <v>31</v>
      </c>
      <c r="B77" t="str">
        <f t="shared" si="2"/>
        <v>25-34</v>
      </c>
      <c r="C77" s="1" t="s">
        <v>38</v>
      </c>
      <c r="D77" s="17">
        <f>IF(Table1[[#This Row],[Attrition]]="Yes",1,0)</f>
        <v>0</v>
      </c>
      <c r="E77" t="s">
        <v>57</v>
      </c>
      <c r="F77" s="2">
        <v>746</v>
      </c>
      <c r="G77" t="s">
        <v>39</v>
      </c>
      <c r="H77">
        <v>8</v>
      </c>
      <c r="I77">
        <v>4</v>
      </c>
      <c r="J77" t="str">
        <f t="shared" si="3"/>
        <v>Master</v>
      </c>
      <c r="K77" t="s">
        <v>34</v>
      </c>
      <c r="L77">
        <v>3</v>
      </c>
      <c r="M77" t="s">
        <v>35</v>
      </c>
      <c r="N77" s="2">
        <v>61</v>
      </c>
      <c r="O77">
        <v>3</v>
      </c>
      <c r="P77">
        <v>2</v>
      </c>
      <c r="Q77" t="s">
        <v>47</v>
      </c>
      <c r="R77">
        <v>4</v>
      </c>
      <c r="S77" t="s">
        <v>37</v>
      </c>
      <c r="T77" s="2">
        <v>4424</v>
      </c>
      <c r="U77" s="2">
        <v>20682</v>
      </c>
      <c r="V77">
        <v>1</v>
      </c>
      <c r="W77" t="s">
        <v>38</v>
      </c>
      <c r="X77">
        <v>23</v>
      </c>
      <c r="Y77">
        <v>4</v>
      </c>
      <c r="Z77">
        <v>4</v>
      </c>
      <c r="AA77">
        <v>80</v>
      </c>
      <c r="AB77">
        <v>0</v>
      </c>
      <c r="AC77">
        <v>11</v>
      </c>
      <c r="AD77">
        <v>2</v>
      </c>
      <c r="AE77">
        <v>3</v>
      </c>
      <c r="AF77">
        <v>11</v>
      </c>
      <c r="AG77">
        <v>7</v>
      </c>
      <c r="AH77">
        <v>1</v>
      </c>
      <c r="AI77">
        <v>8</v>
      </c>
    </row>
    <row r="78" spans="1:35" x14ac:dyDescent="0.25">
      <c r="A78">
        <v>35</v>
      </c>
      <c r="B78" t="str">
        <f t="shared" si="2"/>
        <v>35-44</v>
      </c>
      <c r="C78" s="1" t="s">
        <v>38</v>
      </c>
      <c r="D78" s="17">
        <f>IF(Table1[[#This Row],[Attrition]]="Yes",1,0)</f>
        <v>0</v>
      </c>
      <c r="E78" t="s">
        <v>57</v>
      </c>
      <c r="F78" s="2">
        <v>776</v>
      </c>
      <c r="G78" t="s">
        <v>33</v>
      </c>
      <c r="H78">
        <v>1</v>
      </c>
      <c r="I78">
        <v>4</v>
      </c>
      <c r="J78" t="str">
        <f t="shared" si="3"/>
        <v>Master</v>
      </c>
      <c r="K78" t="s">
        <v>53</v>
      </c>
      <c r="L78">
        <v>3</v>
      </c>
      <c r="M78" t="s">
        <v>40</v>
      </c>
      <c r="N78" s="2">
        <v>32</v>
      </c>
      <c r="O78">
        <v>2</v>
      </c>
      <c r="P78">
        <v>2</v>
      </c>
      <c r="Q78" t="s">
        <v>36</v>
      </c>
      <c r="R78">
        <v>1</v>
      </c>
      <c r="S78" t="s">
        <v>37</v>
      </c>
      <c r="T78" s="2">
        <v>4312</v>
      </c>
      <c r="U78" s="2">
        <v>23016</v>
      </c>
      <c r="V78">
        <v>0</v>
      </c>
      <c r="W78" t="s">
        <v>38</v>
      </c>
      <c r="X78">
        <v>14</v>
      </c>
      <c r="Y78">
        <v>3</v>
      </c>
      <c r="Z78">
        <v>2</v>
      </c>
      <c r="AA78">
        <v>80</v>
      </c>
      <c r="AB78">
        <v>0</v>
      </c>
      <c r="AC78">
        <v>16</v>
      </c>
      <c r="AD78">
        <v>2</v>
      </c>
      <c r="AE78">
        <v>3</v>
      </c>
      <c r="AF78">
        <v>15</v>
      </c>
      <c r="AG78">
        <v>13</v>
      </c>
      <c r="AH78">
        <v>2</v>
      </c>
      <c r="AI78">
        <v>8</v>
      </c>
    </row>
    <row r="79" spans="1:35" x14ac:dyDescent="0.25">
      <c r="A79">
        <v>45</v>
      </c>
      <c r="B79" t="str">
        <f t="shared" si="2"/>
        <v>45-54</v>
      </c>
      <c r="C79" s="1" t="s">
        <v>38</v>
      </c>
      <c r="D79" s="17">
        <f>IF(Table1[[#This Row],[Attrition]]="Yes",1,0)</f>
        <v>0</v>
      </c>
      <c r="E79" t="s">
        <v>57</v>
      </c>
      <c r="F79" s="2">
        <v>193</v>
      </c>
      <c r="G79" t="s">
        <v>39</v>
      </c>
      <c r="H79">
        <v>6</v>
      </c>
      <c r="I79">
        <v>4</v>
      </c>
      <c r="J79" t="str">
        <f t="shared" si="3"/>
        <v>Master</v>
      </c>
      <c r="K79" t="s">
        <v>43</v>
      </c>
      <c r="L79">
        <v>4</v>
      </c>
      <c r="M79" t="s">
        <v>40</v>
      </c>
      <c r="N79" s="2">
        <v>52</v>
      </c>
      <c r="O79">
        <v>3</v>
      </c>
      <c r="P79">
        <v>3</v>
      </c>
      <c r="Q79" t="s">
        <v>52</v>
      </c>
      <c r="R79">
        <v>1</v>
      </c>
      <c r="S79" t="s">
        <v>42</v>
      </c>
      <c r="T79" s="2">
        <v>13245</v>
      </c>
      <c r="U79" s="2">
        <v>15067</v>
      </c>
      <c r="V79">
        <v>4</v>
      </c>
      <c r="W79" t="s">
        <v>32</v>
      </c>
      <c r="X79">
        <v>14</v>
      </c>
      <c r="Y79">
        <v>3</v>
      </c>
      <c r="Z79">
        <v>2</v>
      </c>
      <c r="AA79">
        <v>80</v>
      </c>
      <c r="AB79">
        <v>0</v>
      </c>
      <c r="AC79">
        <v>17</v>
      </c>
      <c r="AD79">
        <v>3</v>
      </c>
      <c r="AE79">
        <v>4</v>
      </c>
      <c r="AF79">
        <v>0</v>
      </c>
      <c r="AG79">
        <v>0</v>
      </c>
      <c r="AH79">
        <v>0</v>
      </c>
      <c r="AI79">
        <v>0</v>
      </c>
    </row>
    <row r="80" spans="1:35" x14ac:dyDescent="0.25">
      <c r="A80">
        <v>37</v>
      </c>
      <c r="B80" t="str">
        <f t="shared" si="2"/>
        <v>35-44</v>
      </c>
      <c r="C80" s="1" t="s">
        <v>38</v>
      </c>
      <c r="D80" s="17">
        <f>IF(Table1[[#This Row],[Attrition]]="Yes",1,0)</f>
        <v>0</v>
      </c>
      <c r="E80" t="s">
        <v>57</v>
      </c>
      <c r="F80" s="2">
        <v>397</v>
      </c>
      <c r="G80" t="s">
        <v>39</v>
      </c>
      <c r="H80">
        <v>7</v>
      </c>
      <c r="I80">
        <v>4</v>
      </c>
      <c r="J80" t="str">
        <f t="shared" si="3"/>
        <v>Master</v>
      </c>
      <c r="K80" t="s">
        <v>45</v>
      </c>
      <c r="L80">
        <v>1</v>
      </c>
      <c r="M80" t="s">
        <v>40</v>
      </c>
      <c r="N80" s="2">
        <v>30</v>
      </c>
      <c r="O80">
        <v>3</v>
      </c>
      <c r="P80">
        <v>3</v>
      </c>
      <c r="Q80" t="s">
        <v>52</v>
      </c>
      <c r="R80">
        <v>3</v>
      </c>
      <c r="S80" t="s">
        <v>37</v>
      </c>
      <c r="T80" s="2">
        <v>13664</v>
      </c>
      <c r="U80" s="2">
        <v>25258</v>
      </c>
      <c r="V80">
        <v>4</v>
      </c>
      <c r="W80" t="s">
        <v>38</v>
      </c>
      <c r="X80">
        <v>13</v>
      </c>
      <c r="Y80">
        <v>3</v>
      </c>
      <c r="Z80">
        <v>1</v>
      </c>
      <c r="AA80">
        <v>80</v>
      </c>
      <c r="AB80">
        <v>0</v>
      </c>
      <c r="AC80">
        <v>16</v>
      </c>
      <c r="AD80">
        <v>3</v>
      </c>
      <c r="AE80">
        <v>4</v>
      </c>
      <c r="AF80">
        <v>5</v>
      </c>
      <c r="AG80">
        <v>2</v>
      </c>
      <c r="AH80">
        <v>0</v>
      </c>
      <c r="AI80">
        <v>2</v>
      </c>
    </row>
    <row r="81" spans="1:35" x14ac:dyDescent="0.25">
      <c r="A81">
        <v>46</v>
      </c>
      <c r="B81" t="str">
        <f t="shared" si="2"/>
        <v>45-54</v>
      </c>
      <c r="C81" s="1" t="s">
        <v>38</v>
      </c>
      <c r="D81" s="17">
        <f>IF(Table1[[#This Row],[Attrition]]="Yes",1,0)</f>
        <v>0</v>
      </c>
      <c r="E81" t="s">
        <v>57</v>
      </c>
      <c r="F81" s="2">
        <v>945</v>
      </c>
      <c r="G81" t="s">
        <v>55</v>
      </c>
      <c r="H81">
        <v>5</v>
      </c>
      <c r="I81">
        <v>2</v>
      </c>
      <c r="J81" t="str">
        <f t="shared" si="3"/>
        <v>College</v>
      </c>
      <c r="K81" t="s">
        <v>45</v>
      </c>
      <c r="L81">
        <v>2</v>
      </c>
      <c r="M81" t="s">
        <v>40</v>
      </c>
      <c r="N81" s="2">
        <v>80</v>
      </c>
      <c r="O81">
        <v>3</v>
      </c>
      <c r="P81">
        <v>2</v>
      </c>
      <c r="Q81" t="s">
        <v>55</v>
      </c>
      <c r="R81">
        <v>2</v>
      </c>
      <c r="S81" t="s">
        <v>46</v>
      </c>
      <c r="T81" s="2">
        <v>5021</v>
      </c>
      <c r="U81" s="2">
        <v>10425</v>
      </c>
      <c r="V81">
        <v>8</v>
      </c>
      <c r="W81" t="s">
        <v>32</v>
      </c>
      <c r="X81">
        <v>22</v>
      </c>
      <c r="Y81">
        <v>4</v>
      </c>
      <c r="Z81">
        <v>4</v>
      </c>
      <c r="AA81">
        <v>80</v>
      </c>
      <c r="AB81">
        <v>1</v>
      </c>
      <c r="AC81">
        <v>16</v>
      </c>
      <c r="AD81">
        <v>2</v>
      </c>
      <c r="AE81">
        <v>3</v>
      </c>
      <c r="AF81">
        <v>4</v>
      </c>
      <c r="AG81">
        <v>2</v>
      </c>
      <c r="AH81">
        <v>0</v>
      </c>
      <c r="AI81">
        <v>2</v>
      </c>
    </row>
    <row r="82" spans="1:35" x14ac:dyDescent="0.25">
      <c r="A82">
        <v>30</v>
      </c>
      <c r="B82" t="str">
        <f t="shared" si="2"/>
        <v>25-34</v>
      </c>
      <c r="C82" s="1" t="s">
        <v>38</v>
      </c>
      <c r="D82" s="17">
        <f>IF(Table1[[#This Row],[Attrition]]="Yes",1,0)</f>
        <v>0</v>
      </c>
      <c r="E82" t="s">
        <v>57</v>
      </c>
      <c r="F82" s="2">
        <v>852</v>
      </c>
      <c r="G82" t="s">
        <v>39</v>
      </c>
      <c r="H82">
        <v>1</v>
      </c>
      <c r="I82">
        <v>1</v>
      </c>
      <c r="J82" t="str">
        <f t="shared" si="3"/>
        <v>Below College</v>
      </c>
      <c r="K82" t="s">
        <v>34</v>
      </c>
      <c r="L82">
        <v>4</v>
      </c>
      <c r="M82" t="s">
        <v>40</v>
      </c>
      <c r="N82" s="2">
        <v>55</v>
      </c>
      <c r="O82">
        <v>2</v>
      </c>
      <c r="P82">
        <v>2</v>
      </c>
      <c r="Q82" t="s">
        <v>44</v>
      </c>
      <c r="R82">
        <v>4</v>
      </c>
      <c r="S82" t="s">
        <v>42</v>
      </c>
      <c r="T82" s="2">
        <v>5126</v>
      </c>
      <c r="U82" s="2">
        <v>15998</v>
      </c>
      <c r="V82">
        <v>1</v>
      </c>
      <c r="W82" t="s">
        <v>32</v>
      </c>
      <c r="X82">
        <v>12</v>
      </c>
      <c r="Y82">
        <v>3</v>
      </c>
      <c r="Z82">
        <v>3</v>
      </c>
      <c r="AA82">
        <v>80</v>
      </c>
      <c r="AB82">
        <v>2</v>
      </c>
      <c r="AC82">
        <v>10</v>
      </c>
      <c r="AD82">
        <v>1</v>
      </c>
      <c r="AE82">
        <v>2</v>
      </c>
      <c r="AF82">
        <v>10</v>
      </c>
      <c r="AG82">
        <v>8</v>
      </c>
      <c r="AH82">
        <v>3</v>
      </c>
      <c r="AI82">
        <v>0</v>
      </c>
    </row>
    <row r="83" spans="1:35" x14ac:dyDescent="0.25">
      <c r="A83">
        <v>35</v>
      </c>
      <c r="B83" t="str">
        <f t="shared" si="2"/>
        <v>35-44</v>
      </c>
      <c r="C83" s="1" t="s">
        <v>38</v>
      </c>
      <c r="D83" s="17">
        <f>IF(Table1[[#This Row],[Attrition]]="Yes",1,0)</f>
        <v>0</v>
      </c>
      <c r="E83" t="s">
        <v>57</v>
      </c>
      <c r="F83" s="2">
        <v>1214</v>
      </c>
      <c r="G83" t="s">
        <v>39</v>
      </c>
      <c r="H83">
        <v>1</v>
      </c>
      <c r="I83">
        <v>3</v>
      </c>
      <c r="J83" t="str">
        <f t="shared" si="3"/>
        <v>Bachelor</v>
      </c>
      <c r="K83" t="s">
        <v>45</v>
      </c>
      <c r="L83">
        <v>2</v>
      </c>
      <c r="M83" t="s">
        <v>40</v>
      </c>
      <c r="N83" s="2">
        <v>30</v>
      </c>
      <c r="O83">
        <v>2</v>
      </c>
      <c r="P83">
        <v>1</v>
      </c>
      <c r="Q83" t="s">
        <v>41</v>
      </c>
      <c r="R83">
        <v>3</v>
      </c>
      <c r="S83" t="s">
        <v>37</v>
      </c>
      <c r="T83" s="2">
        <v>2859</v>
      </c>
      <c r="U83" s="2">
        <v>26278</v>
      </c>
      <c r="V83">
        <v>1</v>
      </c>
      <c r="W83" t="s">
        <v>38</v>
      </c>
      <c r="X83">
        <v>18</v>
      </c>
      <c r="Y83">
        <v>3</v>
      </c>
      <c r="Z83">
        <v>1</v>
      </c>
      <c r="AA83">
        <v>80</v>
      </c>
      <c r="AB83">
        <v>0</v>
      </c>
      <c r="AC83">
        <v>6</v>
      </c>
      <c r="AD83">
        <v>3</v>
      </c>
      <c r="AE83">
        <v>3</v>
      </c>
      <c r="AF83">
        <v>6</v>
      </c>
      <c r="AG83">
        <v>4</v>
      </c>
      <c r="AH83">
        <v>0</v>
      </c>
      <c r="AI83">
        <v>4</v>
      </c>
    </row>
    <row r="84" spans="1:35" x14ac:dyDescent="0.25">
      <c r="A84">
        <v>55</v>
      </c>
      <c r="B84" t="str">
        <f t="shared" si="2"/>
        <v>55-64</v>
      </c>
      <c r="C84" s="1" t="s">
        <v>38</v>
      </c>
      <c r="D84" s="17">
        <f>IF(Table1[[#This Row],[Attrition]]="Yes",1,0)</f>
        <v>0</v>
      </c>
      <c r="E84" t="s">
        <v>57</v>
      </c>
      <c r="F84" s="2">
        <v>111</v>
      </c>
      <c r="G84" t="s">
        <v>33</v>
      </c>
      <c r="H84">
        <v>1</v>
      </c>
      <c r="I84">
        <v>2</v>
      </c>
      <c r="J84" t="str">
        <f t="shared" si="3"/>
        <v>College</v>
      </c>
      <c r="K84" t="s">
        <v>34</v>
      </c>
      <c r="L84">
        <v>1</v>
      </c>
      <c r="M84" t="s">
        <v>40</v>
      </c>
      <c r="N84" s="2">
        <v>70</v>
      </c>
      <c r="O84">
        <v>3</v>
      </c>
      <c r="P84">
        <v>3</v>
      </c>
      <c r="Q84" t="s">
        <v>36</v>
      </c>
      <c r="R84">
        <v>4</v>
      </c>
      <c r="S84" t="s">
        <v>42</v>
      </c>
      <c r="T84" s="2">
        <v>10239</v>
      </c>
      <c r="U84" s="2">
        <v>18092</v>
      </c>
      <c r="V84">
        <v>3</v>
      </c>
      <c r="W84" t="s">
        <v>38</v>
      </c>
      <c r="X84">
        <v>14</v>
      </c>
      <c r="Y84">
        <v>3</v>
      </c>
      <c r="Z84">
        <v>4</v>
      </c>
      <c r="AA84">
        <v>80</v>
      </c>
      <c r="AB84">
        <v>1</v>
      </c>
      <c r="AC84">
        <v>24</v>
      </c>
      <c r="AD84">
        <v>4</v>
      </c>
      <c r="AE84">
        <v>3</v>
      </c>
      <c r="AF84">
        <v>1</v>
      </c>
      <c r="AG84">
        <v>0</v>
      </c>
      <c r="AH84">
        <v>1</v>
      </c>
      <c r="AI84">
        <v>0</v>
      </c>
    </row>
    <row r="85" spans="1:35" x14ac:dyDescent="0.25">
      <c r="A85">
        <v>38</v>
      </c>
      <c r="B85" t="str">
        <f t="shared" si="2"/>
        <v>35-44</v>
      </c>
      <c r="C85" s="1" t="s">
        <v>38</v>
      </c>
      <c r="D85" s="17">
        <f>IF(Table1[[#This Row],[Attrition]]="Yes",1,0)</f>
        <v>0</v>
      </c>
      <c r="E85" t="s">
        <v>49</v>
      </c>
      <c r="F85" s="2">
        <v>573</v>
      </c>
      <c r="G85" t="s">
        <v>39</v>
      </c>
      <c r="H85">
        <v>6</v>
      </c>
      <c r="I85">
        <v>3</v>
      </c>
      <c r="J85" t="str">
        <f t="shared" si="3"/>
        <v>Bachelor</v>
      </c>
      <c r="K85" t="s">
        <v>45</v>
      </c>
      <c r="L85">
        <v>2</v>
      </c>
      <c r="M85" t="s">
        <v>35</v>
      </c>
      <c r="N85" s="2">
        <v>79</v>
      </c>
      <c r="O85">
        <v>1</v>
      </c>
      <c r="P85">
        <v>2</v>
      </c>
      <c r="Q85" t="s">
        <v>41</v>
      </c>
      <c r="R85">
        <v>4</v>
      </c>
      <c r="S85" t="s">
        <v>46</v>
      </c>
      <c r="T85" s="2">
        <v>5329</v>
      </c>
      <c r="U85" s="2">
        <v>15717</v>
      </c>
      <c r="V85">
        <v>7</v>
      </c>
      <c r="W85" t="s">
        <v>32</v>
      </c>
      <c r="X85">
        <v>12</v>
      </c>
      <c r="Y85">
        <v>3</v>
      </c>
      <c r="Z85">
        <v>4</v>
      </c>
      <c r="AA85">
        <v>80</v>
      </c>
      <c r="AB85">
        <v>3</v>
      </c>
      <c r="AC85">
        <v>17</v>
      </c>
      <c r="AD85">
        <v>3</v>
      </c>
      <c r="AE85">
        <v>3</v>
      </c>
      <c r="AF85">
        <v>13</v>
      </c>
      <c r="AG85">
        <v>11</v>
      </c>
      <c r="AH85">
        <v>1</v>
      </c>
      <c r="AI85">
        <v>9</v>
      </c>
    </row>
    <row r="86" spans="1:35" x14ac:dyDescent="0.25">
      <c r="A86">
        <v>34</v>
      </c>
      <c r="B86" t="str">
        <f t="shared" si="2"/>
        <v>25-34</v>
      </c>
      <c r="C86" s="1" t="s">
        <v>38</v>
      </c>
      <c r="D86" s="17">
        <f>IF(Table1[[#This Row],[Attrition]]="Yes",1,0)</f>
        <v>0</v>
      </c>
      <c r="E86" t="s">
        <v>57</v>
      </c>
      <c r="F86" s="2">
        <v>1153</v>
      </c>
      <c r="G86" t="s">
        <v>39</v>
      </c>
      <c r="H86">
        <v>1</v>
      </c>
      <c r="I86">
        <v>2</v>
      </c>
      <c r="J86" t="str">
        <f t="shared" si="3"/>
        <v>College</v>
      </c>
      <c r="K86" t="s">
        <v>45</v>
      </c>
      <c r="L86">
        <v>1</v>
      </c>
      <c r="M86" t="s">
        <v>40</v>
      </c>
      <c r="N86" s="2">
        <v>94</v>
      </c>
      <c r="O86">
        <v>3</v>
      </c>
      <c r="P86">
        <v>2</v>
      </c>
      <c r="Q86" t="s">
        <v>47</v>
      </c>
      <c r="R86">
        <v>2</v>
      </c>
      <c r="S86" t="s">
        <v>42</v>
      </c>
      <c r="T86" s="2">
        <v>4325</v>
      </c>
      <c r="U86" s="2">
        <v>17736</v>
      </c>
      <c r="V86">
        <v>1</v>
      </c>
      <c r="W86" t="s">
        <v>38</v>
      </c>
      <c r="X86">
        <v>15</v>
      </c>
      <c r="Y86">
        <v>3</v>
      </c>
      <c r="Z86">
        <v>3</v>
      </c>
      <c r="AA86">
        <v>80</v>
      </c>
      <c r="AB86">
        <v>0</v>
      </c>
      <c r="AC86">
        <v>5</v>
      </c>
      <c r="AD86">
        <v>2</v>
      </c>
      <c r="AE86">
        <v>3</v>
      </c>
      <c r="AF86">
        <v>5</v>
      </c>
      <c r="AG86">
        <v>2</v>
      </c>
      <c r="AH86">
        <v>1</v>
      </c>
      <c r="AI86">
        <v>3</v>
      </c>
    </row>
    <row r="87" spans="1:35" x14ac:dyDescent="0.25">
      <c r="A87">
        <v>56</v>
      </c>
      <c r="B87" t="str">
        <f t="shared" si="2"/>
        <v>55-64</v>
      </c>
      <c r="C87" s="1" t="s">
        <v>38</v>
      </c>
      <c r="D87" s="17">
        <f>IF(Table1[[#This Row],[Attrition]]="Yes",1,0)</f>
        <v>0</v>
      </c>
      <c r="E87" t="s">
        <v>57</v>
      </c>
      <c r="F87" s="2">
        <v>1400</v>
      </c>
      <c r="G87" t="s">
        <v>39</v>
      </c>
      <c r="H87">
        <v>7</v>
      </c>
      <c r="I87">
        <v>3</v>
      </c>
      <c r="J87" t="str">
        <f t="shared" si="3"/>
        <v>Bachelor</v>
      </c>
      <c r="K87" t="s">
        <v>34</v>
      </c>
      <c r="L87">
        <v>4</v>
      </c>
      <c r="M87" t="s">
        <v>40</v>
      </c>
      <c r="N87" s="2">
        <v>49</v>
      </c>
      <c r="O87">
        <v>1</v>
      </c>
      <c r="P87">
        <v>3</v>
      </c>
      <c r="Q87" t="s">
        <v>47</v>
      </c>
      <c r="R87">
        <v>4</v>
      </c>
      <c r="S87" t="s">
        <v>37</v>
      </c>
      <c r="T87" s="2">
        <v>7260</v>
      </c>
      <c r="U87" s="2">
        <v>21698</v>
      </c>
      <c r="V87">
        <v>4</v>
      </c>
      <c r="W87" t="s">
        <v>38</v>
      </c>
      <c r="X87">
        <v>11</v>
      </c>
      <c r="Y87">
        <v>3</v>
      </c>
      <c r="Z87">
        <v>1</v>
      </c>
      <c r="AA87">
        <v>80</v>
      </c>
      <c r="AB87">
        <v>0</v>
      </c>
      <c r="AC87">
        <v>37</v>
      </c>
      <c r="AD87">
        <v>3</v>
      </c>
      <c r="AE87">
        <v>2</v>
      </c>
      <c r="AF87">
        <v>6</v>
      </c>
      <c r="AG87">
        <v>4</v>
      </c>
      <c r="AH87">
        <v>0</v>
      </c>
      <c r="AI87">
        <v>2</v>
      </c>
    </row>
    <row r="88" spans="1:35" x14ac:dyDescent="0.25">
      <c r="A88">
        <v>23</v>
      </c>
      <c r="B88" t="str">
        <f t="shared" si="2"/>
        <v>18-24</v>
      </c>
      <c r="C88" s="1" t="s">
        <v>38</v>
      </c>
      <c r="D88" s="17">
        <f>IF(Table1[[#This Row],[Attrition]]="Yes",1,0)</f>
        <v>0</v>
      </c>
      <c r="E88" t="s">
        <v>57</v>
      </c>
      <c r="F88" s="2">
        <v>541</v>
      </c>
      <c r="G88" t="s">
        <v>33</v>
      </c>
      <c r="H88">
        <v>2</v>
      </c>
      <c r="I88">
        <v>1</v>
      </c>
      <c r="J88" t="str">
        <f t="shared" si="3"/>
        <v>Below College</v>
      </c>
      <c r="K88" t="s">
        <v>54</v>
      </c>
      <c r="L88">
        <v>3</v>
      </c>
      <c r="M88" t="s">
        <v>40</v>
      </c>
      <c r="N88" s="2">
        <v>62</v>
      </c>
      <c r="O88">
        <v>3</v>
      </c>
      <c r="P88">
        <v>1</v>
      </c>
      <c r="Q88" t="s">
        <v>51</v>
      </c>
      <c r="R88">
        <v>1</v>
      </c>
      <c r="S88" t="s">
        <v>46</v>
      </c>
      <c r="T88" s="2">
        <v>2322</v>
      </c>
      <c r="U88" s="2">
        <v>9518</v>
      </c>
      <c r="V88">
        <v>3</v>
      </c>
      <c r="W88" t="s">
        <v>38</v>
      </c>
      <c r="X88">
        <v>13</v>
      </c>
      <c r="Y88">
        <v>3</v>
      </c>
      <c r="Z88">
        <v>3</v>
      </c>
      <c r="AA88">
        <v>80</v>
      </c>
      <c r="AB88">
        <v>1</v>
      </c>
      <c r="AC88">
        <v>3</v>
      </c>
      <c r="AD88">
        <v>3</v>
      </c>
      <c r="AE88">
        <v>3</v>
      </c>
      <c r="AF88">
        <v>0</v>
      </c>
      <c r="AG88">
        <v>0</v>
      </c>
      <c r="AH88">
        <v>0</v>
      </c>
      <c r="AI88">
        <v>0</v>
      </c>
    </row>
    <row r="89" spans="1:35" x14ac:dyDescent="0.25">
      <c r="A89">
        <v>51</v>
      </c>
      <c r="B89" t="str">
        <f t="shared" si="2"/>
        <v>45-54</v>
      </c>
      <c r="C89" s="1" t="s">
        <v>38</v>
      </c>
      <c r="D89" s="17">
        <f>IF(Table1[[#This Row],[Attrition]]="Yes",1,0)</f>
        <v>0</v>
      </c>
      <c r="E89" t="s">
        <v>57</v>
      </c>
      <c r="F89" s="2">
        <v>432</v>
      </c>
      <c r="G89" t="s">
        <v>39</v>
      </c>
      <c r="H89">
        <v>9</v>
      </c>
      <c r="I89">
        <v>4</v>
      </c>
      <c r="J89" t="str">
        <f t="shared" si="3"/>
        <v>Master</v>
      </c>
      <c r="K89" t="s">
        <v>34</v>
      </c>
      <c r="L89">
        <v>4</v>
      </c>
      <c r="M89" t="s">
        <v>40</v>
      </c>
      <c r="N89" s="2">
        <v>96</v>
      </c>
      <c r="O89">
        <v>3</v>
      </c>
      <c r="P89">
        <v>1</v>
      </c>
      <c r="Q89" t="s">
        <v>44</v>
      </c>
      <c r="R89">
        <v>4</v>
      </c>
      <c r="S89" t="s">
        <v>42</v>
      </c>
      <c r="T89" s="2">
        <v>2075</v>
      </c>
      <c r="U89" s="2">
        <v>18725</v>
      </c>
      <c r="V89">
        <v>3</v>
      </c>
      <c r="W89" t="s">
        <v>38</v>
      </c>
      <c r="X89">
        <v>23</v>
      </c>
      <c r="Y89">
        <v>4</v>
      </c>
      <c r="Z89">
        <v>2</v>
      </c>
      <c r="AA89">
        <v>80</v>
      </c>
      <c r="AB89">
        <v>2</v>
      </c>
      <c r="AC89">
        <v>10</v>
      </c>
      <c r="AD89">
        <v>4</v>
      </c>
      <c r="AE89">
        <v>3</v>
      </c>
      <c r="AF89">
        <v>4</v>
      </c>
      <c r="AG89">
        <v>2</v>
      </c>
      <c r="AH89">
        <v>0</v>
      </c>
      <c r="AI89">
        <v>3</v>
      </c>
    </row>
    <row r="90" spans="1:35" x14ac:dyDescent="0.25">
      <c r="A90">
        <v>30</v>
      </c>
      <c r="B90" t="str">
        <f t="shared" si="2"/>
        <v>25-34</v>
      </c>
      <c r="C90" s="1" t="s">
        <v>38</v>
      </c>
      <c r="D90" s="17">
        <f>IF(Table1[[#This Row],[Attrition]]="Yes",1,0)</f>
        <v>0</v>
      </c>
      <c r="E90" t="s">
        <v>57</v>
      </c>
      <c r="F90" s="2">
        <v>288</v>
      </c>
      <c r="G90" t="s">
        <v>39</v>
      </c>
      <c r="H90">
        <v>2</v>
      </c>
      <c r="I90">
        <v>3</v>
      </c>
      <c r="J90" t="str">
        <f t="shared" si="3"/>
        <v>Bachelor</v>
      </c>
      <c r="K90" t="s">
        <v>34</v>
      </c>
      <c r="L90">
        <v>3</v>
      </c>
      <c r="M90" t="s">
        <v>40</v>
      </c>
      <c r="N90" s="2">
        <v>99</v>
      </c>
      <c r="O90">
        <v>2</v>
      </c>
      <c r="P90">
        <v>2</v>
      </c>
      <c r="Q90" t="s">
        <v>48</v>
      </c>
      <c r="R90">
        <v>4</v>
      </c>
      <c r="S90" t="s">
        <v>42</v>
      </c>
      <c r="T90" s="2">
        <v>4152</v>
      </c>
      <c r="U90" s="2">
        <v>15830</v>
      </c>
      <c r="V90">
        <v>1</v>
      </c>
      <c r="W90" t="s">
        <v>38</v>
      </c>
      <c r="X90">
        <v>19</v>
      </c>
      <c r="Y90">
        <v>3</v>
      </c>
      <c r="Z90">
        <v>1</v>
      </c>
      <c r="AA90">
        <v>80</v>
      </c>
      <c r="AB90">
        <v>3</v>
      </c>
      <c r="AC90">
        <v>11</v>
      </c>
      <c r="AD90">
        <v>3</v>
      </c>
      <c r="AE90">
        <v>3</v>
      </c>
      <c r="AF90">
        <v>11</v>
      </c>
      <c r="AG90">
        <v>10</v>
      </c>
      <c r="AH90">
        <v>10</v>
      </c>
      <c r="AI90">
        <v>8</v>
      </c>
    </row>
    <row r="91" spans="1:35" x14ac:dyDescent="0.25">
      <c r="A91">
        <v>46</v>
      </c>
      <c r="B91" t="str">
        <f t="shared" si="2"/>
        <v>45-54</v>
      </c>
      <c r="C91" s="1" t="s">
        <v>32</v>
      </c>
      <c r="D91" s="17">
        <f>IF(Table1[[#This Row],[Attrition]]="Yes",1,0)</f>
        <v>1</v>
      </c>
      <c r="E91" t="s">
        <v>57</v>
      </c>
      <c r="F91" s="2">
        <v>669</v>
      </c>
      <c r="G91" t="s">
        <v>33</v>
      </c>
      <c r="H91">
        <v>9</v>
      </c>
      <c r="I91">
        <v>2</v>
      </c>
      <c r="J91" t="str">
        <f t="shared" si="3"/>
        <v>College</v>
      </c>
      <c r="K91" t="s">
        <v>45</v>
      </c>
      <c r="L91">
        <v>3</v>
      </c>
      <c r="M91" t="s">
        <v>40</v>
      </c>
      <c r="N91" s="2">
        <v>64</v>
      </c>
      <c r="O91">
        <v>2</v>
      </c>
      <c r="P91">
        <v>3</v>
      </c>
      <c r="Q91" t="s">
        <v>36</v>
      </c>
      <c r="R91">
        <v>4</v>
      </c>
      <c r="S91" t="s">
        <v>37</v>
      </c>
      <c r="T91" s="2">
        <v>9619</v>
      </c>
      <c r="U91" s="2">
        <v>13596</v>
      </c>
      <c r="V91">
        <v>1</v>
      </c>
      <c r="W91" t="s">
        <v>38</v>
      </c>
      <c r="X91">
        <v>16</v>
      </c>
      <c r="Y91">
        <v>3</v>
      </c>
      <c r="Z91">
        <v>4</v>
      </c>
      <c r="AA91">
        <v>80</v>
      </c>
      <c r="AB91">
        <v>0</v>
      </c>
      <c r="AC91">
        <v>9</v>
      </c>
      <c r="AD91">
        <v>3</v>
      </c>
      <c r="AE91">
        <v>3</v>
      </c>
      <c r="AF91">
        <v>9</v>
      </c>
      <c r="AG91">
        <v>8</v>
      </c>
      <c r="AH91">
        <v>4</v>
      </c>
      <c r="AI91">
        <v>7</v>
      </c>
    </row>
    <row r="92" spans="1:35" x14ac:dyDescent="0.25">
      <c r="A92">
        <v>40</v>
      </c>
      <c r="B92" t="str">
        <f t="shared" si="2"/>
        <v>35-44</v>
      </c>
      <c r="C92" s="1" t="s">
        <v>38</v>
      </c>
      <c r="D92" s="17">
        <f>IF(Table1[[#This Row],[Attrition]]="Yes",1,0)</f>
        <v>0</v>
      </c>
      <c r="E92" t="s">
        <v>58</v>
      </c>
      <c r="F92" s="2">
        <v>530</v>
      </c>
      <c r="G92" t="s">
        <v>39</v>
      </c>
      <c r="H92">
        <v>1</v>
      </c>
      <c r="I92">
        <v>4</v>
      </c>
      <c r="J92" t="str">
        <f t="shared" si="3"/>
        <v>Master</v>
      </c>
      <c r="K92" t="s">
        <v>34</v>
      </c>
      <c r="L92">
        <v>3</v>
      </c>
      <c r="M92" t="s">
        <v>40</v>
      </c>
      <c r="N92" s="2">
        <v>78</v>
      </c>
      <c r="O92">
        <v>2</v>
      </c>
      <c r="P92">
        <v>4</v>
      </c>
      <c r="Q92" t="s">
        <v>48</v>
      </c>
      <c r="R92">
        <v>2</v>
      </c>
      <c r="S92" t="s">
        <v>42</v>
      </c>
      <c r="T92" s="2">
        <v>13503</v>
      </c>
      <c r="U92" s="2">
        <v>14115</v>
      </c>
      <c r="V92">
        <v>1</v>
      </c>
      <c r="W92" t="s">
        <v>38</v>
      </c>
      <c r="X92">
        <v>22</v>
      </c>
      <c r="Y92">
        <v>4</v>
      </c>
      <c r="Z92">
        <v>4</v>
      </c>
      <c r="AA92">
        <v>80</v>
      </c>
      <c r="AB92">
        <v>1</v>
      </c>
      <c r="AC92">
        <v>22</v>
      </c>
      <c r="AD92">
        <v>3</v>
      </c>
      <c r="AE92">
        <v>2</v>
      </c>
      <c r="AF92">
        <v>22</v>
      </c>
      <c r="AG92">
        <v>3</v>
      </c>
      <c r="AH92">
        <v>11</v>
      </c>
      <c r="AI92">
        <v>11</v>
      </c>
    </row>
    <row r="93" spans="1:35" x14ac:dyDescent="0.25">
      <c r="A93">
        <v>51</v>
      </c>
      <c r="B93" t="str">
        <f t="shared" si="2"/>
        <v>45-54</v>
      </c>
      <c r="C93" s="1" t="s">
        <v>38</v>
      </c>
      <c r="D93" s="17">
        <f>IF(Table1[[#This Row],[Attrition]]="Yes",1,0)</f>
        <v>0</v>
      </c>
      <c r="E93" t="s">
        <v>57</v>
      </c>
      <c r="F93" s="2">
        <v>632</v>
      </c>
      <c r="G93" t="s">
        <v>33</v>
      </c>
      <c r="H93">
        <v>21</v>
      </c>
      <c r="I93">
        <v>4</v>
      </c>
      <c r="J93" t="str">
        <f t="shared" si="3"/>
        <v>Master</v>
      </c>
      <c r="K93" t="s">
        <v>53</v>
      </c>
      <c r="L93">
        <v>3</v>
      </c>
      <c r="M93" t="s">
        <v>40</v>
      </c>
      <c r="N93" s="2">
        <v>71</v>
      </c>
      <c r="O93">
        <v>3</v>
      </c>
      <c r="P93">
        <v>2</v>
      </c>
      <c r="Q93" t="s">
        <v>36</v>
      </c>
      <c r="R93">
        <v>4</v>
      </c>
      <c r="S93" t="s">
        <v>37</v>
      </c>
      <c r="T93" s="2">
        <v>5441</v>
      </c>
      <c r="U93" s="2">
        <v>8423</v>
      </c>
      <c r="V93">
        <v>0</v>
      </c>
      <c r="W93" t="s">
        <v>32</v>
      </c>
      <c r="X93">
        <v>22</v>
      </c>
      <c r="Y93">
        <v>4</v>
      </c>
      <c r="Z93">
        <v>4</v>
      </c>
      <c r="AA93">
        <v>80</v>
      </c>
      <c r="AB93">
        <v>0</v>
      </c>
      <c r="AC93">
        <v>11</v>
      </c>
      <c r="AD93">
        <v>2</v>
      </c>
      <c r="AE93">
        <v>1</v>
      </c>
      <c r="AF93">
        <v>10</v>
      </c>
      <c r="AG93">
        <v>7</v>
      </c>
      <c r="AH93">
        <v>1</v>
      </c>
      <c r="AI93">
        <v>0</v>
      </c>
    </row>
    <row r="94" spans="1:35" x14ac:dyDescent="0.25">
      <c r="A94">
        <v>30</v>
      </c>
      <c r="B94" t="str">
        <f t="shared" si="2"/>
        <v>25-34</v>
      </c>
      <c r="C94" s="1" t="s">
        <v>38</v>
      </c>
      <c r="D94" s="17">
        <f>IF(Table1[[#This Row],[Attrition]]="Yes",1,0)</f>
        <v>0</v>
      </c>
      <c r="E94" t="s">
        <v>57</v>
      </c>
      <c r="F94" s="2">
        <v>1334</v>
      </c>
      <c r="G94" t="s">
        <v>33</v>
      </c>
      <c r="H94">
        <v>4</v>
      </c>
      <c r="I94">
        <v>2</v>
      </c>
      <c r="J94" t="str">
        <f t="shared" si="3"/>
        <v>College</v>
      </c>
      <c r="K94" t="s">
        <v>45</v>
      </c>
      <c r="L94">
        <v>3</v>
      </c>
      <c r="M94" t="s">
        <v>35</v>
      </c>
      <c r="N94" s="2">
        <v>63</v>
      </c>
      <c r="O94">
        <v>2</v>
      </c>
      <c r="P94">
        <v>2</v>
      </c>
      <c r="Q94" t="s">
        <v>36</v>
      </c>
      <c r="R94">
        <v>2</v>
      </c>
      <c r="S94" t="s">
        <v>46</v>
      </c>
      <c r="T94" s="2">
        <v>5209</v>
      </c>
      <c r="U94" s="2">
        <v>19760</v>
      </c>
      <c r="V94">
        <v>1</v>
      </c>
      <c r="W94" t="s">
        <v>32</v>
      </c>
      <c r="X94">
        <v>12</v>
      </c>
      <c r="Y94">
        <v>3</v>
      </c>
      <c r="Z94">
        <v>2</v>
      </c>
      <c r="AA94">
        <v>80</v>
      </c>
      <c r="AB94">
        <v>3</v>
      </c>
      <c r="AC94">
        <v>11</v>
      </c>
      <c r="AD94">
        <v>4</v>
      </c>
      <c r="AE94">
        <v>2</v>
      </c>
      <c r="AF94">
        <v>11</v>
      </c>
      <c r="AG94">
        <v>8</v>
      </c>
      <c r="AH94">
        <v>2</v>
      </c>
      <c r="AI94">
        <v>7</v>
      </c>
    </row>
    <row r="95" spans="1:35" x14ac:dyDescent="0.25">
      <c r="A95">
        <v>46</v>
      </c>
      <c r="B95" t="str">
        <f t="shared" si="2"/>
        <v>45-54</v>
      </c>
      <c r="C95" s="1" t="s">
        <v>38</v>
      </c>
      <c r="D95" s="17">
        <f>IF(Table1[[#This Row],[Attrition]]="Yes",1,0)</f>
        <v>0</v>
      </c>
      <c r="E95" t="s">
        <v>58</v>
      </c>
      <c r="F95" s="2">
        <v>638</v>
      </c>
      <c r="G95" t="s">
        <v>39</v>
      </c>
      <c r="H95">
        <v>1</v>
      </c>
      <c r="I95">
        <v>3</v>
      </c>
      <c r="J95" t="str">
        <f t="shared" si="3"/>
        <v>Bachelor</v>
      </c>
      <c r="K95" t="s">
        <v>45</v>
      </c>
      <c r="L95">
        <v>3</v>
      </c>
      <c r="M95" t="s">
        <v>40</v>
      </c>
      <c r="N95" s="2">
        <v>40</v>
      </c>
      <c r="O95">
        <v>2</v>
      </c>
      <c r="P95">
        <v>3</v>
      </c>
      <c r="Q95" t="s">
        <v>48</v>
      </c>
      <c r="R95">
        <v>1</v>
      </c>
      <c r="S95" t="s">
        <v>42</v>
      </c>
      <c r="T95" s="2">
        <v>10673</v>
      </c>
      <c r="U95" s="2">
        <v>3142</v>
      </c>
      <c r="V95">
        <v>2</v>
      </c>
      <c r="W95" t="s">
        <v>32</v>
      </c>
      <c r="X95">
        <v>13</v>
      </c>
      <c r="Y95">
        <v>3</v>
      </c>
      <c r="Z95">
        <v>3</v>
      </c>
      <c r="AA95">
        <v>80</v>
      </c>
      <c r="AB95">
        <v>1</v>
      </c>
      <c r="AC95">
        <v>21</v>
      </c>
      <c r="AD95">
        <v>5</v>
      </c>
      <c r="AE95">
        <v>2</v>
      </c>
      <c r="AF95">
        <v>10</v>
      </c>
      <c r="AG95">
        <v>9</v>
      </c>
      <c r="AH95">
        <v>9</v>
      </c>
      <c r="AI95">
        <v>5</v>
      </c>
    </row>
    <row r="96" spans="1:35" x14ac:dyDescent="0.25">
      <c r="A96">
        <v>32</v>
      </c>
      <c r="B96" t="str">
        <f t="shared" si="2"/>
        <v>25-34</v>
      </c>
      <c r="C96" s="1" t="s">
        <v>38</v>
      </c>
      <c r="D96" s="17">
        <f>IF(Table1[[#This Row],[Attrition]]="Yes",1,0)</f>
        <v>0</v>
      </c>
      <c r="E96" t="s">
        <v>57</v>
      </c>
      <c r="F96" s="2">
        <v>1093</v>
      </c>
      <c r="G96" t="s">
        <v>33</v>
      </c>
      <c r="H96">
        <v>6</v>
      </c>
      <c r="I96">
        <v>4</v>
      </c>
      <c r="J96" t="str">
        <f t="shared" si="3"/>
        <v>Master</v>
      </c>
      <c r="K96" t="s">
        <v>45</v>
      </c>
      <c r="L96">
        <v>2</v>
      </c>
      <c r="M96" t="s">
        <v>40</v>
      </c>
      <c r="N96" s="2">
        <v>87</v>
      </c>
      <c r="O96">
        <v>3</v>
      </c>
      <c r="P96">
        <v>2</v>
      </c>
      <c r="Q96" t="s">
        <v>36</v>
      </c>
      <c r="R96">
        <v>3</v>
      </c>
      <c r="S96" t="s">
        <v>37</v>
      </c>
      <c r="T96" s="2">
        <v>5010</v>
      </c>
      <c r="U96" s="2">
        <v>24301</v>
      </c>
      <c r="V96">
        <v>1</v>
      </c>
      <c r="W96" t="s">
        <v>38</v>
      </c>
      <c r="X96">
        <v>16</v>
      </c>
      <c r="Y96">
        <v>3</v>
      </c>
      <c r="Z96">
        <v>1</v>
      </c>
      <c r="AA96">
        <v>80</v>
      </c>
      <c r="AB96">
        <v>0</v>
      </c>
      <c r="AC96">
        <v>12</v>
      </c>
      <c r="AD96">
        <v>0</v>
      </c>
      <c r="AE96">
        <v>3</v>
      </c>
      <c r="AF96">
        <v>11</v>
      </c>
      <c r="AG96">
        <v>8</v>
      </c>
      <c r="AH96">
        <v>5</v>
      </c>
      <c r="AI96">
        <v>7</v>
      </c>
    </row>
    <row r="97" spans="1:35" x14ac:dyDescent="0.25">
      <c r="A97">
        <v>54</v>
      </c>
      <c r="B97" t="str">
        <f t="shared" si="2"/>
        <v>45-54</v>
      </c>
      <c r="C97" s="1" t="s">
        <v>38</v>
      </c>
      <c r="D97" s="17">
        <f>IF(Table1[[#This Row],[Attrition]]="Yes",1,0)</f>
        <v>0</v>
      </c>
      <c r="E97" t="s">
        <v>57</v>
      </c>
      <c r="F97" s="2">
        <v>1217</v>
      </c>
      <c r="G97" t="s">
        <v>39</v>
      </c>
      <c r="H97">
        <v>2</v>
      </c>
      <c r="I97">
        <v>4</v>
      </c>
      <c r="J97" t="str">
        <f t="shared" si="3"/>
        <v>Master</v>
      </c>
      <c r="K97" t="s">
        <v>54</v>
      </c>
      <c r="L97">
        <v>1</v>
      </c>
      <c r="M97" t="s">
        <v>35</v>
      </c>
      <c r="N97" s="2">
        <v>60</v>
      </c>
      <c r="O97">
        <v>3</v>
      </c>
      <c r="P97">
        <v>3</v>
      </c>
      <c r="Q97" t="s">
        <v>52</v>
      </c>
      <c r="R97">
        <v>3</v>
      </c>
      <c r="S97" t="s">
        <v>42</v>
      </c>
      <c r="T97" s="2">
        <v>13549</v>
      </c>
      <c r="U97" s="2">
        <v>24001</v>
      </c>
      <c r="V97">
        <v>9</v>
      </c>
      <c r="W97" t="s">
        <v>38</v>
      </c>
      <c r="X97">
        <v>12</v>
      </c>
      <c r="Y97">
        <v>3</v>
      </c>
      <c r="Z97">
        <v>1</v>
      </c>
      <c r="AA97">
        <v>80</v>
      </c>
      <c r="AB97">
        <v>1</v>
      </c>
      <c r="AC97">
        <v>16</v>
      </c>
      <c r="AD97">
        <v>5</v>
      </c>
      <c r="AE97">
        <v>1</v>
      </c>
      <c r="AF97">
        <v>4</v>
      </c>
      <c r="AG97">
        <v>3</v>
      </c>
      <c r="AH97">
        <v>0</v>
      </c>
      <c r="AI97">
        <v>3</v>
      </c>
    </row>
    <row r="98" spans="1:35" x14ac:dyDescent="0.25">
      <c r="A98">
        <v>24</v>
      </c>
      <c r="B98" t="str">
        <f t="shared" si="2"/>
        <v>18-24</v>
      </c>
      <c r="C98" s="1" t="s">
        <v>38</v>
      </c>
      <c r="D98" s="17">
        <f>IF(Table1[[#This Row],[Attrition]]="Yes",1,0)</f>
        <v>0</v>
      </c>
      <c r="E98" t="s">
        <v>57</v>
      </c>
      <c r="F98" s="2">
        <v>1353</v>
      </c>
      <c r="G98" t="s">
        <v>33</v>
      </c>
      <c r="H98">
        <v>3</v>
      </c>
      <c r="I98">
        <v>2</v>
      </c>
      <c r="J98" t="str">
        <f t="shared" si="3"/>
        <v>College</v>
      </c>
      <c r="K98" t="s">
        <v>43</v>
      </c>
      <c r="L98">
        <v>1</v>
      </c>
      <c r="M98" t="s">
        <v>35</v>
      </c>
      <c r="N98" s="2">
        <v>33</v>
      </c>
      <c r="O98">
        <v>3</v>
      </c>
      <c r="P98">
        <v>2</v>
      </c>
      <c r="Q98" t="s">
        <v>36</v>
      </c>
      <c r="R98">
        <v>3</v>
      </c>
      <c r="S98" t="s">
        <v>42</v>
      </c>
      <c r="T98" s="2">
        <v>4999</v>
      </c>
      <c r="U98" s="2">
        <v>17519</v>
      </c>
      <c r="V98">
        <v>0</v>
      </c>
      <c r="W98" t="s">
        <v>38</v>
      </c>
      <c r="X98">
        <v>21</v>
      </c>
      <c r="Y98">
        <v>4</v>
      </c>
      <c r="Z98">
        <v>1</v>
      </c>
      <c r="AA98">
        <v>80</v>
      </c>
      <c r="AB98">
        <v>1</v>
      </c>
      <c r="AC98">
        <v>4</v>
      </c>
      <c r="AD98">
        <v>2</v>
      </c>
      <c r="AE98">
        <v>2</v>
      </c>
      <c r="AF98">
        <v>3</v>
      </c>
      <c r="AG98">
        <v>2</v>
      </c>
      <c r="AH98">
        <v>0</v>
      </c>
      <c r="AI98">
        <v>2</v>
      </c>
    </row>
    <row r="99" spans="1:35" x14ac:dyDescent="0.25">
      <c r="A99">
        <v>28</v>
      </c>
      <c r="B99" t="str">
        <f t="shared" si="2"/>
        <v>25-34</v>
      </c>
      <c r="C99" s="1" t="s">
        <v>38</v>
      </c>
      <c r="D99" s="17">
        <f>IF(Table1[[#This Row],[Attrition]]="Yes",1,0)</f>
        <v>0</v>
      </c>
      <c r="E99" t="s">
        <v>49</v>
      </c>
      <c r="F99" s="2">
        <v>120</v>
      </c>
      <c r="G99" t="s">
        <v>33</v>
      </c>
      <c r="H99">
        <v>4</v>
      </c>
      <c r="I99">
        <v>3</v>
      </c>
      <c r="J99" t="str">
        <f t="shared" si="3"/>
        <v>Bachelor</v>
      </c>
      <c r="K99" t="s">
        <v>45</v>
      </c>
      <c r="L99">
        <v>2</v>
      </c>
      <c r="M99" t="s">
        <v>40</v>
      </c>
      <c r="N99" s="2">
        <v>43</v>
      </c>
      <c r="O99">
        <v>3</v>
      </c>
      <c r="P99">
        <v>2</v>
      </c>
      <c r="Q99" t="s">
        <v>36</v>
      </c>
      <c r="R99">
        <v>3</v>
      </c>
      <c r="S99" t="s">
        <v>42</v>
      </c>
      <c r="T99" s="2">
        <v>4221</v>
      </c>
      <c r="U99" s="2">
        <v>8863</v>
      </c>
      <c r="V99">
        <v>1</v>
      </c>
      <c r="W99" t="s">
        <v>38</v>
      </c>
      <c r="X99">
        <v>15</v>
      </c>
      <c r="Y99">
        <v>3</v>
      </c>
      <c r="Z99">
        <v>2</v>
      </c>
      <c r="AA99">
        <v>80</v>
      </c>
      <c r="AB99">
        <v>0</v>
      </c>
      <c r="AC99">
        <v>5</v>
      </c>
      <c r="AD99">
        <v>3</v>
      </c>
      <c r="AE99">
        <v>4</v>
      </c>
      <c r="AF99">
        <v>5</v>
      </c>
      <c r="AG99">
        <v>4</v>
      </c>
      <c r="AH99">
        <v>0</v>
      </c>
      <c r="AI99">
        <v>4</v>
      </c>
    </row>
    <row r="100" spans="1:35" x14ac:dyDescent="0.25">
      <c r="A100">
        <v>58</v>
      </c>
      <c r="B100" t="str">
        <f t="shared" si="2"/>
        <v>55-64</v>
      </c>
      <c r="C100" s="1" t="s">
        <v>38</v>
      </c>
      <c r="D100" s="17">
        <f>IF(Table1[[#This Row],[Attrition]]="Yes",1,0)</f>
        <v>0</v>
      </c>
      <c r="E100" t="s">
        <v>57</v>
      </c>
      <c r="F100" s="2">
        <v>682</v>
      </c>
      <c r="G100" t="s">
        <v>33</v>
      </c>
      <c r="H100">
        <v>10</v>
      </c>
      <c r="I100">
        <v>4</v>
      </c>
      <c r="J100" t="str">
        <f t="shared" si="3"/>
        <v>Master</v>
      </c>
      <c r="K100" t="s">
        <v>45</v>
      </c>
      <c r="L100">
        <v>4</v>
      </c>
      <c r="M100" t="s">
        <v>40</v>
      </c>
      <c r="N100" s="2">
        <v>37</v>
      </c>
      <c r="O100">
        <v>3</v>
      </c>
      <c r="P100">
        <v>4</v>
      </c>
      <c r="Q100" t="s">
        <v>36</v>
      </c>
      <c r="R100">
        <v>3</v>
      </c>
      <c r="S100" t="s">
        <v>37</v>
      </c>
      <c r="T100" s="2">
        <v>13872</v>
      </c>
      <c r="U100" s="2">
        <v>24409</v>
      </c>
      <c r="V100">
        <v>0</v>
      </c>
      <c r="W100" t="s">
        <v>38</v>
      </c>
      <c r="X100">
        <v>13</v>
      </c>
      <c r="Y100">
        <v>3</v>
      </c>
      <c r="Z100">
        <v>3</v>
      </c>
      <c r="AA100">
        <v>80</v>
      </c>
      <c r="AB100">
        <v>0</v>
      </c>
      <c r="AC100">
        <v>38</v>
      </c>
      <c r="AD100">
        <v>1</v>
      </c>
      <c r="AE100">
        <v>2</v>
      </c>
      <c r="AF100">
        <v>37</v>
      </c>
      <c r="AG100">
        <v>10</v>
      </c>
      <c r="AH100">
        <v>1</v>
      </c>
      <c r="AI100">
        <v>8</v>
      </c>
    </row>
    <row r="101" spans="1:35" x14ac:dyDescent="0.25">
      <c r="A101">
        <v>44</v>
      </c>
      <c r="B101" t="str">
        <f t="shared" si="2"/>
        <v>35-44</v>
      </c>
      <c r="C101" s="1" t="s">
        <v>38</v>
      </c>
      <c r="D101" s="17">
        <f>IF(Table1[[#This Row],[Attrition]]="Yes",1,0)</f>
        <v>0</v>
      </c>
      <c r="E101" t="s">
        <v>49</v>
      </c>
      <c r="F101" s="2">
        <v>489</v>
      </c>
      <c r="G101" t="s">
        <v>39</v>
      </c>
      <c r="H101">
        <v>23</v>
      </c>
      <c r="I101">
        <v>3</v>
      </c>
      <c r="J101" t="str">
        <f t="shared" si="3"/>
        <v>Bachelor</v>
      </c>
      <c r="K101" t="s">
        <v>45</v>
      </c>
      <c r="L101">
        <v>2</v>
      </c>
      <c r="M101" t="s">
        <v>40</v>
      </c>
      <c r="N101" s="2">
        <v>67</v>
      </c>
      <c r="O101">
        <v>3</v>
      </c>
      <c r="P101">
        <v>2</v>
      </c>
      <c r="Q101" t="s">
        <v>44</v>
      </c>
      <c r="R101">
        <v>2</v>
      </c>
      <c r="S101" t="s">
        <v>42</v>
      </c>
      <c r="T101" s="2">
        <v>2042</v>
      </c>
      <c r="U101" s="2">
        <v>25043</v>
      </c>
      <c r="V101">
        <v>4</v>
      </c>
      <c r="W101" t="s">
        <v>38</v>
      </c>
      <c r="X101">
        <v>12</v>
      </c>
      <c r="Y101">
        <v>3</v>
      </c>
      <c r="Z101">
        <v>3</v>
      </c>
      <c r="AA101">
        <v>80</v>
      </c>
      <c r="AB101">
        <v>1</v>
      </c>
      <c r="AC101">
        <v>17</v>
      </c>
      <c r="AD101">
        <v>3</v>
      </c>
      <c r="AE101">
        <v>4</v>
      </c>
      <c r="AF101">
        <v>3</v>
      </c>
      <c r="AG101">
        <v>2</v>
      </c>
      <c r="AH101">
        <v>1</v>
      </c>
      <c r="AI101">
        <v>2</v>
      </c>
    </row>
    <row r="102" spans="1:35" x14ac:dyDescent="0.25">
      <c r="A102">
        <v>37</v>
      </c>
      <c r="B102" t="str">
        <f t="shared" si="2"/>
        <v>35-44</v>
      </c>
      <c r="C102" s="1" t="s">
        <v>32</v>
      </c>
      <c r="D102" s="17">
        <f>IF(Table1[[#This Row],[Attrition]]="Yes",1,0)</f>
        <v>1</v>
      </c>
      <c r="E102" t="s">
        <v>57</v>
      </c>
      <c r="F102" s="2">
        <v>807</v>
      </c>
      <c r="G102" t="s">
        <v>55</v>
      </c>
      <c r="H102">
        <v>6</v>
      </c>
      <c r="I102">
        <v>4</v>
      </c>
      <c r="J102" t="str">
        <f t="shared" si="3"/>
        <v>Master</v>
      </c>
      <c r="K102" t="s">
        <v>55</v>
      </c>
      <c r="L102">
        <v>3</v>
      </c>
      <c r="M102" t="s">
        <v>40</v>
      </c>
      <c r="N102" s="2">
        <v>63</v>
      </c>
      <c r="O102">
        <v>3</v>
      </c>
      <c r="P102">
        <v>1</v>
      </c>
      <c r="Q102" t="s">
        <v>55</v>
      </c>
      <c r="R102">
        <v>1</v>
      </c>
      <c r="S102" t="s">
        <v>46</v>
      </c>
      <c r="T102" s="2">
        <v>2073</v>
      </c>
      <c r="U102" s="2">
        <v>23648</v>
      </c>
      <c r="V102">
        <v>4</v>
      </c>
      <c r="W102" t="s">
        <v>32</v>
      </c>
      <c r="X102">
        <v>22</v>
      </c>
      <c r="Y102">
        <v>4</v>
      </c>
      <c r="Z102">
        <v>4</v>
      </c>
      <c r="AA102">
        <v>80</v>
      </c>
      <c r="AB102">
        <v>0</v>
      </c>
      <c r="AC102">
        <v>7</v>
      </c>
      <c r="AD102">
        <v>3</v>
      </c>
      <c r="AE102">
        <v>3</v>
      </c>
      <c r="AF102">
        <v>3</v>
      </c>
      <c r="AG102">
        <v>2</v>
      </c>
      <c r="AH102">
        <v>0</v>
      </c>
      <c r="AI102">
        <v>2</v>
      </c>
    </row>
    <row r="103" spans="1:35" x14ac:dyDescent="0.25">
      <c r="A103">
        <v>32</v>
      </c>
      <c r="B103" t="str">
        <f t="shared" si="2"/>
        <v>25-34</v>
      </c>
      <c r="C103" s="1" t="s">
        <v>38</v>
      </c>
      <c r="D103" s="17">
        <f>IF(Table1[[#This Row],[Attrition]]="Yes",1,0)</f>
        <v>0</v>
      </c>
      <c r="E103" t="s">
        <v>57</v>
      </c>
      <c r="F103" s="2">
        <v>827</v>
      </c>
      <c r="G103" t="s">
        <v>39</v>
      </c>
      <c r="H103">
        <v>1</v>
      </c>
      <c r="I103">
        <v>1</v>
      </c>
      <c r="J103" t="str">
        <f t="shared" si="3"/>
        <v>Below College</v>
      </c>
      <c r="K103" t="s">
        <v>34</v>
      </c>
      <c r="L103">
        <v>4</v>
      </c>
      <c r="M103" t="s">
        <v>40</v>
      </c>
      <c r="N103" s="2">
        <v>71</v>
      </c>
      <c r="O103">
        <v>3</v>
      </c>
      <c r="P103">
        <v>1</v>
      </c>
      <c r="Q103" t="s">
        <v>41</v>
      </c>
      <c r="R103">
        <v>1</v>
      </c>
      <c r="S103" t="s">
        <v>37</v>
      </c>
      <c r="T103" s="2">
        <v>2956</v>
      </c>
      <c r="U103" s="2">
        <v>15178</v>
      </c>
      <c r="V103">
        <v>1</v>
      </c>
      <c r="W103" t="s">
        <v>38</v>
      </c>
      <c r="X103">
        <v>13</v>
      </c>
      <c r="Y103">
        <v>3</v>
      </c>
      <c r="Z103">
        <v>4</v>
      </c>
      <c r="AA103">
        <v>80</v>
      </c>
      <c r="AB103">
        <v>0</v>
      </c>
      <c r="AC103">
        <v>1</v>
      </c>
      <c r="AD103">
        <v>2</v>
      </c>
      <c r="AE103">
        <v>3</v>
      </c>
      <c r="AF103">
        <v>1</v>
      </c>
      <c r="AG103">
        <v>0</v>
      </c>
      <c r="AH103">
        <v>0</v>
      </c>
      <c r="AI103">
        <v>0</v>
      </c>
    </row>
    <row r="104" spans="1:35" x14ac:dyDescent="0.25">
      <c r="A104">
        <v>20</v>
      </c>
      <c r="B104" t="str">
        <f t="shared" si="2"/>
        <v>18-24</v>
      </c>
      <c r="C104" s="1" t="s">
        <v>32</v>
      </c>
      <c r="D104" s="17">
        <f>IF(Table1[[#This Row],[Attrition]]="Yes",1,0)</f>
        <v>1</v>
      </c>
      <c r="E104" t="s">
        <v>58</v>
      </c>
      <c r="F104" s="2">
        <v>871</v>
      </c>
      <c r="G104" t="s">
        <v>39</v>
      </c>
      <c r="H104">
        <v>6</v>
      </c>
      <c r="I104">
        <v>3</v>
      </c>
      <c r="J104" t="str">
        <f t="shared" si="3"/>
        <v>Bachelor</v>
      </c>
      <c r="K104" t="s">
        <v>34</v>
      </c>
      <c r="L104">
        <v>4</v>
      </c>
      <c r="M104" t="s">
        <v>35</v>
      </c>
      <c r="N104" s="2">
        <v>66</v>
      </c>
      <c r="O104">
        <v>2</v>
      </c>
      <c r="P104">
        <v>1</v>
      </c>
      <c r="Q104" t="s">
        <v>44</v>
      </c>
      <c r="R104">
        <v>4</v>
      </c>
      <c r="S104" t="s">
        <v>37</v>
      </c>
      <c r="T104" s="2">
        <v>2926</v>
      </c>
      <c r="U104" s="2">
        <v>19783</v>
      </c>
      <c r="V104">
        <v>1</v>
      </c>
      <c r="W104" t="s">
        <v>32</v>
      </c>
      <c r="X104">
        <v>18</v>
      </c>
      <c r="Y104">
        <v>3</v>
      </c>
      <c r="Z104">
        <v>2</v>
      </c>
      <c r="AA104">
        <v>80</v>
      </c>
      <c r="AB104">
        <v>0</v>
      </c>
      <c r="AC104">
        <v>1</v>
      </c>
      <c r="AD104">
        <v>5</v>
      </c>
      <c r="AE104">
        <v>3</v>
      </c>
      <c r="AF104">
        <v>1</v>
      </c>
      <c r="AG104">
        <v>0</v>
      </c>
      <c r="AH104">
        <v>1</v>
      </c>
      <c r="AI104">
        <v>0</v>
      </c>
    </row>
    <row r="105" spans="1:35" x14ac:dyDescent="0.25">
      <c r="A105">
        <v>34</v>
      </c>
      <c r="B105" t="str">
        <f t="shared" si="2"/>
        <v>25-34</v>
      </c>
      <c r="C105" s="1" t="s">
        <v>38</v>
      </c>
      <c r="D105" s="17">
        <f>IF(Table1[[#This Row],[Attrition]]="Yes",1,0)</f>
        <v>0</v>
      </c>
      <c r="E105" t="s">
        <v>57</v>
      </c>
      <c r="F105" s="2">
        <v>665</v>
      </c>
      <c r="G105" t="s">
        <v>39</v>
      </c>
      <c r="H105">
        <v>6</v>
      </c>
      <c r="I105">
        <v>4</v>
      </c>
      <c r="J105" t="str">
        <f t="shared" si="3"/>
        <v>Master</v>
      </c>
      <c r="K105" t="s">
        <v>43</v>
      </c>
      <c r="L105">
        <v>1</v>
      </c>
      <c r="M105" t="s">
        <v>35</v>
      </c>
      <c r="N105" s="2">
        <v>41</v>
      </c>
      <c r="O105">
        <v>3</v>
      </c>
      <c r="P105">
        <v>2</v>
      </c>
      <c r="Q105" t="s">
        <v>41</v>
      </c>
      <c r="R105">
        <v>3</v>
      </c>
      <c r="S105" t="s">
        <v>37</v>
      </c>
      <c r="T105" s="2">
        <v>4809</v>
      </c>
      <c r="U105" s="2">
        <v>12482</v>
      </c>
      <c r="V105">
        <v>1</v>
      </c>
      <c r="W105" t="s">
        <v>38</v>
      </c>
      <c r="X105">
        <v>14</v>
      </c>
      <c r="Y105">
        <v>3</v>
      </c>
      <c r="Z105">
        <v>3</v>
      </c>
      <c r="AA105">
        <v>80</v>
      </c>
      <c r="AB105">
        <v>0</v>
      </c>
      <c r="AC105">
        <v>16</v>
      </c>
      <c r="AD105">
        <v>3</v>
      </c>
      <c r="AE105">
        <v>3</v>
      </c>
      <c r="AF105">
        <v>16</v>
      </c>
      <c r="AG105">
        <v>13</v>
      </c>
      <c r="AH105">
        <v>2</v>
      </c>
      <c r="AI105">
        <v>10</v>
      </c>
    </row>
    <row r="106" spans="1:35" x14ac:dyDescent="0.25">
      <c r="A106">
        <v>37</v>
      </c>
      <c r="B106" t="str">
        <f t="shared" si="2"/>
        <v>35-44</v>
      </c>
      <c r="C106" s="1" t="s">
        <v>38</v>
      </c>
      <c r="D106" s="17">
        <f>IF(Table1[[#This Row],[Attrition]]="Yes",1,0)</f>
        <v>0</v>
      </c>
      <c r="E106" t="s">
        <v>49</v>
      </c>
      <c r="F106" s="2">
        <v>1040</v>
      </c>
      <c r="G106" t="s">
        <v>39</v>
      </c>
      <c r="H106">
        <v>2</v>
      </c>
      <c r="I106">
        <v>2</v>
      </c>
      <c r="J106" t="str">
        <f t="shared" si="3"/>
        <v>College</v>
      </c>
      <c r="K106" t="s">
        <v>34</v>
      </c>
      <c r="L106">
        <v>3</v>
      </c>
      <c r="M106" t="s">
        <v>40</v>
      </c>
      <c r="N106" s="2">
        <v>100</v>
      </c>
      <c r="O106">
        <v>2</v>
      </c>
      <c r="P106">
        <v>2</v>
      </c>
      <c r="Q106" t="s">
        <v>48</v>
      </c>
      <c r="R106">
        <v>4</v>
      </c>
      <c r="S106" t="s">
        <v>46</v>
      </c>
      <c r="T106" s="2">
        <v>5163</v>
      </c>
      <c r="U106" s="2">
        <v>15850</v>
      </c>
      <c r="V106">
        <v>5</v>
      </c>
      <c r="W106" t="s">
        <v>38</v>
      </c>
      <c r="X106">
        <v>14</v>
      </c>
      <c r="Y106">
        <v>3</v>
      </c>
      <c r="Z106">
        <v>4</v>
      </c>
      <c r="AA106">
        <v>80</v>
      </c>
      <c r="AB106">
        <v>1</v>
      </c>
      <c r="AC106">
        <v>17</v>
      </c>
      <c r="AD106">
        <v>2</v>
      </c>
      <c r="AE106">
        <v>4</v>
      </c>
      <c r="AF106">
        <v>1</v>
      </c>
      <c r="AG106">
        <v>0</v>
      </c>
      <c r="AH106">
        <v>0</v>
      </c>
      <c r="AI106">
        <v>0</v>
      </c>
    </row>
    <row r="107" spans="1:35" x14ac:dyDescent="0.25">
      <c r="A107">
        <v>59</v>
      </c>
      <c r="B107" t="str">
        <f t="shared" si="2"/>
        <v>55-64</v>
      </c>
      <c r="C107" s="1" t="s">
        <v>38</v>
      </c>
      <c r="D107" s="17">
        <f>IF(Table1[[#This Row],[Attrition]]="Yes",1,0)</f>
        <v>0</v>
      </c>
      <c r="E107" t="s">
        <v>49</v>
      </c>
      <c r="F107" s="2">
        <v>1420</v>
      </c>
      <c r="G107" t="s">
        <v>55</v>
      </c>
      <c r="H107">
        <v>2</v>
      </c>
      <c r="I107">
        <v>4</v>
      </c>
      <c r="J107" t="str">
        <f t="shared" si="3"/>
        <v>Master</v>
      </c>
      <c r="K107" t="s">
        <v>55</v>
      </c>
      <c r="L107">
        <v>3</v>
      </c>
      <c r="M107" t="s">
        <v>35</v>
      </c>
      <c r="N107" s="2">
        <v>32</v>
      </c>
      <c r="O107">
        <v>2</v>
      </c>
      <c r="P107">
        <v>5</v>
      </c>
      <c r="Q107" t="s">
        <v>50</v>
      </c>
      <c r="R107">
        <v>4</v>
      </c>
      <c r="S107" t="s">
        <v>42</v>
      </c>
      <c r="T107" s="2">
        <v>18844</v>
      </c>
      <c r="U107" s="2">
        <v>21922</v>
      </c>
      <c r="V107">
        <v>9</v>
      </c>
      <c r="W107" t="s">
        <v>38</v>
      </c>
      <c r="X107">
        <v>21</v>
      </c>
      <c r="Y107">
        <v>4</v>
      </c>
      <c r="Z107">
        <v>4</v>
      </c>
      <c r="AA107">
        <v>80</v>
      </c>
      <c r="AB107">
        <v>1</v>
      </c>
      <c r="AC107">
        <v>30</v>
      </c>
      <c r="AD107">
        <v>3</v>
      </c>
      <c r="AE107">
        <v>3</v>
      </c>
      <c r="AF107">
        <v>3</v>
      </c>
      <c r="AG107">
        <v>2</v>
      </c>
      <c r="AH107">
        <v>2</v>
      </c>
      <c r="AI107">
        <v>2</v>
      </c>
    </row>
    <row r="108" spans="1:35" x14ac:dyDescent="0.25">
      <c r="A108">
        <v>50</v>
      </c>
      <c r="B108" t="str">
        <f t="shared" si="2"/>
        <v>45-54</v>
      </c>
      <c r="C108" s="1" t="s">
        <v>38</v>
      </c>
      <c r="D108" s="17">
        <f>IF(Table1[[#This Row],[Attrition]]="Yes",1,0)</f>
        <v>0</v>
      </c>
      <c r="E108" t="s">
        <v>58</v>
      </c>
      <c r="F108" s="2">
        <v>1115</v>
      </c>
      <c r="G108" t="s">
        <v>39</v>
      </c>
      <c r="H108">
        <v>1</v>
      </c>
      <c r="I108">
        <v>3</v>
      </c>
      <c r="J108" t="str">
        <f t="shared" si="3"/>
        <v>Bachelor</v>
      </c>
      <c r="K108" t="s">
        <v>34</v>
      </c>
      <c r="L108">
        <v>1</v>
      </c>
      <c r="M108" t="s">
        <v>35</v>
      </c>
      <c r="N108" s="2">
        <v>73</v>
      </c>
      <c r="O108">
        <v>3</v>
      </c>
      <c r="P108">
        <v>5</v>
      </c>
      <c r="Q108" t="s">
        <v>52</v>
      </c>
      <c r="R108">
        <v>2</v>
      </c>
      <c r="S108" t="s">
        <v>42</v>
      </c>
      <c r="T108" s="2">
        <v>18172</v>
      </c>
      <c r="U108" s="2">
        <v>9755</v>
      </c>
      <c r="V108">
        <v>3</v>
      </c>
      <c r="W108" t="s">
        <v>32</v>
      </c>
      <c r="X108">
        <v>19</v>
      </c>
      <c r="Y108">
        <v>3</v>
      </c>
      <c r="Z108">
        <v>1</v>
      </c>
      <c r="AA108">
        <v>80</v>
      </c>
      <c r="AB108">
        <v>0</v>
      </c>
      <c r="AC108">
        <v>28</v>
      </c>
      <c r="AD108">
        <v>1</v>
      </c>
      <c r="AE108">
        <v>2</v>
      </c>
      <c r="AF108">
        <v>8</v>
      </c>
      <c r="AG108">
        <v>3</v>
      </c>
      <c r="AH108">
        <v>0</v>
      </c>
      <c r="AI108">
        <v>7</v>
      </c>
    </row>
    <row r="109" spans="1:35" x14ac:dyDescent="0.25">
      <c r="A109">
        <v>25</v>
      </c>
      <c r="B109" t="str">
        <f t="shared" si="2"/>
        <v>25-34</v>
      </c>
      <c r="C109" s="1" t="s">
        <v>32</v>
      </c>
      <c r="D109" s="17">
        <f>IF(Table1[[#This Row],[Attrition]]="Yes",1,0)</f>
        <v>1</v>
      </c>
      <c r="E109" t="s">
        <v>57</v>
      </c>
      <c r="F109" s="2">
        <v>240</v>
      </c>
      <c r="G109" t="s">
        <v>33</v>
      </c>
      <c r="H109">
        <v>5</v>
      </c>
      <c r="I109">
        <v>3</v>
      </c>
      <c r="J109" t="str">
        <f t="shared" si="3"/>
        <v>Bachelor</v>
      </c>
      <c r="K109" t="s">
        <v>53</v>
      </c>
      <c r="L109">
        <v>3</v>
      </c>
      <c r="M109" t="s">
        <v>40</v>
      </c>
      <c r="N109" s="2">
        <v>46</v>
      </c>
      <c r="O109">
        <v>2</v>
      </c>
      <c r="P109">
        <v>2</v>
      </c>
      <c r="Q109" t="s">
        <v>36</v>
      </c>
      <c r="R109">
        <v>3</v>
      </c>
      <c r="S109" t="s">
        <v>37</v>
      </c>
      <c r="T109" s="2">
        <v>5744</v>
      </c>
      <c r="U109" s="2">
        <v>26959</v>
      </c>
      <c r="V109">
        <v>1</v>
      </c>
      <c r="W109" t="s">
        <v>32</v>
      </c>
      <c r="X109">
        <v>11</v>
      </c>
      <c r="Y109">
        <v>3</v>
      </c>
      <c r="Z109">
        <v>4</v>
      </c>
      <c r="AA109">
        <v>80</v>
      </c>
      <c r="AB109">
        <v>0</v>
      </c>
      <c r="AC109">
        <v>6</v>
      </c>
      <c r="AD109">
        <v>1</v>
      </c>
      <c r="AE109">
        <v>3</v>
      </c>
      <c r="AF109">
        <v>6</v>
      </c>
      <c r="AG109">
        <v>4</v>
      </c>
      <c r="AH109">
        <v>0</v>
      </c>
      <c r="AI109">
        <v>3</v>
      </c>
    </row>
    <row r="110" spans="1:35" x14ac:dyDescent="0.25">
      <c r="A110">
        <v>25</v>
      </c>
      <c r="B110" t="str">
        <f t="shared" si="2"/>
        <v>25-34</v>
      </c>
      <c r="C110" s="1" t="s">
        <v>38</v>
      </c>
      <c r="D110" s="17">
        <f>IF(Table1[[#This Row],[Attrition]]="Yes",1,0)</f>
        <v>0</v>
      </c>
      <c r="E110" t="s">
        <v>57</v>
      </c>
      <c r="F110" s="2">
        <v>1280</v>
      </c>
      <c r="G110" t="s">
        <v>39</v>
      </c>
      <c r="H110">
        <v>7</v>
      </c>
      <c r="I110">
        <v>1</v>
      </c>
      <c r="J110" t="str">
        <f t="shared" si="3"/>
        <v>Below College</v>
      </c>
      <c r="K110" t="s">
        <v>45</v>
      </c>
      <c r="L110">
        <v>4</v>
      </c>
      <c r="M110" t="s">
        <v>40</v>
      </c>
      <c r="N110" s="2">
        <v>64</v>
      </c>
      <c r="O110">
        <v>2</v>
      </c>
      <c r="P110">
        <v>1</v>
      </c>
      <c r="Q110" t="s">
        <v>41</v>
      </c>
      <c r="R110">
        <v>4</v>
      </c>
      <c r="S110" t="s">
        <v>42</v>
      </c>
      <c r="T110" s="2">
        <v>2889</v>
      </c>
      <c r="U110" s="2">
        <v>26897</v>
      </c>
      <c r="V110">
        <v>1</v>
      </c>
      <c r="W110" t="s">
        <v>38</v>
      </c>
      <c r="X110">
        <v>11</v>
      </c>
      <c r="Y110">
        <v>3</v>
      </c>
      <c r="Z110">
        <v>3</v>
      </c>
      <c r="AA110">
        <v>80</v>
      </c>
      <c r="AB110">
        <v>2</v>
      </c>
      <c r="AC110">
        <v>2</v>
      </c>
      <c r="AD110">
        <v>2</v>
      </c>
      <c r="AE110">
        <v>3</v>
      </c>
      <c r="AF110">
        <v>2</v>
      </c>
      <c r="AG110">
        <v>2</v>
      </c>
      <c r="AH110">
        <v>2</v>
      </c>
      <c r="AI110">
        <v>1</v>
      </c>
    </row>
    <row r="111" spans="1:35" x14ac:dyDescent="0.25">
      <c r="A111">
        <v>22</v>
      </c>
      <c r="B111" t="str">
        <f t="shared" si="2"/>
        <v>18-24</v>
      </c>
      <c r="C111" s="1" t="s">
        <v>38</v>
      </c>
      <c r="D111" s="17">
        <f>IF(Table1[[#This Row],[Attrition]]="Yes",1,0)</f>
        <v>0</v>
      </c>
      <c r="E111" t="s">
        <v>57</v>
      </c>
      <c r="F111" s="2">
        <v>534</v>
      </c>
      <c r="G111" t="s">
        <v>39</v>
      </c>
      <c r="H111">
        <v>15</v>
      </c>
      <c r="I111">
        <v>3</v>
      </c>
      <c r="J111" t="str">
        <f t="shared" si="3"/>
        <v>Bachelor</v>
      </c>
      <c r="K111" t="s">
        <v>45</v>
      </c>
      <c r="L111">
        <v>2</v>
      </c>
      <c r="M111" t="s">
        <v>35</v>
      </c>
      <c r="N111" s="2">
        <v>59</v>
      </c>
      <c r="O111">
        <v>3</v>
      </c>
      <c r="P111">
        <v>1</v>
      </c>
      <c r="Q111" t="s">
        <v>44</v>
      </c>
      <c r="R111">
        <v>4</v>
      </c>
      <c r="S111" t="s">
        <v>37</v>
      </c>
      <c r="T111" s="2">
        <v>2871</v>
      </c>
      <c r="U111" s="2">
        <v>23785</v>
      </c>
      <c r="V111">
        <v>1</v>
      </c>
      <c r="W111" t="s">
        <v>38</v>
      </c>
      <c r="X111">
        <v>15</v>
      </c>
      <c r="Y111">
        <v>3</v>
      </c>
      <c r="Z111">
        <v>3</v>
      </c>
      <c r="AA111">
        <v>80</v>
      </c>
      <c r="AB111">
        <v>0</v>
      </c>
      <c r="AC111">
        <v>1</v>
      </c>
      <c r="AD111">
        <v>5</v>
      </c>
      <c r="AE111">
        <v>3</v>
      </c>
      <c r="AF111">
        <v>0</v>
      </c>
      <c r="AG111">
        <v>0</v>
      </c>
      <c r="AH111">
        <v>0</v>
      </c>
      <c r="AI111">
        <v>0</v>
      </c>
    </row>
    <row r="112" spans="1:35" x14ac:dyDescent="0.25">
      <c r="A112">
        <v>51</v>
      </c>
      <c r="B112" t="str">
        <f t="shared" si="2"/>
        <v>45-54</v>
      </c>
      <c r="C112" s="1" t="s">
        <v>38</v>
      </c>
      <c r="D112" s="17">
        <f>IF(Table1[[#This Row],[Attrition]]="Yes",1,0)</f>
        <v>0</v>
      </c>
      <c r="E112" t="s">
        <v>58</v>
      </c>
      <c r="F112" s="2">
        <v>1456</v>
      </c>
      <c r="G112" t="s">
        <v>39</v>
      </c>
      <c r="H112">
        <v>1</v>
      </c>
      <c r="I112">
        <v>4</v>
      </c>
      <c r="J112" t="str">
        <f t="shared" si="3"/>
        <v>Master</v>
      </c>
      <c r="K112" t="s">
        <v>45</v>
      </c>
      <c r="L112">
        <v>1</v>
      </c>
      <c r="M112" t="s">
        <v>35</v>
      </c>
      <c r="N112" s="2">
        <v>30</v>
      </c>
      <c r="O112">
        <v>2</v>
      </c>
      <c r="P112">
        <v>3</v>
      </c>
      <c r="Q112" t="s">
        <v>48</v>
      </c>
      <c r="R112">
        <v>1</v>
      </c>
      <c r="S112" t="s">
        <v>37</v>
      </c>
      <c r="T112" s="2">
        <v>7484</v>
      </c>
      <c r="U112" s="2">
        <v>25796</v>
      </c>
      <c r="V112">
        <v>3</v>
      </c>
      <c r="W112" t="s">
        <v>38</v>
      </c>
      <c r="X112">
        <v>20</v>
      </c>
      <c r="Y112">
        <v>4</v>
      </c>
      <c r="Z112">
        <v>3</v>
      </c>
      <c r="AA112">
        <v>80</v>
      </c>
      <c r="AB112">
        <v>0</v>
      </c>
      <c r="AC112">
        <v>23</v>
      </c>
      <c r="AD112">
        <v>1</v>
      </c>
      <c r="AE112">
        <v>2</v>
      </c>
      <c r="AF112">
        <v>13</v>
      </c>
      <c r="AG112">
        <v>12</v>
      </c>
      <c r="AH112">
        <v>12</v>
      </c>
      <c r="AI112">
        <v>8</v>
      </c>
    </row>
    <row r="113" spans="1:35" x14ac:dyDescent="0.25">
      <c r="A113">
        <v>34</v>
      </c>
      <c r="B113" t="str">
        <f t="shared" si="2"/>
        <v>25-34</v>
      </c>
      <c r="C113" s="1" t="s">
        <v>32</v>
      </c>
      <c r="D113" s="17">
        <f>IF(Table1[[#This Row],[Attrition]]="Yes",1,0)</f>
        <v>1</v>
      </c>
      <c r="E113" t="s">
        <v>58</v>
      </c>
      <c r="F113" s="2">
        <v>658</v>
      </c>
      <c r="G113" t="s">
        <v>39</v>
      </c>
      <c r="H113">
        <v>7</v>
      </c>
      <c r="I113">
        <v>3</v>
      </c>
      <c r="J113" t="str">
        <f t="shared" si="3"/>
        <v>Bachelor</v>
      </c>
      <c r="K113" t="s">
        <v>34</v>
      </c>
      <c r="L113">
        <v>1</v>
      </c>
      <c r="M113" t="s">
        <v>40</v>
      </c>
      <c r="N113" s="2">
        <v>66</v>
      </c>
      <c r="O113">
        <v>1</v>
      </c>
      <c r="P113">
        <v>2</v>
      </c>
      <c r="Q113" t="s">
        <v>44</v>
      </c>
      <c r="R113">
        <v>3</v>
      </c>
      <c r="S113" t="s">
        <v>37</v>
      </c>
      <c r="T113" s="2">
        <v>6074</v>
      </c>
      <c r="U113" s="2">
        <v>22887</v>
      </c>
      <c r="V113">
        <v>1</v>
      </c>
      <c r="W113" t="s">
        <v>32</v>
      </c>
      <c r="X113">
        <v>24</v>
      </c>
      <c r="Y113">
        <v>4</v>
      </c>
      <c r="Z113">
        <v>4</v>
      </c>
      <c r="AA113">
        <v>80</v>
      </c>
      <c r="AB113">
        <v>0</v>
      </c>
      <c r="AC113">
        <v>9</v>
      </c>
      <c r="AD113">
        <v>3</v>
      </c>
      <c r="AE113">
        <v>3</v>
      </c>
      <c r="AF113">
        <v>9</v>
      </c>
      <c r="AG113">
        <v>7</v>
      </c>
      <c r="AH113">
        <v>0</v>
      </c>
      <c r="AI113">
        <v>6</v>
      </c>
    </row>
    <row r="114" spans="1:35" x14ac:dyDescent="0.25">
      <c r="A114">
        <v>54</v>
      </c>
      <c r="B114" t="str">
        <f t="shared" si="2"/>
        <v>45-54</v>
      </c>
      <c r="C114" s="1" t="s">
        <v>38</v>
      </c>
      <c r="D114" s="17">
        <f>IF(Table1[[#This Row],[Attrition]]="Yes",1,0)</f>
        <v>0</v>
      </c>
      <c r="E114" t="s">
        <v>49</v>
      </c>
      <c r="F114" s="2">
        <v>142</v>
      </c>
      <c r="G114" t="s">
        <v>55</v>
      </c>
      <c r="H114">
        <v>26</v>
      </c>
      <c r="I114">
        <v>3</v>
      </c>
      <c r="J114" t="str">
        <f t="shared" si="3"/>
        <v>Bachelor</v>
      </c>
      <c r="K114" t="s">
        <v>55</v>
      </c>
      <c r="L114">
        <v>4</v>
      </c>
      <c r="M114" t="s">
        <v>35</v>
      </c>
      <c r="N114" s="2">
        <v>30</v>
      </c>
      <c r="O114">
        <v>4</v>
      </c>
      <c r="P114">
        <v>4</v>
      </c>
      <c r="Q114" t="s">
        <v>50</v>
      </c>
      <c r="R114">
        <v>4</v>
      </c>
      <c r="S114" t="s">
        <v>37</v>
      </c>
      <c r="T114" s="2">
        <v>17328</v>
      </c>
      <c r="U114" s="2">
        <v>13871</v>
      </c>
      <c r="V114">
        <v>2</v>
      </c>
      <c r="W114" t="s">
        <v>32</v>
      </c>
      <c r="X114">
        <v>12</v>
      </c>
      <c r="Y114">
        <v>3</v>
      </c>
      <c r="Z114">
        <v>3</v>
      </c>
      <c r="AA114">
        <v>80</v>
      </c>
      <c r="AB114">
        <v>0</v>
      </c>
      <c r="AC114">
        <v>23</v>
      </c>
      <c r="AD114">
        <v>3</v>
      </c>
      <c r="AE114">
        <v>3</v>
      </c>
      <c r="AF114">
        <v>5</v>
      </c>
      <c r="AG114">
        <v>3</v>
      </c>
      <c r="AH114">
        <v>4</v>
      </c>
      <c r="AI114">
        <v>4</v>
      </c>
    </row>
    <row r="115" spans="1:35" x14ac:dyDescent="0.25">
      <c r="A115">
        <v>24</v>
      </c>
      <c r="B115" t="str">
        <f t="shared" si="2"/>
        <v>18-24</v>
      </c>
      <c r="C115" s="1" t="s">
        <v>38</v>
      </c>
      <c r="D115" s="17">
        <f>IF(Table1[[#This Row],[Attrition]]="Yes",1,0)</f>
        <v>0</v>
      </c>
      <c r="E115" t="s">
        <v>57</v>
      </c>
      <c r="F115" s="2">
        <v>1127</v>
      </c>
      <c r="G115" t="s">
        <v>39</v>
      </c>
      <c r="H115">
        <v>18</v>
      </c>
      <c r="I115">
        <v>1</v>
      </c>
      <c r="J115" t="str">
        <f t="shared" si="3"/>
        <v>Below College</v>
      </c>
      <c r="K115" t="s">
        <v>34</v>
      </c>
      <c r="L115">
        <v>2</v>
      </c>
      <c r="M115" t="s">
        <v>40</v>
      </c>
      <c r="N115" s="2">
        <v>52</v>
      </c>
      <c r="O115">
        <v>3</v>
      </c>
      <c r="P115">
        <v>1</v>
      </c>
      <c r="Q115" t="s">
        <v>44</v>
      </c>
      <c r="R115">
        <v>3</v>
      </c>
      <c r="S115" t="s">
        <v>42</v>
      </c>
      <c r="T115" s="2">
        <v>2774</v>
      </c>
      <c r="U115" s="2">
        <v>13257</v>
      </c>
      <c r="V115">
        <v>0</v>
      </c>
      <c r="W115" t="s">
        <v>38</v>
      </c>
      <c r="X115">
        <v>12</v>
      </c>
      <c r="Y115">
        <v>3</v>
      </c>
      <c r="Z115">
        <v>3</v>
      </c>
      <c r="AA115">
        <v>80</v>
      </c>
      <c r="AB115">
        <v>1</v>
      </c>
      <c r="AC115">
        <v>6</v>
      </c>
      <c r="AD115">
        <v>2</v>
      </c>
      <c r="AE115">
        <v>3</v>
      </c>
      <c r="AF115">
        <v>5</v>
      </c>
      <c r="AG115">
        <v>3</v>
      </c>
      <c r="AH115">
        <v>1</v>
      </c>
      <c r="AI115">
        <v>2</v>
      </c>
    </row>
    <row r="116" spans="1:35" x14ac:dyDescent="0.25">
      <c r="A116">
        <v>34</v>
      </c>
      <c r="B116" t="str">
        <f t="shared" si="2"/>
        <v>25-34</v>
      </c>
      <c r="C116" s="1" t="s">
        <v>38</v>
      </c>
      <c r="D116" s="17">
        <f>IF(Table1[[#This Row],[Attrition]]="Yes",1,0)</f>
        <v>0</v>
      </c>
      <c r="E116" t="s">
        <v>57</v>
      </c>
      <c r="F116" s="2">
        <v>1031</v>
      </c>
      <c r="G116" t="s">
        <v>39</v>
      </c>
      <c r="H116">
        <v>6</v>
      </c>
      <c r="I116">
        <v>4</v>
      </c>
      <c r="J116" t="str">
        <f t="shared" si="3"/>
        <v>Master</v>
      </c>
      <c r="K116" t="s">
        <v>34</v>
      </c>
      <c r="L116">
        <v>3</v>
      </c>
      <c r="M116" t="s">
        <v>35</v>
      </c>
      <c r="N116" s="2">
        <v>45</v>
      </c>
      <c r="O116">
        <v>2</v>
      </c>
      <c r="P116">
        <v>2</v>
      </c>
      <c r="Q116" t="s">
        <v>41</v>
      </c>
      <c r="R116">
        <v>2</v>
      </c>
      <c r="S116" t="s">
        <v>46</v>
      </c>
      <c r="T116" s="2">
        <v>4505</v>
      </c>
      <c r="U116" s="2">
        <v>15000</v>
      </c>
      <c r="V116">
        <v>6</v>
      </c>
      <c r="W116" t="s">
        <v>38</v>
      </c>
      <c r="X116">
        <v>15</v>
      </c>
      <c r="Y116">
        <v>3</v>
      </c>
      <c r="Z116">
        <v>3</v>
      </c>
      <c r="AA116">
        <v>80</v>
      </c>
      <c r="AB116">
        <v>1</v>
      </c>
      <c r="AC116">
        <v>12</v>
      </c>
      <c r="AD116">
        <v>3</v>
      </c>
      <c r="AE116">
        <v>3</v>
      </c>
      <c r="AF116">
        <v>1</v>
      </c>
      <c r="AG116">
        <v>0</v>
      </c>
      <c r="AH116">
        <v>0</v>
      </c>
      <c r="AI116">
        <v>0</v>
      </c>
    </row>
    <row r="117" spans="1:35" x14ac:dyDescent="0.25">
      <c r="A117">
        <v>37</v>
      </c>
      <c r="B117" t="str">
        <f t="shared" si="2"/>
        <v>35-44</v>
      </c>
      <c r="C117" s="1" t="s">
        <v>38</v>
      </c>
      <c r="D117" s="17">
        <f>IF(Table1[[#This Row],[Attrition]]="Yes",1,0)</f>
        <v>0</v>
      </c>
      <c r="E117" t="s">
        <v>57</v>
      </c>
      <c r="F117" s="2">
        <v>1189</v>
      </c>
      <c r="G117" t="s">
        <v>33</v>
      </c>
      <c r="H117">
        <v>3</v>
      </c>
      <c r="I117">
        <v>3</v>
      </c>
      <c r="J117" t="str">
        <f t="shared" si="3"/>
        <v>Bachelor</v>
      </c>
      <c r="K117" t="s">
        <v>34</v>
      </c>
      <c r="L117">
        <v>3</v>
      </c>
      <c r="M117" t="s">
        <v>40</v>
      </c>
      <c r="N117" s="2">
        <v>87</v>
      </c>
      <c r="O117">
        <v>3</v>
      </c>
      <c r="P117">
        <v>3</v>
      </c>
      <c r="Q117" t="s">
        <v>36</v>
      </c>
      <c r="R117">
        <v>4</v>
      </c>
      <c r="S117" t="s">
        <v>37</v>
      </c>
      <c r="T117" s="2">
        <v>7428</v>
      </c>
      <c r="U117" s="2">
        <v>14506</v>
      </c>
      <c r="V117">
        <v>2</v>
      </c>
      <c r="W117" t="s">
        <v>38</v>
      </c>
      <c r="X117">
        <v>12</v>
      </c>
      <c r="Y117">
        <v>3</v>
      </c>
      <c r="Z117">
        <v>1</v>
      </c>
      <c r="AA117">
        <v>80</v>
      </c>
      <c r="AB117">
        <v>0</v>
      </c>
      <c r="AC117">
        <v>12</v>
      </c>
      <c r="AD117">
        <v>3</v>
      </c>
      <c r="AE117">
        <v>3</v>
      </c>
      <c r="AF117">
        <v>5</v>
      </c>
      <c r="AG117">
        <v>3</v>
      </c>
      <c r="AH117">
        <v>1</v>
      </c>
      <c r="AI117">
        <v>3</v>
      </c>
    </row>
    <row r="118" spans="1:35" x14ac:dyDescent="0.25">
      <c r="A118">
        <v>34</v>
      </c>
      <c r="B118" t="str">
        <f t="shared" si="2"/>
        <v>25-34</v>
      </c>
      <c r="C118" s="1" t="s">
        <v>38</v>
      </c>
      <c r="D118" s="17">
        <f>IF(Table1[[#This Row],[Attrition]]="Yes",1,0)</f>
        <v>0</v>
      </c>
      <c r="E118" t="s">
        <v>57</v>
      </c>
      <c r="F118" s="2">
        <v>1354</v>
      </c>
      <c r="G118" t="s">
        <v>39</v>
      </c>
      <c r="H118">
        <v>5</v>
      </c>
      <c r="I118">
        <v>3</v>
      </c>
      <c r="J118" t="str">
        <f t="shared" si="3"/>
        <v>Bachelor</v>
      </c>
      <c r="K118" t="s">
        <v>45</v>
      </c>
      <c r="L118">
        <v>3</v>
      </c>
      <c r="M118" t="s">
        <v>35</v>
      </c>
      <c r="N118" s="2">
        <v>45</v>
      </c>
      <c r="O118">
        <v>2</v>
      </c>
      <c r="P118">
        <v>3</v>
      </c>
      <c r="Q118" t="s">
        <v>50</v>
      </c>
      <c r="R118">
        <v>1</v>
      </c>
      <c r="S118" t="s">
        <v>37</v>
      </c>
      <c r="T118" s="2">
        <v>11631</v>
      </c>
      <c r="U118" s="2">
        <v>5615</v>
      </c>
      <c r="V118">
        <v>2</v>
      </c>
      <c r="W118" t="s">
        <v>38</v>
      </c>
      <c r="X118">
        <v>12</v>
      </c>
      <c r="Y118">
        <v>3</v>
      </c>
      <c r="Z118">
        <v>4</v>
      </c>
      <c r="AA118">
        <v>80</v>
      </c>
      <c r="AB118">
        <v>0</v>
      </c>
      <c r="AC118">
        <v>14</v>
      </c>
      <c r="AD118">
        <v>6</v>
      </c>
      <c r="AE118">
        <v>3</v>
      </c>
      <c r="AF118">
        <v>11</v>
      </c>
      <c r="AG118">
        <v>10</v>
      </c>
      <c r="AH118">
        <v>5</v>
      </c>
      <c r="AI118">
        <v>8</v>
      </c>
    </row>
    <row r="119" spans="1:35" x14ac:dyDescent="0.25">
      <c r="A119">
        <v>36</v>
      </c>
      <c r="B119" t="str">
        <f t="shared" si="2"/>
        <v>35-44</v>
      </c>
      <c r="C119" s="1" t="s">
        <v>38</v>
      </c>
      <c r="D119" s="17">
        <f>IF(Table1[[#This Row],[Attrition]]="Yes",1,0)</f>
        <v>0</v>
      </c>
      <c r="E119" t="s">
        <v>58</v>
      </c>
      <c r="F119" s="2">
        <v>1467</v>
      </c>
      <c r="G119" t="s">
        <v>33</v>
      </c>
      <c r="H119">
        <v>11</v>
      </c>
      <c r="I119">
        <v>2</v>
      </c>
      <c r="J119" t="str">
        <f t="shared" si="3"/>
        <v>College</v>
      </c>
      <c r="K119" t="s">
        <v>54</v>
      </c>
      <c r="L119">
        <v>2</v>
      </c>
      <c r="M119" t="s">
        <v>35</v>
      </c>
      <c r="N119" s="2">
        <v>92</v>
      </c>
      <c r="O119">
        <v>3</v>
      </c>
      <c r="P119">
        <v>3</v>
      </c>
      <c r="Q119" t="s">
        <v>36</v>
      </c>
      <c r="R119">
        <v>4</v>
      </c>
      <c r="S119" t="s">
        <v>42</v>
      </c>
      <c r="T119" s="2">
        <v>9738</v>
      </c>
      <c r="U119" s="2">
        <v>22952</v>
      </c>
      <c r="V119">
        <v>0</v>
      </c>
      <c r="W119" t="s">
        <v>38</v>
      </c>
      <c r="X119">
        <v>14</v>
      </c>
      <c r="Y119">
        <v>3</v>
      </c>
      <c r="Z119">
        <v>3</v>
      </c>
      <c r="AA119">
        <v>80</v>
      </c>
      <c r="AB119">
        <v>1</v>
      </c>
      <c r="AC119">
        <v>10</v>
      </c>
      <c r="AD119">
        <v>6</v>
      </c>
      <c r="AE119">
        <v>3</v>
      </c>
      <c r="AF119">
        <v>9</v>
      </c>
      <c r="AG119">
        <v>7</v>
      </c>
      <c r="AH119">
        <v>2</v>
      </c>
      <c r="AI119">
        <v>8</v>
      </c>
    </row>
    <row r="120" spans="1:35" x14ac:dyDescent="0.25">
      <c r="A120">
        <v>36</v>
      </c>
      <c r="B120" t="str">
        <f t="shared" si="2"/>
        <v>35-44</v>
      </c>
      <c r="C120" s="1" t="s">
        <v>38</v>
      </c>
      <c r="D120" s="17">
        <f>IF(Table1[[#This Row],[Attrition]]="Yes",1,0)</f>
        <v>0</v>
      </c>
      <c r="E120" t="s">
        <v>57</v>
      </c>
      <c r="F120" s="2">
        <v>922</v>
      </c>
      <c r="G120" t="s">
        <v>39</v>
      </c>
      <c r="H120">
        <v>3</v>
      </c>
      <c r="I120">
        <v>2</v>
      </c>
      <c r="J120" t="str">
        <f t="shared" si="3"/>
        <v>College</v>
      </c>
      <c r="K120" t="s">
        <v>34</v>
      </c>
      <c r="L120">
        <v>1</v>
      </c>
      <c r="M120" t="s">
        <v>35</v>
      </c>
      <c r="N120" s="2">
        <v>39</v>
      </c>
      <c r="O120">
        <v>3</v>
      </c>
      <c r="P120">
        <v>1</v>
      </c>
      <c r="Q120" t="s">
        <v>44</v>
      </c>
      <c r="R120">
        <v>4</v>
      </c>
      <c r="S120" t="s">
        <v>46</v>
      </c>
      <c r="T120" s="2">
        <v>2835</v>
      </c>
      <c r="U120" s="2">
        <v>2561</v>
      </c>
      <c r="V120">
        <v>5</v>
      </c>
      <c r="W120" t="s">
        <v>38</v>
      </c>
      <c r="X120">
        <v>22</v>
      </c>
      <c r="Y120">
        <v>4</v>
      </c>
      <c r="Z120">
        <v>1</v>
      </c>
      <c r="AA120">
        <v>80</v>
      </c>
      <c r="AB120">
        <v>1</v>
      </c>
      <c r="AC120">
        <v>7</v>
      </c>
      <c r="AD120">
        <v>2</v>
      </c>
      <c r="AE120">
        <v>3</v>
      </c>
      <c r="AF120">
        <v>1</v>
      </c>
      <c r="AG120">
        <v>0</v>
      </c>
      <c r="AH120">
        <v>0</v>
      </c>
      <c r="AI120">
        <v>0</v>
      </c>
    </row>
    <row r="121" spans="1:35" x14ac:dyDescent="0.25">
      <c r="A121">
        <v>43</v>
      </c>
      <c r="B121" t="str">
        <f t="shared" si="2"/>
        <v>35-44</v>
      </c>
      <c r="C121" s="1" t="s">
        <v>38</v>
      </c>
      <c r="D121" s="17">
        <f>IF(Table1[[#This Row],[Attrition]]="Yes",1,0)</f>
        <v>0</v>
      </c>
      <c r="E121" t="s">
        <v>58</v>
      </c>
      <c r="F121" s="2">
        <v>394</v>
      </c>
      <c r="G121" t="s">
        <v>33</v>
      </c>
      <c r="H121">
        <v>26</v>
      </c>
      <c r="I121">
        <v>2</v>
      </c>
      <c r="J121" t="str">
        <f t="shared" si="3"/>
        <v>College</v>
      </c>
      <c r="K121" t="s">
        <v>34</v>
      </c>
      <c r="L121">
        <v>3</v>
      </c>
      <c r="M121" t="s">
        <v>40</v>
      </c>
      <c r="N121" s="2">
        <v>92</v>
      </c>
      <c r="O121">
        <v>3</v>
      </c>
      <c r="P121">
        <v>4</v>
      </c>
      <c r="Q121" t="s">
        <v>50</v>
      </c>
      <c r="R121">
        <v>4</v>
      </c>
      <c r="S121" t="s">
        <v>42</v>
      </c>
      <c r="T121" s="2">
        <v>16959</v>
      </c>
      <c r="U121" s="2">
        <v>19494</v>
      </c>
      <c r="V121">
        <v>1</v>
      </c>
      <c r="W121" t="s">
        <v>32</v>
      </c>
      <c r="X121">
        <v>12</v>
      </c>
      <c r="Y121">
        <v>3</v>
      </c>
      <c r="Z121">
        <v>4</v>
      </c>
      <c r="AA121">
        <v>80</v>
      </c>
      <c r="AB121">
        <v>2</v>
      </c>
      <c r="AC121">
        <v>25</v>
      </c>
      <c r="AD121">
        <v>3</v>
      </c>
      <c r="AE121">
        <v>4</v>
      </c>
      <c r="AF121">
        <v>25</v>
      </c>
      <c r="AG121">
        <v>12</v>
      </c>
      <c r="AH121">
        <v>4</v>
      </c>
      <c r="AI121">
        <v>12</v>
      </c>
    </row>
    <row r="122" spans="1:35" x14ac:dyDescent="0.25">
      <c r="A122">
        <v>30</v>
      </c>
      <c r="B122" t="str">
        <f t="shared" si="2"/>
        <v>25-34</v>
      </c>
      <c r="C122" s="1" t="s">
        <v>38</v>
      </c>
      <c r="D122" s="17">
        <f>IF(Table1[[#This Row],[Attrition]]="Yes",1,0)</f>
        <v>0</v>
      </c>
      <c r="E122" t="s">
        <v>58</v>
      </c>
      <c r="F122" s="2">
        <v>1312</v>
      </c>
      <c r="G122" t="s">
        <v>39</v>
      </c>
      <c r="H122">
        <v>23</v>
      </c>
      <c r="I122">
        <v>3</v>
      </c>
      <c r="J122" t="str">
        <f t="shared" si="3"/>
        <v>Bachelor</v>
      </c>
      <c r="K122" t="s">
        <v>34</v>
      </c>
      <c r="L122">
        <v>1</v>
      </c>
      <c r="M122" t="s">
        <v>40</v>
      </c>
      <c r="N122" s="2">
        <v>96</v>
      </c>
      <c r="O122">
        <v>1</v>
      </c>
      <c r="P122">
        <v>1</v>
      </c>
      <c r="Q122" t="s">
        <v>41</v>
      </c>
      <c r="R122">
        <v>3</v>
      </c>
      <c r="S122" t="s">
        <v>46</v>
      </c>
      <c r="T122" s="2">
        <v>2613</v>
      </c>
      <c r="U122" s="2">
        <v>22310</v>
      </c>
      <c r="V122">
        <v>1</v>
      </c>
      <c r="W122" t="s">
        <v>38</v>
      </c>
      <c r="X122">
        <v>25</v>
      </c>
      <c r="Y122">
        <v>4</v>
      </c>
      <c r="Z122">
        <v>3</v>
      </c>
      <c r="AA122">
        <v>80</v>
      </c>
      <c r="AB122">
        <v>3</v>
      </c>
      <c r="AC122">
        <v>10</v>
      </c>
      <c r="AD122">
        <v>2</v>
      </c>
      <c r="AE122">
        <v>2</v>
      </c>
      <c r="AF122">
        <v>10</v>
      </c>
      <c r="AG122">
        <v>7</v>
      </c>
      <c r="AH122">
        <v>0</v>
      </c>
      <c r="AI122">
        <v>9</v>
      </c>
    </row>
    <row r="123" spans="1:35" x14ac:dyDescent="0.25">
      <c r="A123">
        <v>33</v>
      </c>
      <c r="B123" t="str">
        <f t="shared" si="2"/>
        <v>25-34</v>
      </c>
      <c r="C123" s="1" t="s">
        <v>38</v>
      </c>
      <c r="D123" s="17">
        <f>IF(Table1[[#This Row],[Attrition]]="Yes",1,0)</f>
        <v>0</v>
      </c>
      <c r="E123" t="s">
        <v>49</v>
      </c>
      <c r="F123" s="2">
        <v>750</v>
      </c>
      <c r="G123" t="s">
        <v>33</v>
      </c>
      <c r="H123">
        <v>22</v>
      </c>
      <c r="I123">
        <v>2</v>
      </c>
      <c r="J123" t="str">
        <f t="shared" si="3"/>
        <v>College</v>
      </c>
      <c r="K123" t="s">
        <v>53</v>
      </c>
      <c r="L123">
        <v>3</v>
      </c>
      <c r="M123" t="s">
        <v>40</v>
      </c>
      <c r="N123" s="2">
        <v>95</v>
      </c>
      <c r="O123">
        <v>3</v>
      </c>
      <c r="P123">
        <v>2</v>
      </c>
      <c r="Q123" t="s">
        <v>36</v>
      </c>
      <c r="R123">
        <v>2</v>
      </c>
      <c r="S123" t="s">
        <v>42</v>
      </c>
      <c r="T123" s="2">
        <v>6146</v>
      </c>
      <c r="U123" s="2">
        <v>15480</v>
      </c>
      <c r="V123">
        <v>0</v>
      </c>
      <c r="W123" t="s">
        <v>38</v>
      </c>
      <c r="X123">
        <v>13</v>
      </c>
      <c r="Y123">
        <v>3</v>
      </c>
      <c r="Z123">
        <v>1</v>
      </c>
      <c r="AA123">
        <v>80</v>
      </c>
      <c r="AB123">
        <v>1</v>
      </c>
      <c r="AC123">
        <v>8</v>
      </c>
      <c r="AD123">
        <v>2</v>
      </c>
      <c r="AE123">
        <v>4</v>
      </c>
      <c r="AF123">
        <v>7</v>
      </c>
      <c r="AG123">
        <v>7</v>
      </c>
      <c r="AH123">
        <v>0</v>
      </c>
      <c r="AI123">
        <v>7</v>
      </c>
    </row>
    <row r="124" spans="1:35" x14ac:dyDescent="0.25">
      <c r="A124">
        <v>56</v>
      </c>
      <c r="B124" t="str">
        <f t="shared" si="2"/>
        <v>55-64</v>
      </c>
      <c r="C124" s="1" t="s">
        <v>32</v>
      </c>
      <c r="D124" s="17">
        <f>IF(Table1[[#This Row],[Attrition]]="Yes",1,0)</f>
        <v>1</v>
      </c>
      <c r="E124" t="s">
        <v>57</v>
      </c>
      <c r="F124" s="2">
        <v>441</v>
      </c>
      <c r="G124" t="s">
        <v>39</v>
      </c>
      <c r="H124">
        <v>14</v>
      </c>
      <c r="I124">
        <v>4</v>
      </c>
      <c r="J124" t="str">
        <f t="shared" si="3"/>
        <v>Master</v>
      </c>
      <c r="K124" t="s">
        <v>34</v>
      </c>
      <c r="L124">
        <v>2</v>
      </c>
      <c r="M124" t="s">
        <v>35</v>
      </c>
      <c r="N124" s="2">
        <v>72</v>
      </c>
      <c r="O124">
        <v>3</v>
      </c>
      <c r="P124">
        <v>1</v>
      </c>
      <c r="Q124" t="s">
        <v>41</v>
      </c>
      <c r="R124">
        <v>2</v>
      </c>
      <c r="S124" t="s">
        <v>42</v>
      </c>
      <c r="T124" s="2">
        <v>4963</v>
      </c>
      <c r="U124" s="2">
        <v>4510</v>
      </c>
      <c r="V124">
        <v>9</v>
      </c>
      <c r="W124" t="s">
        <v>32</v>
      </c>
      <c r="X124">
        <v>18</v>
      </c>
      <c r="Y124">
        <v>3</v>
      </c>
      <c r="Z124">
        <v>1</v>
      </c>
      <c r="AA124">
        <v>80</v>
      </c>
      <c r="AB124">
        <v>3</v>
      </c>
      <c r="AC124">
        <v>7</v>
      </c>
      <c r="AD124">
        <v>2</v>
      </c>
      <c r="AE124">
        <v>3</v>
      </c>
      <c r="AF124">
        <v>5</v>
      </c>
      <c r="AG124">
        <v>4</v>
      </c>
      <c r="AH124">
        <v>4</v>
      </c>
      <c r="AI124">
        <v>3</v>
      </c>
    </row>
    <row r="125" spans="1:35" x14ac:dyDescent="0.25">
      <c r="A125">
        <v>51</v>
      </c>
      <c r="B125" t="str">
        <f t="shared" si="2"/>
        <v>45-54</v>
      </c>
      <c r="C125" s="1" t="s">
        <v>38</v>
      </c>
      <c r="D125" s="17">
        <f>IF(Table1[[#This Row],[Attrition]]="Yes",1,0)</f>
        <v>0</v>
      </c>
      <c r="E125" t="s">
        <v>57</v>
      </c>
      <c r="F125" s="2">
        <v>684</v>
      </c>
      <c r="G125" t="s">
        <v>39</v>
      </c>
      <c r="H125">
        <v>6</v>
      </c>
      <c r="I125">
        <v>3</v>
      </c>
      <c r="J125" t="str">
        <f t="shared" si="3"/>
        <v>Bachelor</v>
      </c>
      <c r="K125" t="s">
        <v>34</v>
      </c>
      <c r="L125">
        <v>1</v>
      </c>
      <c r="M125" t="s">
        <v>40</v>
      </c>
      <c r="N125" s="2">
        <v>51</v>
      </c>
      <c r="O125">
        <v>3</v>
      </c>
      <c r="P125">
        <v>5</v>
      </c>
      <c r="Q125" t="s">
        <v>52</v>
      </c>
      <c r="R125">
        <v>3</v>
      </c>
      <c r="S125" t="s">
        <v>37</v>
      </c>
      <c r="T125" s="2">
        <v>19537</v>
      </c>
      <c r="U125" s="2">
        <v>6462</v>
      </c>
      <c r="V125">
        <v>7</v>
      </c>
      <c r="W125" t="s">
        <v>38</v>
      </c>
      <c r="X125">
        <v>13</v>
      </c>
      <c r="Y125">
        <v>3</v>
      </c>
      <c r="Z125">
        <v>3</v>
      </c>
      <c r="AA125">
        <v>80</v>
      </c>
      <c r="AB125">
        <v>0</v>
      </c>
      <c r="AC125">
        <v>23</v>
      </c>
      <c r="AD125">
        <v>5</v>
      </c>
      <c r="AE125">
        <v>3</v>
      </c>
      <c r="AF125">
        <v>20</v>
      </c>
      <c r="AG125">
        <v>18</v>
      </c>
      <c r="AH125">
        <v>15</v>
      </c>
      <c r="AI125">
        <v>15</v>
      </c>
    </row>
    <row r="126" spans="1:35" x14ac:dyDescent="0.25">
      <c r="A126">
        <v>31</v>
      </c>
      <c r="B126" t="str">
        <f t="shared" si="2"/>
        <v>25-34</v>
      </c>
      <c r="C126" s="1" t="s">
        <v>32</v>
      </c>
      <c r="D126" s="17">
        <f>IF(Table1[[#This Row],[Attrition]]="Yes",1,0)</f>
        <v>1</v>
      </c>
      <c r="E126" t="s">
        <v>57</v>
      </c>
      <c r="F126" s="2">
        <v>249</v>
      </c>
      <c r="G126" t="s">
        <v>33</v>
      </c>
      <c r="H126">
        <v>6</v>
      </c>
      <c r="I126">
        <v>4</v>
      </c>
      <c r="J126" t="str">
        <f t="shared" si="3"/>
        <v>Master</v>
      </c>
      <c r="K126" t="s">
        <v>34</v>
      </c>
      <c r="L126">
        <v>2</v>
      </c>
      <c r="M126" t="s">
        <v>40</v>
      </c>
      <c r="N126" s="2">
        <v>76</v>
      </c>
      <c r="O126">
        <v>1</v>
      </c>
      <c r="P126">
        <v>2</v>
      </c>
      <c r="Q126" t="s">
        <v>36</v>
      </c>
      <c r="R126">
        <v>3</v>
      </c>
      <c r="S126" t="s">
        <v>42</v>
      </c>
      <c r="T126" s="2">
        <v>6172</v>
      </c>
      <c r="U126" s="2">
        <v>20739</v>
      </c>
      <c r="V126">
        <v>4</v>
      </c>
      <c r="W126" t="s">
        <v>32</v>
      </c>
      <c r="X126">
        <v>18</v>
      </c>
      <c r="Y126">
        <v>3</v>
      </c>
      <c r="Z126">
        <v>2</v>
      </c>
      <c r="AA126">
        <v>80</v>
      </c>
      <c r="AB126">
        <v>0</v>
      </c>
      <c r="AC126">
        <v>12</v>
      </c>
      <c r="AD126">
        <v>3</v>
      </c>
      <c r="AE126">
        <v>2</v>
      </c>
      <c r="AF126">
        <v>7</v>
      </c>
      <c r="AG126">
        <v>7</v>
      </c>
      <c r="AH126">
        <v>7</v>
      </c>
      <c r="AI126">
        <v>7</v>
      </c>
    </row>
    <row r="127" spans="1:35" x14ac:dyDescent="0.25">
      <c r="A127">
        <v>26</v>
      </c>
      <c r="B127" t="str">
        <f t="shared" si="2"/>
        <v>25-34</v>
      </c>
      <c r="C127" s="1" t="s">
        <v>38</v>
      </c>
      <c r="D127" s="17">
        <f>IF(Table1[[#This Row],[Attrition]]="Yes",1,0)</f>
        <v>0</v>
      </c>
      <c r="E127" t="s">
        <v>57</v>
      </c>
      <c r="F127" s="2">
        <v>841</v>
      </c>
      <c r="G127" t="s">
        <v>39</v>
      </c>
      <c r="H127">
        <v>6</v>
      </c>
      <c r="I127">
        <v>3</v>
      </c>
      <c r="J127" t="str">
        <f t="shared" si="3"/>
        <v>Bachelor</v>
      </c>
      <c r="K127" t="s">
        <v>43</v>
      </c>
      <c r="L127">
        <v>3</v>
      </c>
      <c r="M127" t="s">
        <v>35</v>
      </c>
      <c r="N127" s="2">
        <v>46</v>
      </c>
      <c r="O127">
        <v>2</v>
      </c>
      <c r="P127">
        <v>1</v>
      </c>
      <c r="Q127" t="s">
        <v>41</v>
      </c>
      <c r="R127">
        <v>2</v>
      </c>
      <c r="S127" t="s">
        <v>42</v>
      </c>
      <c r="T127" s="2">
        <v>2368</v>
      </c>
      <c r="U127" s="2">
        <v>23300</v>
      </c>
      <c r="V127">
        <v>1</v>
      </c>
      <c r="W127" t="s">
        <v>38</v>
      </c>
      <c r="X127">
        <v>19</v>
      </c>
      <c r="Y127">
        <v>3</v>
      </c>
      <c r="Z127">
        <v>3</v>
      </c>
      <c r="AA127">
        <v>80</v>
      </c>
      <c r="AB127">
        <v>0</v>
      </c>
      <c r="AC127">
        <v>5</v>
      </c>
      <c r="AD127">
        <v>3</v>
      </c>
      <c r="AE127">
        <v>2</v>
      </c>
      <c r="AF127">
        <v>5</v>
      </c>
      <c r="AG127">
        <v>4</v>
      </c>
      <c r="AH127">
        <v>4</v>
      </c>
      <c r="AI127">
        <v>3</v>
      </c>
    </row>
    <row r="128" spans="1:35" x14ac:dyDescent="0.25">
      <c r="A128">
        <v>58</v>
      </c>
      <c r="B128" t="str">
        <f t="shared" si="2"/>
        <v>55-64</v>
      </c>
      <c r="C128" s="1" t="s">
        <v>32</v>
      </c>
      <c r="D128" s="17">
        <f>IF(Table1[[#This Row],[Attrition]]="Yes",1,0)</f>
        <v>1</v>
      </c>
      <c r="E128" t="s">
        <v>57</v>
      </c>
      <c r="F128" s="2">
        <v>147</v>
      </c>
      <c r="G128" t="s">
        <v>39</v>
      </c>
      <c r="H128">
        <v>23</v>
      </c>
      <c r="I128">
        <v>4</v>
      </c>
      <c r="J128" t="str">
        <f t="shared" si="3"/>
        <v>Master</v>
      </c>
      <c r="K128" t="s">
        <v>45</v>
      </c>
      <c r="L128">
        <v>4</v>
      </c>
      <c r="M128" t="s">
        <v>35</v>
      </c>
      <c r="N128" s="2">
        <v>94</v>
      </c>
      <c r="O128">
        <v>3</v>
      </c>
      <c r="P128">
        <v>3</v>
      </c>
      <c r="Q128" t="s">
        <v>48</v>
      </c>
      <c r="R128">
        <v>4</v>
      </c>
      <c r="S128" t="s">
        <v>42</v>
      </c>
      <c r="T128" s="2">
        <v>10312</v>
      </c>
      <c r="U128" s="2">
        <v>3465</v>
      </c>
      <c r="V128">
        <v>1</v>
      </c>
      <c r="W128" t="s">
        <v>38</v>
      </c>
      <c r="X128">
        <v>12</v>
      </c>
      <c r="Y128">
        <v>3</v>
      </c>
      <c r="Z128">
        <v>4</v>
      </c>
      <c r="AA128">
        <v>80</v>
      </c>
      <c r="AB128">
        <v>1</v>
      </c>
      <c r="AC128">
        <v>40</v>
      </c>
      <c r="AD128">
        <v>3</v>
      </c>
      <c r="AE128">
        <v>2</v>
      </c>
      <c r="AF128">
        <v>40</v>
      </c>
      <c r="AG128">
        <v>10</v>
      </c>
      <c r="AH128">
        <v>15</v>
      </c>
      <c r="AI128">
        <v>6</v>
      </c>
    </row>
    <row r="129" spans="1:35" x14ac:dyDescent="0.25">
      <c r="A129">
        <v>19</v>
      </c>
      <c r="B129" t="str">
        <f t="shared" si="2"/>
        <v>18-24</v>
      </c>
      <c r="C129" s="1" t="s">
        <v>32</v>
      </c>
      <c r="D129" s="17">
        <f>IF(Table1[[#This Row],[Attrition]]="Yes",1,0)</f>
        <v>1</v>
      </c>
      <c r="E129" t="s">
        <v>57</v>
      </c>
      <c r="F129" s="2">
        <v>528</v>
      </c>
      <c r="G129" t="s">
        <v>33</v>
      </c>
      <c r="H129">
        <v>22</v>
      </c>
      <c r="I129">
        <v>1</v>
      </c>
      <c r="J129" t="str">
        <f t="shared" si="3"/>
        <v>Below College</v>
      </c>
      <c r="K129" t="s">
        <v>53</v>
      </c>
      <c r="L129">
        <v>4</v>
      </c>
      <c r="M129" t="s">
        <v>40</v>
      </c>
      <c r="N129" s="2">
        <v>50</v>
      </c>
      <c r="O129">
        <v>3</v>
      </c>
      <c r="P129">
        <v>1</v>
      </c>
      <c r="Q129" t="s">
        <v>51</v>
      </c>
      <c r="R129">
        <v>3</v>
      </c>
      <c r="S129" t="s">
        <v>37</v>
      </c>
      <c r="T129" s="2">
        <v>1675</v>
      </c>
      <c r="U129" s="2">
        <v>26820</v>
      </c>
      <c r="V129">
        <v>1</v>
      </c>
      <c r="W129" t="s">
        <v>32</v>
      </c>
      <c r="X129">
        <v>19</v>
      </c>
      <c r="Y129">
        <v>3</v>
      </c>
      <c r="Z129">
        <v>4</v>
      </c>
      <c r="AA129">
        <v>80</v>
      </c>
      <c r="AB129">
        <v>0</v>
      </c>
      <c r="AC129">
        <v>0</v>
      </c>
      <c r="AD129">
        <v>2</v>
      </c>
      <c r="AE129">
        <v>2</v>
      </c>
      <c r="AF129">
        <v>0</v>
      </c>
      <c r="AG129">
        <v>0</v>
      </c>
      <c r="AH129">
        <v>0</v>
      </c>
      <c r="AI129">
        <v>0</v>
      </c>
    </row>
    <row r="130" spans="1:35" x14ac:dyDescent="0.25">
      <c r="A130">
        <v>22</v>
      </c>
      <c r="B130" t="str">
        <f t="shared" ref="B130:B193" si="4">IF(A130="","",IF(A130&lt;25,"18-24",
 IF(A130&lt;35,"25-34",
 IF(A130&lt;45,"35-44",
 IF(A130&lt;55,"45-54",
 IF(A130&lt;65,"55-64","65+"))))))</f>
        <v>18-24</v>
      </c>
      <c r="C130" s="1" t="s">
        <v>38</v>
      </c>
      <c r="D130" s="17">
        <f>IF(Table1[[#This Row],[Attrition]]="Yes",1,0)</f>
        <v>0</v>
      </c>
      <c r="E130" t="s">
        <v>57</v>
      </c>
      <c r="F130" s="2">
        <v>594</v>
      </c>
      <c r="G130" t="s">
        <v>39</v>
      </c>
      <c r="H130">
        <v>2</v>
      </c>
      <c r="I130">
        <v>1</v>
      </c>
      <c r="J130" t="str">
        <f t="shared" ref="J130:J193" si="5">CHOOSE(I130,"Below College","College","Bachelor","Master","Doctor")</f>
        <v>Below College</v>
      </c>
      <c r="K130" t="s">
        <v>54</v>
      </c>
      <c r="L130">
        <v>3</v>
      </c>
      <c r="M130" t="s">
        <v>40</v>
      </c>
      <c r="N130" s="2">
        <v>100</v>
      </c>
      <c r="O130">
        <v>3</v>
      </c>
      <c r="P130">
        <v>1</v>
      </c>
      <c r="Q130" t="s">
        <v>44</v>
      </c>
      <c r="R130">
        <v>4</v>
      </c>
      <c r="S130" t="s">
        <v>42</v>
      </c>
      <c r="T130" s="2">
        <v>2523</v>
      </c>
      <c r="U130" s="2">
        <v>19299</v>
      </c>
      <c r="V130">
        <v>0</v>
      </c>
      <c r="W130" t="s">
        <v>38</v>
      </c>
      <c r="X130">
        <v>14</v>
      </c>
      <c r="Y130">
        <v>3</v>
      </c>
      <c r="Z130">
        <v>3</v>
      </c>
      <c r="AA130">
        <v>80</v>
      </c>
      <c r="AB130">
        <v>1</v>
      </c>
      <c r="AC130">
        <v>3</v>
      </c>
      <c r="AD130">
        <v>2</v>
      </c>
      <c r="AE130">
        <v>3</v>
      </c>
      <c r="AF130">
        <v>2</v>
      </c>
      <c r="AG130">
        <v>1</v>
      </c>
      <c r="AH130">
        <v>2</v>
      </c>
      <c r="AI130">
        <v>1</v>
      </c>
    </row>
    <row r="131" spans="1:35" x14ac:dyDescent="0.25">
      <c r="A131">
        <v>49</v>
      </c>
      <c r="B131" t="str">
        <f t="shared" si="4"/>
        <v>45-54</v>
      </c>
      <c r="C131" s="1" t="s">
        <v>38</v>
      </c>
      <c r="D131" s="17">
        <f>IF(Table1[[#This Row],[Attrition]]="Yes",1,0)</f>
        <v>0</v>
      </c>
      <c r="E131" t="s">
        <v>57</v>
      </c>
      <c r="F131" s="2">
        <v>470</v>
      </c>
      <c r="G131" t="s">
        <v>39</v>
      </c>
      <c r="H131">
        <v>20</v>
      </c>
      <c r="I131">
        <v>4</v>
      </c>
      <c r="J131" t="str">
        <f t="shared" si="5"/>
        <v>Master</v>
      </c>
      <c r="K131" t="s">
        <v>45</v>
      </c>
      <c r="L131">
        <v>3</v>
      </c>
      <c r="M131" t="s">
        <v>35</v>
      </c>
      <c r="N131" s="2">
        <v>96</v>
      </c>
      <c r="O131">
        <v>3</v>
      </c>
      <c r="P131">
        <v>2</v>
      </c>
      <c r="Q131" t="s">
        <v>47</v>
      </c>
      <c r="R131">
        <v>1</v>
      </c>
      <c r="S131" t="s">
        <v>42</v>
      </c>
      <c r="T131" s="2">
        <v>6567</v>
      </c>
      <c r="U131" s="2">
        <v>5549</v>
      </c>
      <c r="V131">
        <v>1</v>
      </c>
      <c r="W131" t="s">
        <v>38</v>
      </c>
      <c r="X131">
        <v>14</v>
      </c>
      <c r="Y131">
        <v>3</v>
      </c>
      <c r="Z131">
        <v>3</v>
      </c>
      <c r="AA131">
        <v>80</v>
      </c>
      <c r="AB131">
        <v>0</v>
      </c>
      <c r="AC131">
        <v>16</v>
      </c>
      <c r="AD131">
        <v>2</v>
      </c>
      <c r="AE131">
        <v>2</v>
      </c>
      <c r="AF131">
        <v>15</v>
      </c>
      <c r="AG131">
        <v>11</v>
      </c>
      <c r="AH131">
        <v>5</v>
      </c>
      <c r="AI131">
        <v>11</v>
      </c>
    </row>
    <row r="132" spans="1:35" x14ac:dyDescent="0.25">
      <c r="A132">
        <v>43</v>
      </c>
      <c r="B132" t="str">
        <f t="shared" si="4"/>
        <v>35-44</v>
      </c>
      <c r="C132" s="1" t="s">
        <v>38</v>
      </c>
      <c r="D132" s="17">
        <f>IF(Table1[[#This Row],[Attrition]]="Yes",1,0)</f>
        <v>0</v>
      </c>
      <c r="E132" t="s">
        <v>58</v>
      </c>
      <c r="F132" s="2">
        <v>957</v>
      </c>
      <c r="G132" t="s">
        <v>39</v>
      </c>
      <c r="H132">
        <v>28</v>
      </c>
      <c r="I132">
        <v>3</v>
      </c>
      <c r="J132" t="str">
        <f t="shared" si="5"/>
        <v>Bachelor</v>
      </c>
      <c r="K132" t="s">
        <v>45</v>
      </c>
      <c r="L132">
        <v>2</v>
      </c>
      <c r="M132" t="s">
        <v>35</v>
      </c>
      <c r="N132" s="2">
        <v>72</v>
      </c>
      <c r="O132">
        <v>4</v>
      </c>
      <c r="P132">
        <v>1</v>
      </c>
      <c r="Q132" t="s">
        <v>41</v>
      </c>
      <c r="R132">
        <v>3</v>
      </c>
      <c r="S132" t="s">
        <v>37</v>
      </c>
      <c r="T132" s="2">
        <v>4739</v>
      </c>
      <c r="U132" s="2">
        <v>16090</v>
      </c>
      <c r="V132">
        <v>4</v>
      </c>
      <c r="W132" t="s">
        <v>38</v>
      </c>
      <c r="X132">
        <v>12</v>
      </c>
      <c r="Y132">
        <v>3</v>
      </c>
      <c r="Z132">
        <v>4</v>
      </c>
      <c r="AA132">
        <v>80</v>
      </c>
      <c r="AB132">
        <v>0</v>
      </c>
      <c r="AC132">
        <v>18</v>
      </c>
      <c r="AD132">
        <v>2</v>
      </c>
      <c r="AE132">
        <v>3</v>
      </c>
      <c r="AF132">
        <v>3</v>
      </c>
      <c r="AG132">
        <v>2</v>
      </c>
      <c r="AH132">
        <v>1</v>
      </c>
      <c r="AI132">
        <v>2</v>
      </c>
    </row>
    <row r="133" spans="1:35" x14ac:dyDescent="0.25">
      <c r="A133">
        <v>50</v>
      </c>
      <c r="B133" t="str">
        <f t="shared" si="4"/>
        <v>45-54</v>
      </c>
      <c r="C133" s="1" t="s">
        <v>38</v>
      </c>
      <c r="D133" s="17">
        <f>IF(Table1[[#This Row],[Attrition]]="Yes",1,0)</f>
        <v>0</v>
      </c>
      <c r="E133" t="s">
        <v>58</v>
      </c>
      <c r="F133" s="2">
        <v>809</v>
      </c>
      <c r="G133" t="s">
        <v>33</v>
      </c>
      <c r="H133">
        <v>12</v>
      </c>
      <c r="I133">
        <v>3</v>
      </c>
      <c r="J133" t="str">
        <f t="shared" si="5"/>
        <v>Bachelor</v>
      </c>
      <c r="K133" t="s">
        <v>53</v>
      </c>
      <c r="L133">
        <v>3</v>
      </c>
      <c r="M133" t="s">
        <v>35</v>
      </c>
      <c r="N133" s="2">
        <v>77</v>
      </c>
      <c r="O133">
        <v>3</v>
      </c>
      <c r="P133">
        <v>3</v>
      </c>
      <c r="Q133" t="s">
        <v>36</v>
      </c>
      <c r="R133">
        <v>4</v>
      </c>
      <c r="S133" t="s">
        <v>37</v>
      </c>
      <c r="T133" s="2">
        <v>9208</v>
      </c>
      <c r="U133" s="2">
        <v>6645</v>
      </c>
      <c r="V133">
        <v>4</v>
      </c>
      <c r="W133" t="s">
        <v>38</v>
      </c>
      <c r="X133">
        <v>11</v>
      </c>
      <c r="Y133">
        <v>3</v>
      </c>
      <c r="Z133">
        <v>4</v>
      </c>
      <c r="AA133">
        <v>80</v>
      </c>
      <c r="AB133">
        <v>0</v>
      </c>
      <c r="AC133">
        <v>16</v>
      </c>
      <c r="AD133">
        <v>3</v>
      </c>
      <c r="AE133">
        <v>3</v>
      </c>
      <c r="AF133">
        <v>2</v>
      </c>
      <c r="AG133">
        <v>2</v>
      </c>
      <c r="AH133">
        <v>2</v>
      </c>
      <c r="AI133">
        <v>1</v>
      </c>
    </row>
    <row r="134" spans="1:35" x14ac:dyDescent="0.25">
      <c r="A134">
        <v>31</v>
      </c>
      <c r="B134" t="str">
        <f t="shared" si="4"/>
        <v>25-34</v>
      </c>
      <c r="C134" s="1" t="s">
        <v>32</v>
      </c>
      <c r="D134" s="17">
        <f>IF(Table1[[#This Row],[Attrition]]="Yes",1,0)</f>
        <v>1</v>
      </c>
      <c r="E134" t="s">
        <v>57</v>
      </c>
      <c r="F134" s="2">
        <v>542</v>
      </c>
      <c r="G134" t="s">
        <v>33</v>
      </c>
      <c r="H134">
        <v>20</v>
      </c>
      <c r="I134">
        <v>3</v>
      </c>
      <c r="J134" t="str">
        <f t="shared" si="5"/>
        <v>Bachelor</v>
      </c>
      <c r="K134" t="s">
        <v>34</v>
      </c>
      <c r="L134">
        <v>2</v>
      </c>
      <c r="M134" t="s">
        <v>35</v>
      </c>
      <c r="N134" s="2">
        <v>71</v>
      </c>
      <c r="O134">
        <v>1</v>
      </c>
      <c r="P134">
        <v>2</v>
      </c>
      <c r="Q134" t="s">
        <v>36</v>
      </c>
      <c r="R134">
        <v>3</v>
      </c>
      <c r="S134" t="s">
        <v>42</v>
      </c>
      <c r="T134" s="2">
        <v>4559</v>
      </c>
      <c r="U134" s="2">
        <v>24788</v>
      </c>
      <c r="V134">
        <v>3</v>
      </c>
      <c r="W134" t="s">
        <v>32</v>
      </c>
      <c r="X134">
        <v>11</v>
      </c>
      <c r="Y134">
        <v>3</v>
      </c>
      <c r="Z134">
        <v>3</v>
      </c>
      <c r="AA134">
        <v>80</v>
      </c>
      <c r="AB134">
        <v>1</v>
      </c>
      <c r="AC134">
        <v>4</v>
      </c>
      <c r="AD134">
        <v>2</v>
      </c>
      <c r="AE134">
        <v>3</v>
      </c>
      <c r="AF134">
        <v>2</v>
      </c>
      <c r="AG134">
        <v>2</v>
      </c>
      <c r="AH134">
        <v>2</v>
      </c>
      <c r="AI134">
        <v>2</v>
      </c>
    </row>
    <row r="135" spans="1:35" x14ac:dyDescent="0.25">
      <c r="A135">
        <v>41</v>
      </c>
      <c r="B135" t="str">
        <f t="shared" si="4"/>
        <v>35-44</v>
      </c>
      <c r="C135" s="1" t="s">
        <v>38</v>
      </c>
      <c r="D135" s="17">
        <f>IF(Table1[[#This Row],[Attrition]]="Yes",1,0)</f>
        <v>0</v>
      </c>
      <c r="E135" t="s">
        <v>57</v>
      </c>
      <c r="F135" s="2">
        <v>802</v>
      </c>
      <c r="G135" t="s">
        <v>33</v>
      </c>
      <c r="H135">
        <v>9</v>
      </c>
      <c r="I135">
        <v>1</v>
      </c>
      <c r="J135" t="str">
        <f t="shared" si="5"/>
        <v>Below College</v>
      </c>
      <c r="K135" t="s">
        <v>34</v>
      </c>
      <c r="L135">
        <v>3</v>
      </c>
      <c r="M135" t="s">
        <v>40</v>
      </c>
      <c r="N135" s="2">
        <v>96</v>
      </c>
      <c r="O135">
        <v>3</v>
      </c>
      <c r="P135">
        <v>3</v>
      </c>
      <c r="Q135" t="s">
        <v>36</v>
      </c>
      <c r="R135">
        <v>3</v>
      </c>
      <c r="S135" t="s">
        <v>46</v>
      </c>
      <c r="T135" s="2">
        <v>8189</v>
      </c>
      <c r="U135" s="2">
        <v>21196</v>
      </c>
      <c r="V135">
        <v>3</v>
      </c>
      <c r="W135" t="s">
        <v>32</v>
      </c>
      <c r="X135">
        <v>13</v>
      </c>
      <c r="Y135">
        <v>3</v>
      </c>
      <c r="Z135">
        <v>3</v>
      </c>
      <c r="AA135">
        <v>80</v>
      </c>
      <c r="AB135">
        <v>1</v>
      </c>
      <c r="AC135">
        <v>12</v>
      </c>
      <c r="AD135">
        <v>2</v>
      </c>
      <c r="AE135">
        <v>3</v>
      </c>
      <c r="AF135">
        <v>9</v>
      </c>
      <c r="AG135">
        <v>7</v>
      </c>
      <c r="AH135">
        <v>0</v>
      </c>
      <c r="AI135">
        <v>7</v>
      </c>
    </row>
    <row r="136" spans="1:35" x14ac:dyDescent="0.25">
      <c r="A136">
        <v>26</v>
      </c>
      <c r="B136" t="str">
        <f t="shared" si="4"/>
        <v>25-34</v>
      </c>
      <c r="C136" s="1" t="s">
        <v>38</v>
      </c>
      <c r="D136" s="17">
        <f>IF(Table1[[#This Row],[Attrition]]="Yes",1,0)</f>
        <v>0</v>
      </c>
      <c r="E136" t="s">
        <v>57</v>
      </c>
      <c r="F136" s="2">
        <v>1355</v>
      </c>
      <c r="G136" t="s">
        <v>55</v>
      </c>
      <c r="H136">
        <v>25</v>
      </c>
      <c r="I136">
        <v>1</v>
      </c>
      <c r="J136" t="str">
        <f t="shared" si="5"/>
        <v>Below College</v>
      </c>
      <c r="K136" t="s">
        <v>34</v>
      </c>
      <c r="L136">
        <v>3</v>
      </c>
      <c r="M136" t="s">
        <v>35</v>
      </c>
      <c r="N136" s="2">
        <v>61</v>
      </c>
      <c r="O136">
        <v>3</v>
      </c>
      <c r="P136">
        <v>1</v>
      </c>
      <c r="Q136" t="s">
        <v>55</v>
      </c>
      <c r="R136">
        <v>3</v>
      </c>
      <c r="S136" t="s">
        <v>42</v>
      </c>
      <c r="T136" s="2">
        <v>2942</v>
      </c>
      <c r="U136" s="2">
        <v>8916</v>
      </c>
      <c r="V136">
        <v>1</v>
      </c>
      <c r="W136" t="s">
        <v>38</v>
      </c>
      <c r="X136">
        <v>23</v>
      </c>
      <c r="Y136">
        <v>4</v>
      </c>
      <c r="Z136">
        <v>4</v>
      </c>
      <c r="AA136">
        <v>80</v>
      </c>
      <c r="AB136">
        <v>1</v>
      </c>
      <c r="AC136">
        <v>8</v>
      </c>
      <c r="AD136">
        <v>3</v>
      </c>
      <c r="AE136">
        <v>3</v>
      </c>
      <c r="AF136">
        <v>8</v>
      </c>
      <c r="AG136">
        <v>7</v>
      </c>
      <c r="AH136">
        <v>5</v>
      </c>
      <c r="AI136">
        <v>7</v>
      </c>
    </row>
    <row r="137" spans="1:35" x14ac:dyDescent="0.25">
      <c r="A137">
        <v>36</v>
      </c>
      <c r="B137" t="str">
        <f t="shared" si="4"/>
        <v>35-44</v>
      </c>
      <c r="C137" s="1" t="s">
        <v>38</v>
      </c>
      <c r="D137" s="17">
        <f>IF(Table1[[#This Row],[Attrition]]="Yes",1,0)</f>
        <v>0</v>
      </c>
      <c r="E137" t="s">
        <v>57</v>
      </c>
      <c r="F137" s="2">
        <v>216</v>
      </c>
      <c r="G137" t="s">
        <v>39</v>
      </c>
      <c r="H137">
        <v>6</v>
      </c>
      <c r="I137">
        <v>2</v>
      </c>
      <c r="J137" t="str">
        <f t="shared" si="5"/>
        <v>College</v>
      </c>
      <c r="K137" t="s">
        <v>45</v>
      </c>
      <c r="L137">
        <v>2</v>
      </c>
      <c r="M137" t="s">
        <v>40</v>
      </c>
      <c r="N137" s="2">
        <v>84</v>
      </c>
      <c r="O137">
        <v>3</v>
      </c>
      <c r="P137">
        <v>2</v>
      </c>
      <c r="Q137" t="s">
        <v>47</v>
      </c>
      <c r="R137">
        <v>2</v>
      </c>
      <c r="S137" t="s">
        <v>46</v>
      </c>
      <c r="T137" s="2">
        <v>4941</v>
      </c>
      <c r="U137" s="2">
        <v>2819</v>
      </c>
      <c r="V137">
        <v>6</v>
      </c>
      <c r="W137" t="s">
        <v>38</v>
      </c>
      <c r="X137">
        <v>20</v>
      </c>
      <c r="Y137">
        <v>4</v>
      </c>
      <c r="Z137">
        <v>4</v>
      </c>
      <c r="AA137">
        <v>80</v>
      </c>
      <c r="AB137">
        <v>2</v>
      </c>
      <c r="AC137">
        <v>7</v>
      </c>
      <c r="AD137">
        <v>0</v>
      </c>
      <c r="AE137">
        <v>3</v>
      </c>
      <c r="AF137">
        <v>3</v>
      </c>
      <c r="AG137">
        <v>2</v>
      </c>
      <c r="AH137">
        <v>0</v>
      </c>
      <c r="AI137">
        <v>1</v>
      </c>
    </row>
    <row r="138" spans="1:35" x14ac:dyDescent="0.25">
      <c r="A138">
        <v>51</v>
      </c>
      <c r="B138" t="str">
        <f t="shared" si="4"/>
        <v>45-54</v>
      </c>
      <c r="C138" s="1" t="s">
        <v>32</v>
      </c>
      <c r="D138" s="17">
        <f>IF(Table1[[#This Row],[Attrition]]="Yes",1,0)</f>
        <v>1</v>
      </c>
      <c r="E138" t="s">
        <v>58</v>
      </c>
      <c r="F138" s="2">
        <v>1150</v>
      </c>
      <c r="G138" t="s">
        <v>39</v>
      </c>
      <c r="H138">
        <v>8</v>
      </c>
      <c r="I138">
        <v>4</v>
      </c>
      <c r="J138" t="str">
        <f t="shared" si="5"/>
        <v>Master</v>
      </c>
      <c r="K138" t="s">
        <v>34</v>
      </c>
      <c r="L138">
        <v>1</v>
      </c>
      <c r="M138" t="s">
        <v>40</v>
      </c>
      <c r="N138" s="2">
        <v>53</v>
      </c>
      <c r="O138">
        <v>1</v>
      </c>
      <c r="P138">
        <v>3</v>
      </c>
      <c r="Q138" t="s">
        <v>47</v>
      </c>
      <c r="R138">
        <v>4</v>
      </c>
      <c r="S138" t="s">
        <v>37</v>
      </c>
      <c r="T138" s="2">
        <v>10650</v>
      </c>
      <c r="U138" s="2">
        <v>25150</v>
      </c>
      <c r="V138">
        <v>2</v>
      </c>
      <c r="W138" t="s">
        <v>38</v>
      </c>
      <c r="X138">
        <v>15</v>
      </c>
      <c r="Y138">
        <v>3</v>
      </c>
      <c r="Z138">
        <v>4</v>
      </c>
      <c r="AA138">
        <v>80</v>
      </c>
      <c r="AB138">
        <v>0</v>
      </c>
      <c r="AC138">
        <v>18</v>
      </c>
      <c r="AD138">
        <v>2</v>
      </c>
      <c r="AE138">
        <v>3</v>
      </c>
      <c r="AF138">
        <v>4</v>
      </c>
      <c r="AG138">
        <v>2</v>
      </c>
      <c r="AH138">
        <v>0</v>
      </c>
      <c r="AI138">
        <v>3</v>
      </c>
    </row>
    <row r="139" spans="1:35" x14ac:dyDescent="0.25">
      <c r="A139">
        <v>39</v>
      </c>
      <c r="B139" t="str">
        <f t="shared" si="4"/>
        <v>35-44</v>
      </c>
      <c r="C139" s="1" t="s">
        <v>38</v>
      </c>
      <c r="D139" s="17">
        <f>IF(Table1[[#This Row],[Attrition]]="Yes",1,0)</f>
        <v>0</v>
      </c>
      <c r="E139" t="s">
        <v>57</v>
      </c>
      <c r="F139" s="2">
        <v>1329</v>
      </c>
      <c r="G139" t="s">
        <v>33</v>
      </c>
      <c r="H139">
        <v>4</v>
      </c>
      <c r="I139">
        <v>4</v>
      </c>
      <c r="J139" t="str">
        <f t="shared" si="5"/>
        <v>Master</v>
      </c>
      <c r="K139" t="s">
        <v>34</v>
      </c>
      <c r="L139">
        <v>4</v>
      </c>
      <c r="M139" t="s">
        <v>35</v>
      </c>
      <c r="N139" s="2">
        <v>47</v>
      </c>
      <c r="O139">
        <v>2</v>
      </c>
      <c r="P139">
        <v>2</v>
      </c>
      <c r="Q139" t="s">
        <v>36</v>
      </c>
      <c r="R139">
        <v>3</v>
      </c>
      <c r="S139" t="s">
        <v>42</v>
      </c>
      <c r="T139" s="2">
        <v>5902</v>
      </c>
      <c r="U139" s="2">
        <v>14590</v>
      </c>
      <c r="V139">
        <v>4</v>
      </c>
      <c r="W139" t="s">
        <v>38</v>
      </c>
      <c r="X139">
        <v>14</v>
      </c>
      <c r="Y139">
        <v>3</v>
      </c>
      <c r="Z139">
        <v>3</v>
      </c>
      <c r="AA139">
        <v>80</v>
      </c>
      <c r="AB139">
        <v>1</v>
      </c>
      <c r="AC139">
        <v>17</v>
      </c>
      <c r="AD139">
        <v>1</v>
      </c>
      <c r="AE139">
        <v>4</v>
      </c>
      <c r="AF139">
        <v>15</v>
      </c>
      <c r="AG139">
        <v>11</v>
      </c>
      <c r="AH139">
        <v>5</v>
      </c>
      <c r="AI139">
        <v>9</v>
      </c>
    </row>
    <row r="140" spans="1:35" x14ac:dyDescent="0.25">
      <c r="A140">
        <v>25</v>
      </c>
      <c r="B140" t="str">
        <f t="shared" si="4"/>
        <v>25-34</v>
      </c>
      <c r="C140" s="1" t="s">
        <v>38</v>
      </c>
      <c r="D140" s="17">
        <f>IF(Table1[[#This Row],[Attrition]]="Yes",1,0)</f>
        <v>0</v>
      </c>
      <c r="E140" t="s">
        <v>57</v>
      </c>
      <c r="F140" s="2">
        <v>959</v>
      </c>
      <c r="G140" t="s">
        <v>33</v>
      </c>
      <c r="H140">
        <v>28</v>
      </c>
      <c r="I140">
        <v>3</v>
      </c>
      <c r="J140" t="str">
        <f t="shared" si="5"/>
        <v>Bachelor</v>
      </c>
      <c r="K140" t="s">
        <v>34</v>
      </c>
      <c r="L140">
        <v>1</v>
      </c>
      <c r="M140" t="s">
        <v>40</v>
      </c>
      <c r="N140" s="2">
        <v>41</v>
      </c>
      <c r="O140">
        <v>2</v>
      </c>
      <c r="P140">
        <v>2</v>
      </c>
      <c r="Q140" t="s">
        <v>36</v>
      </c>
      <c r="R140">
        <v>3</v>
      </c>
      <c r="S140" t="s">
        <v>42</v>
      </c>
      <c r="T140" s="2">
        <v>8639</v>
      </c>
      <c r="U140" s="2">
        <v>24835</v>
      </c>
      <c r="V140">
        <v>2</v>
      </c>
      <c r="W140" t="s">
        <v>38</v>
      </c>
      <c r="X140">
        <v>18</v>
      </c>
      <c r="Y140">
        <v>3</v>
      </c>
      <c r="Z140">
        <v>4</v>
      </c>
      <c r="AA140">
        <v>80</v>
      </c>
      <c r="AB140">
        <v>0</v>
      </c>
      <c r="AC140">
        <v>6</v>
      </c>
      <c r="AD140">
        <v>3</v>
      </c>
      <c r="AE140">
        <v>3</v>
      </c>
      <c r="AF140">
        <v>2</v>
      </c>
      <c r="AG140">
        <v>2</v>
      </c>
      <c r="AH140">
        <v>2</v>
      </c>
      <c r="AI140">
        <v>2</v>
      </c>
    </row>
    <row r="141" spans="1:35" x14ac:dyDescent="0.25">
      <c r="A141">
        <v>30</v>
      </c>
      <c r="B141" t="str">
        <f t="shared" si="4"/>
        <v>25-34</v>
      </c>
      <c r="C141" s="1" t="s">
        <v>38</v>
      </c>
      <c r="D141" s="17">
        <f>IF(Table1[[#This Row],[Attrition]]="Yes",1,0)</f>
        <v>0</v>
      </c>
      <c r="E141" t="s">
        <v>57</v>
      </c>
      <c r="F141" s="2">
        <v>1240</v>
      </c>
      <c r="G141" t="s">
        <v>55</v>
      </c>
      <c r="H141">
        <v>9</v>
      </c>
      <c r="I141">
        <v>3</v>
      </c>
      <c r="J141" t="str">
        <f t="shared" si="5"/>
        <v>Bachelor</v>
      </c>
      <c r="K141" t="s">
        <v>55</v>
      </c>
      <c r="L141">
        <v>3</v>
      </c>
      <c r="M141" t="s">
        <v>40</v>
      </c>
      <c r="N141" s="2">
        <v>48</v>
      </c>
      <c r="O141">
        <v>3</v>
      </c>
      <c r="P141">
        <v>2</v>
      </c>
      <c r="Q141" t="s">
        <v>55</v>
      </c>
      <c r="R141">
        <v>4</v>
      </c>
      <c r="S141" t="s">
        <v>42</v>
      </c>
      <c r="T141" s="2">
        <v>6347</v>
      </c>
      <c r="U141" s="2">
        <v>13982</v>
      </c>
      <c r="V141">
        <v>0</v>
      </c>
      <c r="W141" t="s">
        <v>32</v>
      </c>
      <c r="X141">
        <v>19</v>
      </c>
      <c r="Y141">
        <v>3</v>
      </c>
      <c r="Z141">
        <v>4</v>
      </c>
      <c r="AA141">
        <v>80</v>
      </c>
      <c r="AB141">
        <v>0</v>
      </c>
      <c r="AC141">
        <v>12</v>
      </c>
      <c r="AD141">
        <v>2</v>
      </c>
      <c r="AE141">
        <v>1</v>
      </c>
      <c r="AF141">
        <v>11</v>
      </c>
      <c r="AG141">
        <v>9</v>
      </c>
      <c r="AH141">
        <v>4</v>
      </c>
      <c r="AI141">
        <v>7</v>
      </c>
    </row>
    <row r="142" spans="1:35" x14ac:dyDescent="0.25">
      <c r="A142">
        <v>32</v>
      </c>
      <c r="B142" t="str">
        <f t="shared" si="4"/>
        <v>25-34</v>
      </c>
      <c r="C142" s="1" t="s">
        <v>32</v>
      </c>
      <c r="D142" s="17">
        <f>IF(Table1[[#This Row],[Attrition]]="Yes",1,0)</f>
        <v>1</v>
      </c>
      <c r="E142" t="s">
        <v>57</v>
      </c>
      <c r="F142" s="2">
        <v>1033</v>
      </c>
      <c r="G142" t="s">
        <v>39</v>
      </c>
      <c r="H142">
        <v>9</v>
      </c>
      <c r="I142">
        <v>3</v>
      </c>
      <c r="J142" t="str">
        <f t="shared" si="5"/>
        <v>Bachelor</v>
      </c>
      <c r="K142" t="s">
        <v>45</v>
      </c>
      <c r="L142">
        <v>1</v>
      </c>
      <c r="M142" t="s">
        <v>35</v>
      </c>
      <c r="N142" s="2">
        <v>41</v>
      </c>
      <c r="O142">
        <v>3</v>
      </c>
      <c r="P142">
        <v>1</v>
      </c>
      <c r="Q142" t="s">
        <v>44</v>
      </c>
      <c r="R142">
        <v>1</v>
      </c>
      <c r="S142" t="s">
        <v>37</v>
      </c>
      <c r="T142" s="2">
        <v>4200</v>
      </c>
      <c r="U142" s="2">
        <v>10224</v>
      </c>
      <c r="V142">
        <v>7</v>
      </c>
      <c r="W142" t="s">
        <v>38</v>
      </c>
      <c r="X142">
        <v>22</v>
      </c>
      <c r="Y142">
        <v>4</v>
      </c>
      <c r="Z142">
        <v>1</v>
      </c>
      <c r="AA142">
        <v>80</v>
      </c>
      <c r="AB142">
        <v>0</v>
      </c>
      <c r="AC142">
        <v>10</v>
      </c>
      <c r="AD142">
        <v>2</v>
      </c>
      <c r="AE142">
        <v>4</v>
      </c>
      <c r="AF142">
        <v>5</v>
      </c>
      <c r="AG142">
        <v>4</v>
      </c>
      <c r="AH142">
        <v>0</v>
      </c>
      <c r="AI142">
        <v>4</v>
      </c>
    </row>
    <row r="143" spans="1:35" x14ac:dyDescent="0.25">
      <c r="A143">
        <v>45</v>
      </c>
      <c r="B143" t="str">
        <f t="shared" si="4"/>
        <v>45-54</v>
      </c>
      <c r="C143" s="1" t="s">
        <v>38</v>
      </c>
      <c r="D143" s="17">
        <f>IF(Table1[[#This Row],[Attrition]]="Yes",1,0)</f>
        <v>0</v>
      </c>
      <c r="E143" t="s">
        <v>57</v>
      </c>
      <c r="F143" s="2">
        <v>1316</v>
      </c>
      <c r="G143" t="s">
        <v>39</v>
      </c>
      <c r="H143">
        <v>29</v>
      </c>
      <c r="I143">
        <v>3</v>
      </c>
      <c r="J143" t="str">
        <f t="shared" si="5"/>
        <v>Bachelor</v>
      </c>
      <c r="K143" t="s">
        <v>45</v>
      </c>
      <c r="L143">
        <v>3</v>
      </c>
      <c r="M143" t="s">
        <v>40</v>
      </c>
      <c r="N143" s="2">
        <v>83</v>
      </c>
      <c r="O143">
        <v>3</v>
      </c>
      <c r="P143">
        <v>1</v>
      </c>
      <c r="Q143" t="s">
        <v>41</v>
      </c>
      <c r="R143">
        <v>4</v>
      </c>
      <c r="S143" t="s">
        <v>37</v>
      </c>
      <c r="T143" s="2">
        <v>3452</v>
      </c>
      <c r="U143" s="2">
        <v>9752</v>
      </c>
      <c r="V143">
        <v>5</v>
      </c>
      <c r="W143" t="s">
        <v>38</v>
      </c>
      <c r="X143">
        <v>13</v>
      </c>
      <c r="Y143">
        <v>3</v>
      </c>
      <c r="Z143">
        <v>2</v>
      </c>
      <c r="AA143">
        <v>80</v>
      </c>
      <c r="AB143">
        <v>0</v>
      </c>
      <c r="AC143">
        <v>9</v>
      </c>
      <c r="AD143">
        <v>2</v>
      </c>
      <c r="AE143">
        <v>2</v>
      </c>
      <c r="AF143">
        <v>6</v>
      </c>
      <c r="AG143">
        <v>5</v>
      </c>
      <c r="AH143">
        <v>0</v>
      </c>
      <c r="AI143">
        <v>3</v>
      </c>
    </row>
    <row r="144" spans="1:35" x14ac:dyDescent="0.25">
      <c r="A144">
        <v>38</v>
      </c>
      <c r="B144" t="str">
        <f t="shared" si="4"/>
        <v>35-44</v>
      </c>
      <c r="C144" s="1" t="s">
        <v>38</v>
      </c>
      <c r="D144" s="17">
        <f>IF(Table1[[#This Row],[Attrition]]="Yes",1,0)</f>
        <v>0</v>
      </c>
      <c r="E144" t="s">
        <v>57</v>
      </c>
      <c r="F144" s="2">
        <v>364</v>
      </c>
      <c r="G144" t="s">
        <v>39</v>
      </c>
      <c r="H144">
        <v>3</v>
      </c>
      <c r="I144">
        <v>5</v>
      </c>
      <c r="J144" t="str">
        <f t="shared" si="5"/>
        <v>Doctor</v>
      </c>
      <c r="K144" t="s">
        <v>54</v>
      </c>
      <c r="L144">
        <v>4</v>
      </c>
      <c r="M144" t="s">
        <v>35</v>
      </c>
      <c r="N144" s="2">
        <v>32</v>
      </c>
      <c r="O144">
        <v>3</v>
      </c>
      <c r="P144">
        <v>2</v>
      </c>
      <c r="Q144" t="s">
        <v>41</v>
      </c>
      <c r="R144">
        <v>3</v>
      </c>
      <c r="S144" t="s">
        <v>37</v>
      </c>
      <c r="T144" s="2">
        <v>4317</v>
      </c>
      <c r="U144" s="2">
        <v>2302</v>
      </c>
      <c r="V144">
        <v>3</v>
      </c>
      <c r="W144" t="s">
        <v>32</v>
      </c>
      <c r="X144">
        <v>20</v>
      </c>
      <c r="Y144">
        <v>4</v>
      </c>
      <c r="Z144">
        <v>2</v>
      </c>
      <c r="AA144">
        <v>80</v>
      </c>
      <c r="AB144">
        <v>0</v>
      </c>
      <c r="AC144">
        <v>19</v>
      </c>
      <c r="AD144">
        <v>2</v>
      </c>
      <c r="AE144">
        <v>3</v>
      </c>
      <c r="AF144">
        <v>3</v>
      </c>
      <c r="AG144">
        <v>2</v>
      </c>
      <c r="AH144">
        <v>2</v>
      </c>
      <c r="AI144">
        <v>2</v>
      </c>
    </row>
    <row r="145" spans="1:35" x14ac:dyDescent="0.25">
      <c r="A145">
        <v>30</v>
      </c>
      <c r="B145" t="str">
        <f t="shared" si="4"/>
        <v>25-34</v>
      </c>
      <c r="C145" s="1" t="s">
        <v>38</v>
      </c>
      <c r="D145" s="17">
        <f>IF(Table1[[#This Row],[Attrition]]="Yes",1,0)</f>
        <v>0</v>
      </c>
      <c r="E145" t="s">
        <v>57</v>
      </c>
      <c r="F145" s="2">
        <v>438</v>
      </c>
      <c r="G145" t="s">
        <v>39</v>
      </c>
      <c r="H145">
        <v>18</v>
      </c>
      <c r="I145">
        <v>3</v>
      </c>
      <c r="J145" t="str">
        <f t="shared" si="5"/>
        <v>Bachelor</v>
      </c>
      <c r="K145" t="s">
        <v>34</v>
      </c>
      <c r="L145">
        <v>1</v>
      </c>
      <c r="M145" t="s">
        <v>35</v>
      </c>
      <c r="N145" s="2">
        <v>75</v>
      </c>
      <c r="O145">
        <v>3</v>
      </c>
      <c r="P145">
        <v>1</v>
      </c>
      <c r="Q145" t="s">
        <v>41</v>
      </c>
      <c r="R145">
        <v>3</v>
      </c>
      <c r="S145" t="s">
        <v>37</v>
      </c>
      <c r="T145" s="2">
        <v>2632</v>
      </c>
      <c r="U145" s="2">
        <v>23910</v>
      </c>
      <c r="V145">
        <v>1</v>
      </c>
      <c r="W145" t="s">
        <v>38</v>
      </c>
      <c r="X145">
        <v>14</v>
      </c>
      <c r="Y145">
        <v>3</v>
      </c>
      <c r="Z145">
        <v>3</v>
      </c>
      <c r="AA145">
        <v>80</v>
      </c>
      <c r="AB145">
        <v>0</v>
      </c>
      <c r="AC145">
        <v>5</v>
      </c>
      <c r="AD145">
        <v>4</v>
      </c>
      <c r="AE145">
        <v>2</v>
      </c>
      <c r="AF145">
        <v>5</v>
      </c>
      <c r="AG145">
        <v>4</v>
      </c>
      <c r="AH145">
        <v>0</v>
      </c>
      <c r="AI145">
        <v>4</v>
      </c>
    </row>
    <row r="146" spans="1:35" x14ac:dyDescent="0.25">
      <c r="A146">
        <v>32</v>
      </c>
      <c r="B146" t="str">
        <f t="shared" si="4"/>
        <v>25-34</v>
      </c>
      <c r="C146" s="1" t="s">
        <v>38</v>
      </c>
      <c r="D146" s="17">
        <f>IF(Table1[[#This Row],[Attrition]]="Yes",1,0)</f>
        <v>0</v>
      </c>
      <c r="E146" t="s">
        <v>58</v>
      </c>
      <c r="F146" s="2">
        <v>689</v>
      </c>
      <c r="G146" t="s">
        <v>33</v>
      </c>
      <c r="H146">
        <v>9</v>
      </c>
      <c r="I146">
        <v>2</v>
      </c>
      <c r="J146" t="str">
        <f t="shared" si="5"/>
        <v>College</v>
      </c>
      <c r="K146" t="s">
        <v>45</v>
      </c>
      <c r="L146">
        <v>4</v>
      </c>
      <c r="M146" t="s">
        <v>40</v>
      </c>
      <c r="N146" s="2">
        <v>35</v>
      </c>
      <c r="O146">
        <v>1</v>
      </c>
      <c r="P146">
        <v>2</v>
      </c>
      <c r="Q146" t="s">
        <v>36</v>
      </c>
      <c r="R146">
        <v>4</v>
      </c>
      <c r="S146" t="s">
        <v>46</v>
      </c>
      <c r="T146" s="2">
        <v>4668</v>
      </c>
      <c r="U146" s="2">
        <v>22812</v>
      </c>
      <c r="V146">
        <v>0</v>
      </c>
      <c r="W146" t="s">
        <v>38</v>
      </c>
      <c r="X146">
        <v>17</v>
      </c>
      <c r="Y146">
        <v>3</v>
      </c>
      <c r="Z146">
        <v>4</v>
      </c>
      <c r="AA146">
        <v>80</v>
      </c>
      <c r="AB146">
        <v>3</v>
      </c>
      <c r="AC146">
        <v>9</v>
      </c>
      <c r="AD146">
        <v>2</v>
      </c>
      <c r="AE146">
        <v>4</v>
      </c>
      <c r="AF146">
        <v>8</v>
      </c>
      <c r="AG146">
        <v>7</v>
      </c>
      <c r="AH146">
        <v>0</v>
      </c>
      <c r="AI146">
        <v>7</v>
      </c>
    </row>
    <row r="147" spans="1:35" x14ac:dyDescent="0.25">
      <c r="A147">
        <v>30</v>
      </c>
      <c r="B147" t="str">
        <f t="shared" si="4"/>
        <v>25-34</v>
      </c>
      <c r="C147" s="1" t="s">
        <v>38</v>
      </c>
      <c r="D147" s="17">
        <f>IF(Table1[[#This Row],[Attrition]]="Yes",1,0)</f>
        <v>0</v>
      </c>
      <c r="E147" t="s">
        <v>57</v>
      </c>
      <c r="F147" s="2">
        <v>201</v>
      </c>
      <c r="G147" t="s">
        <v>39</v>
      </c>
      <c r="H147">
        <v>5</v>
      </c>
      <c r="I147">
        <v>3</v>
      </c>
      <c r="J147" t="str">
        <f t="shared" si="5"/>
        <v>Bachelor</v>
      </c>
      <c r="K147" t="s">
        <v>54</v>
      </c>
      <c r="L147">
        <v>4</v>
      </c>
      <c r="M147" t="s">
        <v>35</v>
      </c>
      <c r="N147" s="2">
        <v>84</v>
      </c>
      <c r="O147">
        <v>3</v>
      </c>
      <c r="P147">
        <v>1</v>
      </c>
      <c r="Q147" t="s">
        <v>41</v>
      </c>
      <c r="R147">
        <v>1</v>
      </c>
      <c r="S147" t="s">
        <v>46</v>
      </c>
      <c r="T147" s="2">
        <v>3204</v>
      </c>
      <c r="U147" s="2">
        <v>10415</v>
      </c>
      <c r="V147">
        <v>5</v>
      </c>
      <c r="W147" t="s">
        <v>38</v>
      </c>
      <c r="X147">
        <v>14</v>
      </c>
      <c r="Y147">
        <v>3</v>
      </c>
      <c r="Z147">
        <v>4</v>
      </c>
      <c r="AA147">
        <v>80</v>
      </c>
      <c r="AB147">
        <v>1</v>
      </c>
      <c r="AC147">
        <v>8</v>
      </c>
      <c r="AD147">
        <v>3</v>
      </c>
      <c r="AE147">
        <v>3</v>
      </c>
      <c r="AF147">
        <v>3</v>
      </c>
      <c r="AG147">
        <v>2</v>
      </c>
      <c r="AH147">
        <v>2</v>
      </c>
      <c r="AI147">
        <v>2</v>
      </c>
    </row>
    <row r="148" spans="1:35" x14ac:dyDescent="0.25">
      <c r="A148">
        <v>30</v>
      </c>
      <c r="B148" t="str">
        <f t="shared" si="4"/>
        <v>25-34</v>
      </c>
      <c r="C148" s="1" t="s">
        <v>38</v>
      </c>
      <c r="D148" s="17">
        <f>IF(Table1[[#This Row],[Attrition]]="Yes",1,0)</f>
        <v>0</v>
      </c>
      <c r="E148" t="s">
        <v>57</v>
      </c>
      <c r="F148" s="2">
        <v>1427</v>
      </c>
      <c r="G148" t="s">
        <v>39</v>
      </c>
      <c r="H148">
        <v>2</v>
      </c>
      <c r="I148">
        <v>1</v>
      </c>
      <c r="J148" t="str">
        <f t="shared" si="5"/>
        <v>Below College</v>
      </c>
      <c r="K148" t="s">
        <v>45</v>
      </c>
      <c r="L148">
        <v>2</v>
      </c>
      <c r="M148" t="s">
        <v>40</v>
      </c>
      <c r="N148" s="2">
        <v>35</v>
      </c>
      <c r="O148">
        <v>2</v>
      </c>
      <c r="P148">
        <v>1</v>
      </c>
      <c r="Q148" t="s">
        <v>44</v>
      </c>
      <c r="R148">
        <v>4</v>
      </c>
      <c r="S148" t="s">
        <v>37</v>
      </c>
      <c r="T148" s="2">
        <v>2720</v>
      </c>
      <c r="U148" s="2">
        <v>11162</v>
      </c>
      <c r="V148">
        <v>0</v>
      </c>
      <c r="W148" t="s">
        <v>38</v>
      </c>
      <c r="X148">
        <v>13</v>
      </c>
      <c r="Y148">
        <v>3</v>
      </c>
      <c r="Z148">
        <v>4</v>
      </c>
      <c r="AA148">
        <v>80</v>
      </c>
      <c r="AB148">
        <v>0</v>
      </c>
      <c r="AC148">
        <v>6</v>
      </c>
      <c r="AD148">
        <v>3</v>
      </c>
      <c r="AE148">
        <v>3</v>
      </c>
      <c r="AF148">
        <v>5</v>
      </c>
      <c r="AG148">
        <v>3</v>
      </c>
      <c r="AH148">
        <v>1</v>
      </c>
      <c r="AI148">
        <v>2</v>
      </c>
    </row>
    <row r="149" spans="1:35" x14ac:dyDescent="0.25">
      <c r="A149">
        <v>41</v>
      </c>
      <c r="B149" t="str">
        <f t="shared" si="4"/>
        <v>35-44</v>
      </c>
      <c r="C149" s="1" t="s">
        <v>38</v>
      </c>
      <c r="D149" s="17">
        <f>IF(Table1[[#This Row],[Attrition]]="Yes",1,0)</f>
        <v>0</v>
      </c>
      <c r="E149" t="s">
        <v>58</v>
      </c>
      <c r="F149" s="2">
        <v>857</v>
      </c>
      <c r="G149" t="s">
        <v>39</v>
      </c>
      <c r="H149">
        <v>10</v>
      </c>
      <c r="I149">
        <v>3</v>
      </c>
      <c r="J149" t="str">
        <f t="shared" si="5"/>
        <v>Bachelor</v>
      </c>
      <c r="K149" t="s">
        <v>34</v>
      </c>
      <c r="L149">
        <v>4</v>
      </c>
      <c r="M149" t="s">
        <v>40</v>
      </c>
      <c r="N149" s="2">
        <v>91</v>
      </c>
      <c r="O149">
        <v>2</v>
      </c>
      <c r="P149">
        <v>4</v>
      </c>
      <c r="Q149" t="s">
        <v>50</v>
      </c>
      <c r="R149">
        <v>1</v>
      </c>
      <c r="S149" t="s">
        <v>46</v>
      </c>
      <c r="T149" s="2">
        <v>17181</v>
      </c>
      <c r="U149" s="2">
        <v>12888</v>
      </c>
      <c r="V149">
        <v>4</v>
      </c>
      <c r="W149" t="s">
        <v>38</v>
      </c>
      <c r="X149">
        <v>13</v>
      </c>
      <c r="Y149">
        <v>3</v>
      </c>
      <c r="Z149">
        <v>2</v>
      </c>
      <c r="AA149">
        <v>80</v>
      </c>
      <c r="AB149">
        <v>1</v>
      </c>
      <c r="AC149">
        <v>21</v>
      </c>
      <c r="AD149">
        <v>2</v>
      </c>
      <c r="AE149">
        <v>2</v>
      </c>
      <c r="AF149">
        <v>7</v>
      </c>
      <c r="AG149">
        <v>6</v>
      </c>
      <c r="AH149">
        <v>7</v>
      </c>
      <c r="AI149">
        <v>7</v>
      </c>
    </row>
    <row r="150" spans="1:35" x14ac:dyDescent="0.25">
      <c r="A150">
        <v>41</v>
      </c>
      <c r="B150" t="str">
        <f t="shared" si="4"/>
        <v>35-44</v>
      </c>
      <c r="C150" s="1" t="s">
        <v>38</v>
      </c>
      <c r="D150" s="17">
        <f>IF(Table1[[#This Row],[Attrition]]="Yes",1,0)</f>
        <v>0</v>
      </c>
      <c r="E150" t="s">
        <v>57</v>
      </c>
      <c r="F150" s="2">
        <v>933</v>
      </c>
      <c r="G150" t="s">
        <v>39</v>
      </c>
      <c r="H150">
        <v>9</v>
      </c>
      <c r="I150">
        <v>4</v>
      </c>
      <c r="J150" t="str">
        <f t="shared" si="5"/>
        <v>Master</v>
      </c>
      <c r="K150" t="s">
        <v>34</v>
      </c>
      <c r="L150">
        <v>3</v>
      </c>
      <c r="M150" t="s">
        <v>40</v>
      </c>
      <c r="N150" s="2">
        <v>94</v>
      </c>
      <c r="O150">
        <v>3</v>
      </c>
      <c r="P150">
        <v>1</v>
      </c>
      <c r="Q150" t="s">
        <v>44</v>
      </c>
      <c r="R150">
        <v>1</v>
      </c>
      <c r="S150" t="s">
        <v>42</v>
      </c>
      <c r="T150" s="2">
        <v>2238</v>
      </c>
      <c r="U150" s="2">
        <v>6961</v>
      </c>
      <c r="V150">
        <v>2</v>
      </c>
      <c r="W150" t="s">
        <v>38</v>
      </c>
      <c r="X150">
        <v>21</v>
      </c>
      <c r="Y150">
        <v>4</v>
      </c>
      <c r="Z150">
        <v>4</v>
      </c>
      <c r="AA150">
        <v>80</v>
      </c>
      <c r="AB150">
        <v>1</v>
      </c>
      <c r="AC150">
        <v>7</v>
      </c>
      <c r="AD150">
        <v>2</v>
      </c>
      <c r="AE150">
        <v>3</v>
      </c>
      <c r="AF150">
        <v>5</v>
      </c>
      <c r="AG150">
        <v>0</v>
      </c>
      <c r="AH150">
        <v>1</v>
      </c>
      <c r="AI150">
        <v>4</v>
      </c>
    </row>
    <row r="151" spans="1:35" x14ac:dyDescent="0.25">
      <c r="A151">
        <v>19</v>
      </c>
      <c r="B151" t="str">
        <f t="shared" si="4"/>
        <v>18-24</v>
      </c>
      <c r="C151" s="1" t="s">
        <v>38</v>
      </c>
      <c r="D151" s="17">
        <f>IF(Table1[[#This Row],[Attrition]]="Yes",1,0)</f>
        <v>0</v>
      </c>
      <c r="E151" t="s">
        <v>57</v>
      </c>
      <c r="F151" s="2">
        <v>1181</v>
      </c>
      <c r="G151" t="s">
        <v>39</v>
      </c>
      <c r="H151">
        <v>3</v>
      </c>
      <c r="I151">
        <v>1</v>
      </c>
      <c r="J151" t="str">
        <f t="shared" si="5"/>
        <v>Below College</v>
      </c>
      <c r="K151" t="s">
        <v>45</v>
      </c>
      <c r="L151">
        <v>2</v>
      </c>
      <c r="M151" t="s">
        <v>35</v>
      </c>
      <c r="N151" s="2">
        <v>79</v>
      </c>
      <c r="O151">
        <v>3</v>
      </c>
      <c r="P151">
        <v>1</v>
      </c>
      <c r="Q151" t="s">
        <v>44</v>
      </c>
      <c r="R151">
        <v>2</v>
      </c>
      <c r="S151" t="s">
        <v>37</v>
      </c>
      <c r="T151" s="2">
        <v>1483</v>
      </c>
      <c r="U151" s="2">
        <v>16102</v>
      </c>
      <c r="V151">
        <v>1</v>
      </c>
      <c r="W151" t="s">
        <v>38</v>
      </c>
      <c r="X151">
        <v>14</v>
      </c>
      <c r="Y151">
        <v>3</v>
      </c>
      <c r="Z151">
        <v>4</v>
      </c>
      <c r="AA151">
        <v>80</v>
      </c>
      <c r="AB151">
        <v>0</v>
      </c>
      <c r="AC151">
        <v>1</v>
      </c>
      <c r="AD151">
        <v>3</v>
      </c>
      <c r="AE151">
        <v>3</v>
      </c>
      <c r="AF151">
        <v>1</v>
      </c>
      <c r="AG151">
        <v>0</v>
      </c>
      <c r="AH151">
        <v>0</v>
      </c>
      <c r="AI151">
        <v>0</v>
      </c>
    </row>
    <row r="152" spans="1:35" x14ac:dyDescent="0.25">
      <c r="A152">
        <v>40</v>
      </c>
      <c r="B152" t="str">
        <f t="shared" si="4"/>
        <v>35-44</v>
      </c>
      <c r="C152" s="1" t="s">
        <v>38</v>
      </c>
      <c r="D152" s="17">
        <f>IF(Table1[[#This Row],[Attrition]]="Yes",1,0)</f>
        <v>0</v>
      </c>
      <c r="E152" t="s">
        <v>58</v>
      </c>
      <c r="F152" s="2">
        <v>1395</v>
      </c>
      <c r="G152" t="s">
        <v>39</v>
      </c>
      <c r="H152">
        <v>26</v>
      </c>
      <c r="I152">
        <v>3</v>
      </c>
      <c r="J152" t="str">
        <f t="shared" si="5"/>
        <v>Bachelor</v>
      </c>
      <c r="K152" t="s">
        <v>45</v>
      </c>
      <c r="L152">
        <v>2</v>
      </c>
      <c r="M152" t="s">
        <v>35</v>
      </c>
      <c r="N152" s="2">
        <v>54</v>
      </c>
      <c r="O152">
        <v>3</v>
      </c>
      <c r="P152">
        <v>2</v>
      </c>
      <c r="Q152" t="s">
        <v>41</v>
      </c>
      <c r="R152">
        <v>2</v>
      </c>
      <c r="S152" t="s">
        <v>46</v>
      </c>
      <c r="T152" s="2">
        <v>5605</v>
      </c>
      <c r="U152" s="2">
        <v>8504</v>
      </c>
      <c r="V152">
        <v>1</v>
      </c>
      <c r="W152" t="s">
        <v>38</v>
      </c>
      <c r="X152">
        <v>11</v>
      </c>
      <c r="Y152">
        <v>3</v>
      </c>
      <c r="Z152">
        <v>1</v>
      </c>
      <c r="AA152">
        <v>80</v>
      </c>
      <c r="AB152">
        <v>1</v>
      </c>
      <c r="AC152">
        <v>20</v>
      </c>
      <c r="AD152">
        <v>2</v>
      </c>
      <c r="AE152">
        <v>3</v>
      </c>
      <c r="AF152">
        <v>20</v>
      </c>
      <c r="AG152">
        <v>7</v>
      </c>
      <c r="AH152">
        <v>2</v>
      </c>
      <c r="AI152">
        <v>13</v>
      </c>
    </row>
    <row r="153" spans="1:35" x14ac:dyDescent="0.25">
      <c r="A153">
        <v>35</v>
      </c>
      <c r="B153" t="str">
        <f t="shared" si="4"/>
        <v>35-44</v>
      </c>
      <c r="C153" s="1" t="s">
        <v>38</v>
      </c>
      <c r="D153" s="17">
        <f>IF(Table1[[#This Row],[Attrition]]="Yes",1,0)</f>
        <v>0</v>
      </c>
      <c r="E153" t="s">
        <v>57</v>
      </c>
      <c r="F153" s="2">
        <v>662</v>
      </c>
      <c r="G153" t="s">
        <v>33</v>
      </c>
      <c r="H153">
        <v>1</v>
      </c>
      <c r="I153">
        <v>5</v>
      </c>
      <c r="J153" t="str">
        <f t="shared" si="5"/>
        <v>Doctor</v>
      </c>
      <c r="K153" t="s">
        <v>53</v>
      </c>
      <c r="L153">
        <v>3</v>
      </c>
      <c r="M153" t="s">
        <v>40</v>
      </c>
      <c r="N153" s="2">
        <v>94</v>
      </c>
      <c r="O153">
        <v>3</v>
      </c>
      <c r="P153">
        <v>3</v>
      </c>
      <c r="Q153" t="s">
        <v>36</v>
      </c>
      <c r="R153">
        <v>2</v>
      </c>
      <c r="S153" t="s">
        <v>42</v>
      </c>
      <c r="T153" s="2">
        <v>7295</v>
      </c>
      <c r="U153" s="2">
        <v>11439</v>
      </c>
      <c r="V153">
        <v>1</v>
      </c>
      <c r="W153" t="s">
        <v>38</v>
      </c>
      <c r="X153">
        <v>13</v>
      </c>
      <c r="Y153">
        <v>3</v>
      </c>
      <c r="Z153">
        <v>1</v>
      </c>
      <c r="AA153">
        <v>80</v>
      </c>
      <c r="AB153">
        <v>2</v>
      </c>
      <c r="AC153">
        <v>10</v>
      </c>
      <c r="AD153">
        <v>3</v>
      </c>
      <c r="AE153">
        <v>3</v>
      </c>
      <c r="AF153">
        <v>10</v>
      </c>
      <c r="AG153">
        <v>8</v>
      </c>
      <c r="AH153">
        <v>0</v>
      </c>
      <c r="AI153">
        <v>6</v>
      </c>
    </row>
    <row r="154" spans="1:35" x14ac:dyDescent="0.25">
      <c r="A154">
        <v>53</v>
      </c>
      <c r="B154" t="str">
        <f t="shared" si="4"/>
        <v>45-54</v>
      </c>
      <c r="C154" s="1" t="s">
        <v>38</v>
      </c>
      <c r="D154" s="17">
        <f>IF(Table1[[#This Row],[Attrition]]="Yes",1,0)</f>
        <v>0</v>
      </c>
      <c r="E154" t="s">
        <v>57</v>
      </c>
      <c r="F154" s="2">
        <v>1436</v>
      </c>
      <c r="G154" t="s">
        <v>33</v>
      </c>
      <c r="H154">
        <v>6</v>
      </c>
      <c r="I154">
        <v>2</v>
      </c>
      <c r="J154" t="str">
        <f t="shared" si="5"/>
        <v>College</v>
      </c>
      <c r="K154" t="s">
        <v>53</v>
      </c>
      <c r="L154">
        <v>2</v>
      </c>
      <c r="M154" t="s">
        <v>40</v>
      </c>
      <c r="N154" s="2">
        <v>34</v>
      </c>
      <c r="O154">
        <v>3</v>
      </c>
      <c r="P154">
        <v>2</v>
      </c>
      <c r="Q154" t="s">
        <v>51</v>
      </c>
      <c r="R154">
        <v>3</v>
      </c>
      <c r="S154" t="s">
        <v>42</v>
      </c>
      <c r="T154" s="2">
        <v>2306</v>
      </c>
      <c r="U154" s="2">
        <v>16047</v>
      </c>
      <c r="V154">
        <v>2</v>
      </c>
      <c r="W154" t="s">
        <v>32</v>
      </c>
      <c r="X154">
        <v>20</v>
      </c>
      <c r="Y154">
        <v>4</v>
      </c>
      <c r="Z154">
        <v>4</v>
      </c>
      <c r="AA154">
        <v>80</v>
      </c>
      <c r="AB154">
        <v>1</v>
      </c>
      <c r="AC154">
        <v>13</v>
      </c>
      <c r="AD154">
        <v>3</v>
      </c>
      <c r="AE154">
        <v>1</v>
      </c>
      <c r="AF154">
        <v>7</v>
      </c>
      <c r="AG154">
        <v>7</v>
      </c>
      <c r="AH154">
        <v>4</v>
      </c>
      <c r="AI154">
        <v>5</v>
      </c>
    </row>
    <row r="155" spans="1:35" x14ac:dyDescent="0.25">
      <c r="A155">
        <v>45</v>
      </c>
      <c r="B155" t="str">
        <f t="shared" si="4"/>
        <v>45-54</v>
      </c>
      <c r="C155" s="1" t="s">
        <v>38</v>
      </c>
      <c r="D155" s="17">
        <f>IF(Table1[[#This Row],[Attrition]]="Yes",1,0)</f>
        <v>0</v>
      </c>
      <c r="E155" t="s">
        <v>57</v>
      </c>
      <c r="F155" s="2">
        <v>194</v>
      </c>
      <c r="G155" t="s">
        <v>39</v>
      </c>
      <c r="H155">
        <v>9</v>
      </c>
      <c r="I155">
        <v>3</v>
      </c>
      <c r="J155" t="str">
        <f t="shared" si="5"/>
        <v>Bachelor</v>
      </c>
      <c r="K155" t="s">
        <v>34</v>
      </c>
      <c r="L155">
        <v>2</v>
      </c>
      <c r="M155" t="s">
        <v>40</v>
      </c>
      <c r="N155" s="2">
        <v>60</v>
      </c>
      <c r="O155">
        <v>3</v>
      </c>
      <c r="P155">
        <v>2</v>
      </c>
      <c r="Q155" t="s">
        <v>44</v>
      </c>
      <c r="R155">
        <v>2</v>
      </c>
      <c r="S155" t="s">
        <v>46</v>
      </c>
      <c r="T155" s="2">
        <v>2348</v>
      </c>
      <c r="U155" s="2">
        <v>10901</v>
      </c>
      <c r="V155">
        <v>8</v>
      </c>
      <c r="W155" t="s">
        <v>38</v>
      </c>
      <c r="X155">
        <v>18</v>
      </c>
      <c r="Y155">
        <v>3</v>
      </c>
      <c r="Z155">
        <v>3</v>
      </c>
      <c r="AA155">
        <v>80</v>
      </c>
      <c r="AB155">
        <v>1</v>
      </c>
      <c r="AC155">
        <v>20</v>
      </c>
      <c r="AD155">
        <v>2</v>
      </c>
      <c r="AE155">
        <v>1</v>
      </c>
      <c r="AF155">
        <v>17</v>
      </c>
      <c r="AG155">
        <v>9</v>
      </c>
      <c r="AH155">
        <v>0</v>
      </c>
      <c r="AI155">
        <v>15</v>
      </c>
    </row>
    <row r="156" spans="1:35" x14ac:dyDescent="0.25">
      <c r="A156">
        <v>32</v>
      </c>
      <c r="B156" t="str">
        <f t="shared" si="4"/>
        <v>25-34</v>
      </c>
      <c r="C156" s="1" t="s">
        <v>38</v>
      </c>
      <c r="D156" s="17">
        <f>IF(Table1[[#This Row],[Attrition]]="Yes",1,0)</f>
        <v>0</v>
      </c>
      <c r="E156" t="s">
        <v>58</v>
      </c>
      <c r="F156" s="2">
        <v>967</v>
      </c>
      <c r="G156" t="s">
        <v>33</v>
      </c>
      <c r="H156">
        <v>8</v>
      </c>
      <c r="I156">
        <v>3</v>
      </c>
      <c r="J156" t="str">
        <f t="shared" si="5"/>
        <v>Bachelor</v>
      </c>
      <c r="K156" t="s">
        <v>53</v>
      </c>
      <c r="L156">
        <v>2</v>
      </c>
      <c r="M156" t="s">
        <v>35</v>
      </c>
      <c r="N156" s="2">
        <v>43</v>
      </c>
      <c r="O156">
        <v>3</v>
      </c>
      <c r="P156">
        <v>3</v>
      </c>
      <c r="Q156" t="s">
        <v>36</v>
      </c>
      <c r="R156">
        <v>4</v>
      </c>
      <c r="S156" t="s">
        <v>37</v>
      </c>
      <c r="T156" s="2">
        <v>8998</v>
      </c>
      <c r="U156" s="2">
        <v>15589</v>
      </c>
      <c r="V156">
        <v>1</v>
      </c>
      <c r="W156" t="s">
        <v>38</v>
      </c>
      <c r="X156">
        <v>14</v>
      </c>
      <c r="Y156">
        <v>3</v>
      </c>
      <c r="Z156">
        <v>4</v>
      </c>
      <c r="AA156">
        <v>80</v>
      </c>
      <c r="AB156">
        <v>0</v>
      </c>
      <c r="AC156">
        <v>9</v>
      </c>
      <c r="AD156">
        <v>2</v>
      </c>
      <c r="AE156">
        <v>3</v>
      </c>
      <c r="AF156">
        <v>9</v>
      </c>
      <c r="AG156">
        <v>8</v>
      </c>
      <c r="AH156">
        <v>3</v>
      </c>
      <c r="AI156">
        <v>7</v>
      </c>
    </row>
    <row r="157" spans="1:35" x14ac:dyDescent="0.25">
      <c r="A157">
        <v>29</v>
      </c>
      <c r="B157" t="str">
        <f t="shared" si="4"/>
        <v>25-34</v>
      </c>
      <c r="C157" s="1" t="s">
        <v>38</v>
      </c>
      <c r="D157" s="17">
        <f>IF(Table1[[#This Row],[Attrition]]="Yes",1,0)</f>
        <v>0</v>
      </c>
      <c r="E157" t="s">
        <v>49</v>
      </c>
      <c r="F157" s="2">
        <v>1496</v>
      </c>
      <c r="G157" t="s">
        <v>39</v>
      </c>
      <c r="H157">
        <v>1</v>
      </c>
      <c r="I157">
        <v>1</v>
      </c>
      <c r="J157" t="str">
        <f t="shared" si="5"/>
        <v>Below College</v>
      </c>
      <c r="K157" t="s">
        <v>54</v>
      </c>
      <c r="L157">
        <v>4</v>
      </c>
      <c r="M157" t="s">
        <v>40</v>
      </c>
      <c r="N157" s="2">
        <v>41</v>
      </c>
      <c r="O157">
        <v>3</v>
      </c>
      <c r="P157">
        <v>2</v>
      </c>
      <c r="Q157" t="s">
        <v>47</v>
      </c>
      <c r="R157">
        <v>3</v>
      </c>
      <c r="S157" t="s">
        <v>42</v>
      </c>
      <c r="T157" s="2">
        <v>4319</v>
      </c>
      <c r="U157" s="2">
        <v>26283</v>
      </c>
      <c r="V157">
        <v>1</v>
      </c>
      <c r="W157" t="s">
        <v>38</v>
      </c>
      <c r="X157">
        <v>13</v>
      </c>
      <c r="Y157">
        <v>3</v>
      </c>
      <c r="Z157">
        <v>1</v>
      </c>
      <c r="AA157">
        <v>80</v>
      </c>
      <c r="AB157">
        <v>1</v>
      </c>
      <c r="AC157">
        <v>10</v>
      </c>
      <c r="AD157">
        <v>1</v>
      </c>
      <c r="AE157">
        <v>3</v>
      </c>
      <c r="AF157">
        <v>10</v>
      </c>
      <c r="AG157">
        <v>7</v>
      </c>
      <c r="AH157">
        <v>0</v>
      </c>
      <c r="AI157">
        <v>9</v>
      </c>
    </row>
    <row r="158" spans="1:35" x14ac:dyDescent="0.25">
      <c r="A158">
        <v>51</v>
      </c>
      <c r="B158" t="str">
        <f t="shared" si="4"/>
        <v>45-54</v>
      </c>
      <c r="C158" s="1" t="s">
        <v>38</v>
      </c>
      <c r="D158" s="17">
        <f>IF(Table1[[#This Row],[Attrition]]="Yes",1,0)</f>
        <v>0</v>
      </c>
      <c r="E158" t="s">
        <v>57</v>
      </c>
      <c r="F158" s="2">
        <v>1169</v>
      </c>
      <c r="G158" t="s">
        <v>39</v>
      </c>
      <c r="H158">
        <v>7</v>
      </c>
      <c r="I158">
        <v>4</v>
      </c>
      <c r="J158" t="str">
        <f t="shared" si="5"/>
        <v>Master</v>
      </c>
      <c r="K158" t="s">
        <v>45</v>
      </c>
      <c r="L158">
        <v>2</v>
      </c>
      <c r="M158" t="s">
        <v>40</v>
      </c>
      <c r="N158" s="2">
        <v>34</v>
      </c>
      <c r="O158">
        <v>2</v>
      </c>
      <c r="P158">
        <v>2</v>
      </c>
      <c r="Q158" t="s">
        <v>47</v>
      </c>
      <c r="R158">
        <v>3</v>
      </c>
      <c r="S158" t="s">
        <v>42</v>
      </c>
      <c r="T158" s="2">
        <v>6132</v>
      </c>
      <c r="U158" s="2">
        <v>13983</v>
      </c>
      <c r="V158">
        <v>2</v>
      </c>
      <c r="W158" t="s">
        <v>38</v>
      </c>
      <c r="X158">
        <v>17</v>
      </c>
      <c r="Y158">
        <v>3</v>
      </c>
      <c r="Z158">
        <v>3</v>
      </c>
      <c r="AA158">
        <v>80</v>
      </c>
      <c r="AB158">
        <v>0</v>
      </c>
      <c r="AC158">
        <v>10</v>
      </c>
      <c r="AD158">
        <v>2</v>
      </c>
      <c r="AE158">
        <v>3</v>
      </c>
      <c r="AF158">
        <v>1</v>
      </c>
      <c r="AG158">
        <v>0</v>
      </c>
      <c r="AH158">
        <v>0</v>
      </c>
      <c r="AI158">
        <v>0</v>
      </c>
    </row>
    <row r="159" spans="1:35" x14ac:dyDescent="0.25">
      <c r="A159">
        <v>58</v>
      </c>
      <c r="B159" t="str">
        <f t="shared" si="4"/>
        <v>55-64</v>
      </c>
      <c r="C159" s="1" t="s">
        <v>38</v>
      </c>
      <c r="D159" s="17">
        <f>IF(Table1[[#This Row],[Attrition]]="Yes",1,0)</f>
        <v>0</v>
      </c>
      <c r="E159" t="s">
        <v>57</v>
      </c>
      <c r="F159" s="2">
        <v>1145</v>
      </c>
      <c r="G159" t="s">
        <v>39</v>
      </c>
      <c r="H159">
        <v>9</v>
      </c>
      <c r="I159">
        <v>3</v>
      </c>
      <c r="J159" t="str">
        <f t="shared" si="5"/>
        <v>Bachelor</v>
      </c>
      <c r="K159" t="s">
        <v>45</v>
      </c>
      <c r="L159">
        <v>2</v>
      </c>
      <c r="M159" t="s">
        <v>35</v>
      </c>
      <c r="N159" s="2">
        <v>75</v>
      </c>
      <c r="O159">
        <v>2</v>
      </c>
      <c r="P159">
        <v>1</v>
      </c>
      <c r="Q159" t="s">
        <v>41</v>
      </c>
      <c r="R159">
        <v>2</v>
      </c>
      <c r="S159" t="s">
        <v>42</v>
      </c>
      <c r="T159" s="2">
        <v>3346</v>
      </c>
      <c r="U159" s="2">
        <v>11873</v>
      </c>
      <c r="V159">
        <v>4</v>
      </c>
      <c r="W159" t="s">
        <v>32</v>
      </c>
      <c r="X159">
        <v>20</v>
      </c>
      <c r="Y159">
        <v>4</v>
      </c>
      <c r="Z159">
        <v>2</v>
      </c>
      <c r="AA159">
        <v>80</v>
      </c>
      <c r="AB159">
        <v>1</v>
      </c>
      <c r="AC159">
        <v>9</v>
      </c>
      <c r="AD159">
        <v>3</v>
      </c>
      <c r="AE159">
        <v>2</v>
      </c>
      <c r="AF159">
        <v>1</v>
      </c>
      <c r="AG159">
        <v>0</v>
      </c>
      <c r="AH159">
        <v>0</v>
      </c>
      <c r="AI159">
        <v>0</v>
      </c>
    </row>
    <row r="160" spans="1:35" x14ac:dyDescent="0.25">
      <c r="A160">
        <v>40</v>
      </c>
      <c r="B160" t="str">
        <f t="shared" si="4"/>
        <v>35-44</v>
      </c>
      <c r="C160" s="1" t="s">
        <v>38</v>
      </c>
      <c r="D160" s="17">
        <f>IF(Table1[[#This Row],[Attrition]]="Yes",1,0)</f>
        <v>0</v>
      </c>
      <c r="E160" t="s">
        <v>57</v>
      </c>
      <c r="F160" s="2">
        <v>630</v>
      </c>
      <c r="G160" t="s">
        <v>33</v>
      </c>
      <c r="H160">
        <v>4</v>
      </c>
      <c r="I160">
        <v>4</v>
      </c>
      <c r="J160" t="str">
        <f t="shared" si="5"/>
        <v>Master</v>
      </c>
      <c r="K160" t="s">
        <v>53</v>
      </c>
      <c r="L160">
        <v>3</v>
      </c>
      <c r="M160" t="s">
        <v>40</v>
      </c>
      <c r="N160" s="2">
        <v>67</v>
      </c>
      <c r="O160">
        <v>2</v>
      </c>
      <c r="P160">
        <v>3</v>
      </c>
      <c r="Q160" t="s">
        <v>36</v>
      </c>
      <c r="R160">
        <v>4</v>
      </c>
      <c r="S160" t="s">
        <v>42</v>
      </c>
      <c r="T160" s="2">
        <v>10855</v>
      </c>
      <c r="U160" s="2">
        <v>8552</v>
      </c>
      <c r="V160">
        <v>7</v>
      </c>
      <c r="W160" t="s">
        <v>38</v>
      </c>
      <c r="X160">
        <v>11</v>
      </c>
      <c r="Y160">
        <v>3</v>
      </c>
      <c r="Z160">
        <v>1</v>
      </c>
      <c r="AA160">
        <v>80</v>
      </c>
      <c r="AB160">
        <v>1</v>
      </c>
      <c r="AC160">
        <v>15</v>
      </c>
      <c r="AD160">
        <v>2</v>
      </c>
      <c r="AE160">
        <v>2</v>
      </c>
      <c r="AF160">
        <v>12</v>
      </c>
      <c r="AG160">
        <v>11</v>
      </c>
      <c r="AH160">
        <v>2</v>
      </c>
      <c r="AI160">
        <v>11</v>
      </c>
    </row>
    <row r="161" spans="1:35" x14ac:dyDescent="0.25">
      <c r="A161">
        <v>34</v>
      </c>
      <c r="B161" t="str">
        <f t="shared" si="4"/>
        <v>25-34</v>
      </c>
      <c r="C161" s="1" t="s">
        <v>38</v>
      </c>
      <c r="D161" s="17">
        <f>IF(Table1[[#This Row],[Attrition]]="Yes",1,0)</f>
        <v>0</v>
      </c>
      <c r="E161" t="s">
        <v>58</v>
      </c>
      <c r="F161" s="2">
        <v>303</v>
      </c>
      <c r="G161" t="s">
        <v>33</v>
      </c>
      <c r="H161">
        <v>2</v>
      </c>
      <c r="I161">
        <v>4</v>
      </c>
      <c r="J161" t="str">
        <f t="shared" si="5"/>
        <v>Master</v>
      </c>
      <c r="K161" t="s">
        <v>53</v>
      </c>
      <c r="L161">
        <v>3</v>
      </c>
      <c r="M161" t="s">
        <v>35</v>
      </c>
      <c r="N161" s="2">
        <v>75</v>
      </c>
      <c r="O161">
        <v>3</v>
      </c>
      <c r="P161">
        <v>1</v>
      </c>
      <c r="Q161" t="s">
        <v>51</v>
      </c>
      <c r="R161">
        <v>3</v>
      </c>
      <c r="S161" t="s">
        <v>42</v>
      </c>
      <c r="T161" s="2">
        <v>2231</v>
      </c>
      <c r="U161" s="2">
        <v>11314</v>
      </c>
      <c r="V161">
        <v>6</v>
      </c>
      <c r="W161" t="s">
        <v>38</v>
      </c>
      <c r="X161">
        <v>18</v>
      </c>
      <c r="Y161">
        <v>3</v>
      </c>
      <c r="Z161">
        <v>4</v>
      </c>
      <c r="AA161">
        <v>80</v>
      </c>
      <c r="AB161">
        <v>1</v>
      </c>
      <c r="AC161">
        <v>6</v>
      </c>
      <c r="AD161">
        <v>3</v>
      </c>
      <c r="AE161">
        <v>3</v>
      </c>
      <c r="AF161">
        <v>4</v>
      </c>
      <c r="AG161">
        <v>3</v>
      </c>
      <c r="AH161">
        <v>1</v>
      </c>
      <c r="AI161">
        <v>2</v>
      </c>
    </row>
    <row r="162" spans="1:35" x14ac:dyDescent="0.25">
      <c r="A162">
        <v>22</v>
      </c>
      <c r="B162" t="str">
        <f t="shared" si="4"/>
        <v>18-24</v>
      </c>
      <c r="C162" s="1" t="s">
        <v>38</v>
      </c>
      <c r="D162" s="17">
        <f>IF(Table1[[#This Row],[Attrition]]="Yes",1,0)</f>
        <v>0</v>
      </c>
      <c r="E162" t="s">
        <v>57</v>
      </c>
      <c r="F162" s="2">
        <v>1256</v>
      </c>
      <c r="G162" t="s">
        <v>39</v>
      </c>
      <c r="H162">
        <v>19</v>
      </c>
      <c r="I162">
        <v>1</v>
      </c>
      <c r="J162" t="str">
        <f t="shared" si="5"/>
        <v>Below College</v>
      </c>
      <c r="K162" t="s">
        <v>45</v>
      </c>
      <c r="L162">
        <v>3</v>
      </c>
      <c r="M162" t="s">
        <v>40</v>
      </c>
      <c r="N162" s="2">
        <v>80</v>
      </c>
      <c r="O162">
        <v>3</v>
      </c>
      <c r="P162">
        <v>1</v>
      </c>
      <c r="Q162" t="s">
        <v>41</v>
      </c>
      <c r="R162">
        <v>4</v>
      </c>
      <c r="S162" t="s">
        <v>42</v>
      </c>
      <c r="T162" s="2">
        <v>2323</v>
      </c>
      <c r="U162" s="2">
        <v>11992</v>
      </c>
      <c r="V162">
        <v>1</v>
      </c>
      <c r="W162" t="s">
        <v>38</v>
      </c>
      <c r="X162">
        <v>24</v>
      </c>
      <c r="Y162">
        <v>4</v>
      </c>
      <c r="Z162">
        <v>1</v>
      </c>
      <c r="AA162">
        <v>80</v>
      </c>
      <c r="AB162">
        <v>2</v>
      </c>
      <c r="AC162">
        <v>2</v>
      </c>
      <c r="AD162">
        <v>6</v>
      </c>
      <c r="AE162">
        <v>3</v>
      </c>
      <c r="AF162">
        <v>2</v>
      </c>
      <c r="AG162">
        <v>2</v>
      </c>
      <c r="AH162">
        <v>2</v>
      </c>
      <c r="AI162">
        <v>2</v>
      </c>
    </row>
    <row r="163" spans="1:35" x14ac:dyDescent="0.25">
      <c r="A163">
        <v>27</v>
      </c>
      <c r="B163" t="str">
        <f t="shared" si="4"/>
        <v>25-34</v>
      </c>
      <c r="C163" s="1" t="s">
        <v>38</v>
      </c>
      <c r="D163" s="17">
        <f>IF(Table1[[#This Row],[Attrition]]="Yes",1,0)</f>
        <v>0</v>
      </c>
      <c r="E163" t="s">
        <v>49</v>
      </c>
      <c r="F163" s="2">
        <v>691</v>
      </c>
      <c r="G163" t="s">
        <v>39</v>
      </c>
      <c r="H163">
        <v>9</v>
      </c>
      <c r="I163">
        <v>3</v>
      </c>
      <c r="J163" t="str">
        <f t="shared" si="5"/>
        <v>Bachelor</v>
      </c>
      <c r="K163" t="s">
        <v>45</v>
      </c>
      <c r="L163">
        <v>4</v>
      </c>
      <c r="M163" t="s">
        <v>40</v>
      </c>
      <c r="N163" s="2">
        <v>57</v>
      </c>
      <c r="O163">
        <v>3</v>
      </c>
      <c r="P163">
        <v>1</v>
      </c>
      <c r="Q163" t="s">
        <v>41</v>
      </c>
      <c r="R163">
        <v>2</v>
      </c>
      <c r="S163" t="s">
        <v>46</v>
      </c>
      <c r="T163" s="2">
        <v>2024</v>
      </c>
      <c r="U163" s="2">
        <v>5970</v>
      </c>
      <c r="V163">
        <v>6</v>
      </c>
      <c r="W163" t="s">
        <v>38</v>
      </c>
      <c r="X163">
        <v>18</v>
      </c>
      <c r="Y163">
        <v>3</v>
      </c>
      <c r="Z163">
        <v>4</v>
      </c>
      <c r="AA163">
        <v>80</v>
      </c>
      <c r="AB163">
        <v>1</v>
      </c>
      <c r="AC163">
        <v>6</v>
      </c>
      <c r="AD163">
        <v>1</v>
      </c>
      <c r="AE163">
        <v>1</v>
      </c>
      <c r="AF163">
        <v>2</v>
      </c>
      <c r="AG163">
        <v>2</v>
      </c>
      <c r="AH163">
        <v>2</v>
      </c>
      <c r="AI163">
        <v>2</v>
      </c>
    </row>
    <row r="164" spans="1:35" x14ac:dyDescent="0.25">
      <c r="A164">
        <v>28</v>
      </c>
      <c r="B164" t="str">
        <f t="shared" si="4"/>
        <v>25-34</v>
      </c>
      <c r="C164" s="1" t="s">
        <v>38</v>
      </c>
      <c r="D164" s="17">
        <f>IF(Table1[[#This Row],[Attrition]]="Yes",1,0)</f>
        <v>0</v>
      </c>
      <c r="E164" t="s">
        <v>57</v>
      </c>
      <c r="F164" s="2">
        <v>440</v>
      </c>
      <c r="G164" t="s">
        <v>39</v>
      </c>
      <c r="H164">
        <v>21</v>
      </c>
      <c r="I164">
        <v>3</v>
      </c>
      <c r="J164" t="str">
        <f t="shared" si="5"/>
        <v>Bachelor</v>
      </c>
      <c r="K164" t="s">
        <v>45</v>
      </c>
      <c r="L164">
        <v>3</v>
      </c>
      <c r="M164" t="s">
        <v>40</v>
      </c>
      <c r="N164" s="2">
        <v>42</v>
      </c>
      <c r="O164">
        <v>3</v>
      </c>
      <c r="P164">
        <v>1</v>
      </c>
      <c r="Q164" t="s">
        <v>41</v>
      </c>
      <c r="R164">
        <v>4</v>
      </c>
      <c r="S164" t="s">
        <v>42</v>
      </c>
      <c r="T164" s="2">
        <v>2713</v>
      </c>
      <c r="U164" s="2">
        <v>6672</v>
      </c>
      <c r="V164">
        <v>1</v>
      </c>
      <c r="W164" t="s">
        <v>38</v>
      </c>
      <c r="X164">
        <v>11</v>
      </c>
      <c r="Y164">
        <v>3</v>
      </c>
      <c r="Z164">
        <v>3</v>
      </c>
      <c r="AA164">
        <v>80</v>
      </c>
      <c r="AB164">
        <v>1</v>
      </c>
      <c r="AC164">
        <v>5</v>
      </c>
      <c r="AD164">
        <v>2</v>
      </c>
      <c r="AE164">
        <v>1</v>
      </c>
      <c r="AF164">
        <v>5</v>
      </c>
      <c r="AG164">
        <v>2</v>
      </c>
      <c r="AH164">
        <v>0</v>
      </c>
      <c r="AI164">
        <v>2</v>
      </c>
    </row>
    <row r="165" spans="1:35" x14ac:dyDescent="0.25">
      <c r="A165">
        <v>57</v>
      </c>
      <c r="B165" t="str">
        <f t="shared" si="4"/>
        <v>55-64</v>
      </c>
      <c r="C165" s="1" t="s">
        <v>38</v>
      </c>
      <c r="D165" s="17">
        <f>IF(Table1[[#This Row],[Attrition]]="Yes",1,0)</f>
        <v>0</v>
      </c>
      <c r="E165" t="s">
        <v>57</v>
      </c>
      <c r="F165" s="2">
        <v>334</v>
      </c>
      <c r="G165" t="s">
        <v>39</v>
      </c>
      <c r="H165">
        <v>24</v>
      </c>
      <c r="I165">
        <v>2</v>
      </c>
      <c r="J165" t="str">
        <f t="shared" si="5"/>
        <v>College</v>
      </c>
      <c r="K165" t="s">
        <v>34</v>
      </c>
      <c r="L165">
        <v>3</v>
      </c>
      <c r="M165" t="s">
        <v>40</v>
      </c>
      <c r="N165" s="2">
        <v>83</v>
      </c>
      <c r="O165">
        <v>4</v>
      </c>
      <c r="P165">
        <v>3</v>
      </c>
      <c r="Q165" t="s">
        <v>48</v>
      </c>
      <c r="R165">
        <v>4</v>
      </c>
      <c r="S165" t="s">
        <v>46</v>
      </c>
      <c r="T165" s="2">
        <v>9439</v>
      </c>
      <c r="U165" s="2">
        <v>23402</v>
      </c>
      <c r="V165">
        <v>3</v>
      </c>
      <c r="W165" t="s">
        <v>32</v>
      </c>
      <c r="X165">
        <v>16</v>
      </c>
      <c r="Y165">
        <v>3</v>
      </c>
      <c r="Z165">
        <v>2</v>
      </c>
      <c r="AA165">
        <v>80</v>
      </c>
      <c r="AB165">
        <v>1</v>
      </c>
      <c r="AC165">
        <v>12</v>
      </c>
      <c r="AD165">
        <v>2</v>
      </c>
      <c r="AE165">
        <v>1</v>
      </c>
      <c r="AF165">
        <v>5</v>
      </c>
      <c r="AG165">
        <v>3</v>
      </c>
      <c r="AH165">
        <v>1</v>
      </c>
      <c r="AI165">
        <v>4</v>
      </c>
    </row>
    <row r="166" spans="1:35" x14ac:dyDescent="0.25">
      <c r="A166">
        <v>27</v>
      </c>
      <c r="B166" t="str">
        <f t="shared" si="4"/>
        <v>25-34</v>
      </c>
      <c r="C166" s="1" t="s">
        <v>38</v>
      </c>
      <c r="D166" s="17">
        <f>IF(Table1[[#This Row],[Attrition]]="Yes",1,0)</f>
        <v>0</v>
      </c>
      <c r="E166" t="s">
        <v>49</v>
      </c>
      <c r="F166" s="2">
        <v>1450</v>
      </c>
      <c r="G166" t="s">
        <v>39</v>
      </c>
      <c r="H166">
        <v>3</v>
      </c>
      <c r="I166">
        <v>3</v>
      </c>
      <c r="J166" t="str">
        <f t="shared" si="5"/>
        <v>Bachelor</v>
      </c>
      <c r="K166" t="s">
        <v>45</v>
      </c>
      <c r="L166">
        <v>3</v>
      </c>
      <c r="M166" t="s">
        <v>40</v>
      </c>
      <c r="N166" s="2">
        <v>79</v>
      </c>
      <c r="O166">
        <v>2</v>
      </c>
      <c r="P166">
        <v>1</v>
      </c>
      <c r="Q166" t="s">
        <v>41</v>
      </c>
      <c r="R166">
        <v>3</v>
      </c>
      <c r="S166" t="s">
        <v>46</v>
      </c>
      <c r="T166" s="2">
        <v>2566</v>
      </c>
      <c r="U166" s="2">
        <v>25326</v>
      </c>
      <c r="V166">
        <v>1</v>
      </c>
      <c r="W166" t="s">
        <v>32</v>
      </c>
      <c r="X166">
        <v>15</v>
      </c>
      <c r="Y166">
        <v>3</v>
      </c>
      <c r="Z166">
        <v>4</v>
      </c>
      <c r="AA166">
        <v>80</v>
      </c>
      <c r="AB166">
        <v>1</v>
      </c>
      <c r="AC166">
        <v>1</v>
      </c>
      <c r="AD166">
        <v>2</v>
      </c>
      <c r="AE166">
        <v>2</v>
      </c>
      <c r="AF166">
        <v>1</v>
      </c>
      <c r="AG166">
        <v>1</v>
      </c>
      <c r="AH166">
        <v>0</v>
      </c>
      <c r="AI166">
        <v>1</v>
      </c>
    </row>
    <row r="167" spans="1:35" x14ac:dyDescent="0.25">
      <c r="A167">
        <v>50</v>
      </c>
      <c r="B167" t="str">
        <f t="shared" si="4"/>
        <v>45-54</v>
      </c>
      <c r="C167" s="1" t="s">
        <v>38</v>
      </c>
      <c r="D167" s="17">
        <f>IF(Table1[[#This Row],[Attrition]]="Yes",1,0)</f>
        <v>0</v>
      </c>
      <c r="E167" t="s">
        <v>57</v>
      </c>
      <c r="F167" s="2">
        <v>1452</v>
      </c>
      <c r="G167" t="s">
        <v>39</v>
      </c>
      <c r="H167">
        <v>11</v>
      </c>
      <c r="I167">
        <v>3</v>
      </c>
      <c r="J167" t="str">
        <f t="shared" si="5"/>
        <v>Bachelor</v>
      </c>
      <c r="K167" t="s">
        <v>34</v>
      </c>
      <c r="L167">
        <v>3</v>
      </c>
      <c r="M167" t="s">
        <v>35</v>
      </c>
      <c r="N167" s="2">
        <v>53</v>
      </c>
      <c r="O167">
        <v>3</v>
      </c>
      <c r="P167">
        <v>5</v>
      </c>
      <c r="Q167" t="s">
        <v>50</v>
      </c>
      <c r="R167">
        <v>2</v>
      </c>
      <c r="S167" t="s">
        <v>37</v>
      </c>
      <c r="T167" s="2">
        <v>19926</v>
      </c>
      <c r="U167" s="2">
        <v>17053</v>
      </c>
      <c r="V167">
        <v>3</v>
      </c>
      <c r="W167" t="s">
        <v>38</v>
      </c>
      <c r="X167">
        <v>15</v>
      </c>
      <c r="Y167">
        <v>3</v>
      </c>
      <c r="Z167">
        <v>2</v>
      </c>
      <c r="AA167">
        <v>80</v>
      </c>
      <c r="AB167">
        <v>0</v>
      </c>
      <c r="AC167">
        <v>21</v>
      </c>
      <c r="AD167">
        <v>5</v>
      </c>
      <c r="AE167">
        <v>3</v>
      </c>
      <c r="AF167">
        <v>5</v>
      </c>
      <c r="AG167">
        <v>4</v>
      </c>
      <c r="AH167">
        <v>4</v>
      </c>
      <c r="AI167">
        <v>4</v>
      </c>
    </row>
    <row r="168" spans="1:35" x14ac:dyDescent="0.25">
      <c r="A168">
        <v>41</v>
      </c>
      <c r="B168" t="str">
        <f t="shared" si="4"/>
        <v>35-44</v>
      </c>
      <c r="C168" s="1" t="s">
        <v>38</v>
      </c>
      <c r="D168" s="17">
        <f>IF(Table1[[#This Row],[Attrition]]="Yes",1,0)</f>
        <v>0</v>
      </c>
      <c r="E168" t="s">
        <v>57</v>
      </c>
      <c r="F168" s="2">
        <v>465</v>
      </c>
      <c r="G168" t="s">
        <v>39</v>
      </c>
      <c r="H168">
        <v>14</v>
      </c>
      <c r="I168">
        <v>3</v>
      </c>
      <c r="J168" t="str">
        <f t="shared" si="5"/>
        <v>Bachelor</v>
      </c>
      <c r="K168" t="s">
        <v>34</v>
      </c>
      <c r="L168">
        <v>1</v>
      </c>
      <c r="M168" t="s">
        <v>40</v>
      </c>
      <c r="N168" s="2">
        <v>56</v>
      </c>
      <c r="O168">
        <v>3</v>
      </c>
      <c r="P168">
        <v>1</v>
      </c>
      <c r="Q168" t="s">
        <v>41</v>
      </c>
      <c r="R168">
        <v>3</v>
      </c>
      <c r="S168" t="s">
        <v>46</v>
      </c>
      <c r="T168" s="2">
        <v>2451</v>
      </c>
      <c r="U168" s="2">
        <v>4609</v>
      </c>
      <c r="V168">
        <v>4</v>
      </c>
      <c r="W168" t="s">
        <v>38</v>
      </c>
      <c r="X168">
        <v>12</v>
      </c>
      <c r="Y168">
        <v>3</v>
      </c>
      <c r="Z168">
        <v>1</v>
      </c>
      <c r="AA168">
        <v>80</v>
      </c>
      <c r="AB168">
        <v>1</v>
      </c>
      <c r="AC168">
        <v>13</v>
      </c>
      <c r="AD168">
        <v>2</v>
      </c>
      <c r="AE168">
        <v>3</v>
      </c>
      <c r="AF168">
        <v>9</v>
      </c>
      <c r="AG168">
        <v>8</v>
      </c>
      <c r="AH168">
        <v>1</v>
      </c>
      <c r="AI168">
        <v>8</v>
      </c>
    </row>
    <row r="169" spans="1:35" x14ac:dyDescent="0.25">
      <c r="A169">
        <v>30</v>
      </c>
      <c r="B169" t="str">
        <f t="shared" si="4"/>
        <v>25-34</v>
      </c>
      <c r="C169" s="1" t="s">
        <v>38</v>
      </c>
      <c r="D169" s="17">
        <f>IF(Table1[[#This Row],[Attrition]]="Yes",1,0)</f>
        <v>0</v>
      </c>
      <c r="E169" t="s">
        <v>57</v>
      </c>
      <c r="F169" s="2">
        <v>1339</v>
      </c>
      <c r="G169" t="s">
        <v>33</v>
      </c>
      <c r="H169">
        <v>5</v>
      </c>
      <c r="I169">
        <v>3</v>
      </c>
      <c r="J169" t="str">
        <f t="shared" si="5"/>
        <v>Bachelor</v>
      </c>
      <c r="K169" t="s">
        <v>34</v>
      </c>
      <c r="L169">
        <v>2</v>
      </c>
      <c r="M169" t="s">
        <v>35</v>
      </c>
      <c r="N169" s="2">
        <v>41</v>
      </c>
      <c r="O169">
        <v>3</v>
      </c>
      <c r="P169">
        <v>3</v>
      </c>
      <c r="Q169" t="s">
        <v>36</v>
      </c>
      <c r="R169">
        <v>4</v>
      </c>
      <c r="S169" t="s">
        <v>42</v>
      </c>
      <c r="T169" s="2">
        <v>9419</v>
      </c>
      <c r="U169" s="2">
        <v>8053</v>
      </c>
      <c r="V169">
        <v>2</v>
      </c>
      <c r="W169" t="s">
        <v>38</v>
      </c>
      <c r="X169">
        <v>12</v>
      </c>
      <c r="Y169">
        <v>3</v>
      </c>
      <c r="Z169">
        <v>3</v>
      </c>
      <c r="AA169">
        <v>80</v>
      </c>
      <c r="AB169">
        <v>1</v>
      </c>
      <c r="AC169">
        <v>12</v>
      </c>
      <c r="AD169">
        <v>2</v>
      </c>
      <c r="AE169">
        <v>3</v>
      </c>
      <c r="AF169">
        <v>10</v>
      </c>
      <c r="AG169">
        <v>9</v>
      </c>
      <c r="AH169">
        <v>7</v>
      </c>
      <c r="AI169">
        <v>4</v>
      </c>
    </row>
    <row r="170" spans="1:35" x14ac:dyDescent="0.25">
      <c r="A170">
        <v>38</v>
      </c>
      <c r="B170" t="str">
        <f t="shared" si="4"/>
        <v>35-44</v>
      </c>
      <c r="C170" s="1" t="s">
        <v>38</v>
      </c>
      <c r="D170" s="17">
        <f>IF(Table1[[#This Row],[Attrition]]="Yes",1,0)</f>
        <v>0</v>
      </c>
      <c r="E170" t="s">
        <v>57</v>
      </c>
      <c r="F170" s="2">
        <v>702</v>
      </c>
      <c r="G170" t="s">
        <v>33</v>
      </c>
      <c r="H170">
        <v>1</v>
      </c>
      <c r="I170">
        <v>4</v>
      </c>
      <c r="J170" t="str">
        <f t="shared" si="5"/>
        <v>Master</v>
      </c>
      <c r="K170" t="s">
        <v>34</v>
      </c>
      <c r="L170">
        <v>1</v>
      </c>
      <c r="M170" t="s">
        <v>35</v>
      </c>
      <c r="N170" s="2">
        <v>59</v>
      </c>
      <c r="O170">
        <v>2</v>
      </c>
      <c r="P170">
        <v>2</v>
      </c>
      <c r="Q170" t="s">
        <v>36</v>
      </c>
      <c r="R170">
        <v>4</v>
      </c>
      <c r="S170" t="s">
        <v>37</v>
      </c>
      <c r="T170" s="2">
        <v>8686</v>
      </c>
      <c r="U170" s="2">
        <v>12930</v>
      </c>
      <c r="V170">
        <v>4</v>
      </c>
      <c r="W170" t="s">
        <v>38</v>
      </c>
      <c r="X170">
        <v>22</v>
      </c>
      <c r="Y170">
        <v>4</v>
      </c>
      <c r="Z170">
        <v>3</v>
      </c>
      <c r="AA170">
        <v>80</v>
      </c>
      <c r="AB170">
        <v>0</v>
      </c>
      <c r="AC170">
        <v>12</v>
      </c>
      <c r="AD170">
        <v>2</v>
      </c>
      <c r="AE170">
        <v>4</v>
      </c>
      <c r="AF170">
        <v>8</v>
      </c>
      <c r="AG170">
        <v>3</v>
      </c>
      <c r="AH170">
        <v>0</v>
      </c>
      <c r="AI170">
        <v>7</v>
      </c>
    </row>
    <row r="171" spans="1:35" x14ac:dyDescent="0.25">
      <c r="A171">
        <v>32</v>
      </c>
      <c r="B171" t="str">
        <f t="shared" si="4"/>
        <v>25-34</v>
      </c>
      <c r="C171" s="1" t="s">
        <v>38</v>
      </c>
      <c r="D171" s="17">
        <f>IF(Table1[[#This Row],[Attrition]]="Yes",1,0)</f>
        <v>0</v>
      </c>
      <c r="E171" t="s">
        <v>57</v>
      </c>
      <c r="F171" s="2">
        <v>120</v>
      </c>
      <c r="G171" t="s">
        <v>39</v>
      </c>
      <c r="H171">
        <v>6</v>
      </c>
      <c r="I171">
        <v>5</v>
      </c>
      <c r="J171" t="str">
        <f t="shared" si="5"/>
        <v>Doctor</v>
      </c>
      <c r="K171" t="s">
        <v>34</v>
      </c>
      <c r="L171">
        <v>3</v>
      </c>
      <c r="M171" t="s">
        <v>40</v>
      </c>
      <c r="N171" s="2">
        <v>43</v>
      </c>
      <c r="O171">
        <v>3</v>
      </c>
      <c r="P171">
        <v>1</v>
      </c>
      <c r="Q171" t="s">
        <v>41</v>
      </c>
      <c r="R171">
        <v>3</v>
      </c>
      <c r="S171" t="s">
        <v>37</v>
      </c>
      <c r="T171" s="2">
        <v>3038</v>
      </c>
      <c r="U171" s="2">
        <v>12430</v>
      </c>
      <c r="V171">
        <v>3</v>
      </c>
      <c r="W171" t="s">
        <v>38</v>
      </c>
      <c r="X171">
        <v>20</v>
      </c>
      <c r="Y171">
        <v>4</v>
      </c>
      <c r="Z171">
        <v>1</v>
      </c>
      <c r="AA171">
        <v>80</v>
      </c>
      <c r="AB171">
        <v>0</v>
      </c>
      <c r="AC171">
        <v>8</v>
      </c>
      <c r="AD171">
        <v>2</v>
      </c>
      <c r="AE171">
        <v>3</v>
      </c>
      <c r="AF171">
        <v>5</v>
      </c>
      <c r="AG171">
        <v>4</v>
      </c>
      <c r="AH171">
        <v>1</v>
      </c>
      <c r="AI171">
        <v>4</v>
      </c>
    </row>
    <row r="172" spans="1:35" x14ac:dyDescent="0.25">
      <c r="A172">
        <v>27</v>
      </c>
      <c r="B172" t="str">
        <f t="shared" si="4"/>
        <v>25-34</v>
      </c>
      <c r="C172" s="1" t="s">
        <v>38</v>
      </c>
      <c r="D172" s="17">
        <f>IF(Table1[[#This Row],[Attrition]]="Yes",1,0)</f>
        <v>0</v>
      </c>
      <c r="E172" t="s">
        <v>57</v>
      </c>
      <c r="F172" s="2">
        <v>1157</v>
      </c>
      <c r="G172" t="s">
        <v>39</v>
      </c>
      <c r="H172">
        <v>17</v>
      </c>
      <c r="I172">
        <v>3</v>
      </c>
      <c r="J172" t="str">
        <f t="shared" si="5"/>
        <v>Bachelor</v>
      </c>
      <c r="K172" t="s">
        <v>54</v>
      </c>
      <c r="L172">
        <v>3</v>
      </c>
      <c r="M172" t="s">
        <v>40</v>
      </c>
      <c r="N172" s="2">
        <v>51</v>
      </c>
      <c r="O172">
        <v>3</v>
      </c>
      <c r="P172">
        <v>1</v>
      </c>
      <c r="Q172" t="s">
        <v>41</v>
      </c>
      <c r="R172">
        <v>2</v>
      </c>
      <c r="S172" t="s">
        <v>42</v>
      </c>
      <c r="T172" s="2">
        <v>3058</v>
      </c>
      <c r="U172" s="2">
        <v>13364</v>
      </c>
      <c r="V172">
        <v>0</v>
      </c>
      <c r="W172" t="s">
        <v>32</v>
      </c>
      <c r="X172">
        <v>16</v>
      </c>
      <c r="Y172">
        <v>3</v>
      </c>
      <c r="Z172">
        <v>4</v>
      </c>
      <c r="AA172">
        <v>80</v>
      </c>
      <c r="AB172">
        <v>1</v>
      </c>
      <c r="AC172">
        <v>6</v>
      </c>
      <c r="AD172">
        <v>3</v>
      </c>
      <c r="AE172">
        <v>2</v>
      </c>
      <c r="AF172">
        <v>5</v>
      </c>
      <c r="AG172">
        <v>2</v>
      </c>
      <c r="AH172">
        <v>1</v>
      </c>
      <c r="AI172">
        <v>1</v>
      </c>
    </row>
    <row r="173" spans="1:35" x14ac:dyDescent="0.25">
      <c r="A173">
        <v>19</v>
      </c>
      <c r="B173" t="str">
        <f t="shared" si="4"/>
        <v>18-24</v>
      </c>
      <c r="C173" s="1" t="s">
        <v>32</v>
      </c>
      <c r="D173" s="17">
        <f>IF(Table1[[#This Row],[Attrition]]="Yes",1,0)</f>
        <v>1</v>
      </c>
      <c r="E173" t="s">
        <v>58</v>
      </c>
      <c r="F173" s="2">
        <v>602</v>
      </c>
      <c r="G173" t="s">
        <v>33</v>
      </c>
      <c r="H173">
        <v>1</v>
      </c>
      <c r="I173">
        <v>1</v>
      </c>
      <c r="J173" t="str">
        <f t="shared" si="5"/>
        <v>Below College</v>
      </c>
      <c r="K173" t="s">
        <v>54</v>
      </c>
      <c r="L173">
        <v>3</v>
      </c>
      <c r="M173" t="s">
        <v>35</v>
      </c>
      <c r="N173" s="2">
        <v>100</v>
      </c>
      <c r="O173">
        <v>1</v>
      </c>
      <c r="P173">
        <v>1</v>
      </c>
      <c r="Q173" t="s">
        <v>51</v>
      </c>
      <c r="R173">
        <v>1</v>
      </c>
      <c r="S173" t="s">
        <v>37</v>
      </c>
      <c r="T173" s="2">
        <v>2325</v>
      </c>
      <c r="U173" s="2">
        <v>20989</v>
      </c>
      <c r="V173">
        <v>0</v>
      </c>
      <c r="W173" t="s">
        <v>38</v>
      </c>
      <c r="X173">
        <v>21</v>
      </c>
      <c r="Y173">
        <v>4</v>
      </c>
      <c r="Z173">
        <v>1</v>
      </c>
      <c r="AA173">
        <v>80</v>
      </c>
      <c r="AB173">
        <v>0</v>
      </c>
      <c r="AC173">
        <v>1</v>
      </c>
      <c r="AD173">
        <v>5</v>
      </c>
      <c r="AE173">
        <v>4</v>
      </c>
      <c r="AF173">
        <v>0</v>
      </c>
      <c r="AG173">
        <v>0</v>
      </c>
      <c r="AH173">
        <v>0</v>
      </c>
      <c r="AI173">
        <v>0</v>
      </c>
    </row>
    <row r="174" spans="1:35" x14ac:dyDescent="0.25">
      <c r="A174">
        <v>36</v>
      </c>
      <c r="B174" t="str">
        <f t="shared" si="4"/>
        <v>35-44</v>
      </c>
      <c r="C174" s="1" t="s">
        <v>38</v>
      </c>
      <c r="D174" s="17">
        <f>IF(Table1[[#This Row],[Attrition]]="Yes",1,0)</f>
        <v>0</v>
      </c>
      <c r="E174" t="s">
        <v>58</v>
      </c>
      <c r="F174" s="2">
        <v>1480</v>
      </c>
      <c r="G174" t="s">
        <v>39</v>
      </c>
      <c r="H174">
        <v>3</v>
      </c>
      <c r="I174">
        <v>2</v>
      </c>
      <c r="J174" t="str">
        <f t="shared" si="5"/>
        <v>College</v>
      </c>
      <c r="K174" t="s">
        <v>45</v>
      </c>
      <c r="L174">
        <v>4</v>
      </c>
      <c r="M174" t="s">
        <v>40</v>
      </c>
      <c r="N174" s="2">
        <v>30</v>
      </c>
      <c r="O174">
        <v>3</v>
      </c>
      <c r="P174">
        <v>1</v>
      </c>
      <c r="Q174" t="s">
        <v>44</v>
      </c>
      <c r="R174">
        <v>2</v>
      </c>
      <c r="S174" t="s">
        <v>37</v>
      </c>
      <c r="T174" s="2">
        <v>2088</v>
      </c>
      <c r="U174" s="2">
        <v>15062</v>
      </c>
      <c r="V174">
        <v>4</v>
      </c>
      <c r="W174" t="s">
        <v>38</v>
      </c>
      <c r="X174">
        <v>12</v>
      </c>
      <c r="Y174">
        <v>3</v>
      </c>
      <c r="Z174">
        <v>3</v>
      </c>
      <c r="AA174">
        <v>80</v>
      </c>
      <c r="AB174">
        <v>0</v>
      </c>
      <c r="AC174">
        <v>13</v>
      </c>
      <c r="AD174">
        <v>3</v>
      </c>
      <c r="AE174">
        <v>2</v>
      </c>
      <c r="AF174">
        <v>8</v>
      </c>
      <c r="AG174">
        <v>7</v>
      </c>
      <c r="AH174">
        <v>7</v>
      </c>
      <c r="AI174">
        <v>2</v>
      </c>
    </row>
    <row r="175" spans="1:35" x14ac:dyDescent="0.25">
      <c r="A175">
        <v>30</v>
      </c>
      <c r="B175" t="str">
        <f t="shared" si="4"/>
        <v>25-34</v>
      </c>
      <c r="C175" s="1" t="s">
        <v>38</v>
      </c>
      <c r="D175" s="17">
        <f>IF(Table1[[#This Row],[Attrition]]="Yes",1,0)</f>
        <v>0</v>
      </c>
      <c r="E175" t="s">
        <v>49</v>
      </c>
      <c r="F175" s="2">
        <v>111</v>
      </c>
      <c r="G175" t="s">
        <v>39</v>
      </c>
      <c r="H175">
        <v>9</v>
      </c>
      <c r="I175">
        <v>3</v>
      </c>
      <c r="J175" t="str">
        <f t="shared" si="5"/>
        <v>Bachelor</v>
      </c>
      <c r="K175" t="s">
        <v>45</v>
      </c>
      <c r="L175">
        <v>3</v>
      </c>
      <c r="M175" t="s">
        <v>40</v>
      </c>
      <c r="N175" s="2">
        <v>66</v>
      </c>
      <c r="O175">
        <v>3</v>
      </c>
      <c r="P175">
        <v>2</v>
      </c>
      <c r="Q175" t="s">
        <v>44</v>
      </c>
      <c r="R175">
        <v>1</v>
      </c>
      <c r="S175" t="s">
        <v>46</v>
      </c>
      <c r="T175" s="2">
        <v>3072</v>
      </c>
      <c r="U175" s="2">
        <v>11012</v>
      </c>
      <c r="V175">
        <v>1</v>
      </c>
      <c r="W175" t="s">
        <v>38</v>
      </c>
      <c r="X175">
        <v>11</v>
      </c>
      <c r="Y175">
        <v>3</v>
      </c>
      <c r="Z175">
        <v>3</v>
      </c>
      <c r="AA175">
        <v>80</v>
      </c>
      <c r="AB175">
        <v>2</v>
      </c>
      <c r="AC175">
        <v>12</v>
      </c>
      <c r="AD175">
        <v>4</v>
      </c>
      <c r="AE175">
        <v>3</v>
      </c>
      <c r="AF175">
        <v>12</v>
      </c>
      <c r="AG175">
        <v>9</v>
      </c>
      <c r="AH175">
        <v>6</v>
      </c>
      <c r="AI175">
        <v>10</v>
      </c>
    </row>
    <row r="176" spans="1:35" x14ac:dyDescent="0.25">
      <c r="A176">
        <v>45</v>
      </c>
      <c r="B176" t="str">
        <f t="shared" si="4"/>
        <v>45-54</v>
      </c>
      <c r="C176" s="1" t="s">
        <v>38</v>
      </c>
      <c r="D176" s="17">
        <f>IF(Table1[[#This Row],[Attrition]]="Yes",1,0)</f>
        <v>0</v>
      </c>
      <c r="E176" t="s">
        <v>57</v>
      </c>
      <c r="F176" s="2">
        <v>1268</v>
      </c>
      <c r="G176" t="s">
        <v>33</v>
      </c>
      <c r="H176">
        <v>4</v>
      </c>
      <c r="I176">
        <v>2</v>
      </c>
      <c r="J176" t="str">
        <f t="shared" si="5"/>
        <v>College</v>
      </c>
      <c r="K176" t="s">
        <v>34</v>
      </c>
      <c r="L176">
        <v>3</v>
      </c>
      <c r="M176" t="s">
        <v>35</v>
      </c>
      <c r="N176" s="2">
        <v>30</v>
      </c>
      <c r="O176">
        <v>3</v>
      </c>
      <c r="P176">
        <v>2</v>
      </c>
      <c r="Q176" t="s">
        <v>36</v>
      </c>
      <c r="R176">
        <v>1</v>
      </c>
      <c r="S176" t="s">
        <v>46</v>
      </c>
      <c r="T176" s="2">
        <v>5006</v>
      </c>
      <c r="U176" s="2">
        <v>6319</v>
      </c>
      <c r="V176">
        <v>4</v>
      </c>
      <c r="W176" t="s">
        <v>32</v>
      </c>
      <c r="X176">
        <v>11</v>
      </c>
      <c r="Y176">
        <v>3</v>
      </c>
      <c r="Z176">
        <v>1</v>
      </c>
      <c r="AA176">
        <v>80</v>
      </c>
      <c r="AB176">
        <v>1</v>
      </c>
      <c r="AC176">
        <v>9</v>
      </c>
      <c r="AD176">
        <v>3</v>
      </c>
      <c r="AE176">
        <v>4</v>
      </c>
      <c r="AF176">
        <v>5</v>
      </c>
      <c r="AG176">
        <v>4</v>
      </c>
      <c r="AH176">
        <v>0</v>
      </c>
      <c r="AI176">
        <v>3</v>
      </c>
    </row>
    <row r="177" spans="1:35" x14ac:dyDescent="0.25">
      <c r="A177">
        <v>56</v>
      </c>
      <c r="B177" t="str">
        <f t="shared" si="4"/>
        <v>55-64</v>
      </c>
      <c r="C177" s="1" t="s">
        <v>38</v>
      </c>
      <c r="D177" s="17">
        <f>IF(Table1[[#This Row],[Attrition]]="Yes",1,0)</f>
        <v>0</v>
      </c>
      <c r="E177" t="s">
        <v>57</v>
      </c>
      <c r="F177" s="2">
        <v>713</v>
      </c>
      <c r="G177" t="s">
        <v>39</v>
      </c>
      <c r="H177">
        <v>8</v>
      </c>
      <c r="I177">
        <v>3</v>
      </c>
      <c r="J177" t="str">
        <f t="shared" si="5"/>
        <v>Bachelor</v>
      </c>
      <c r="K177" t="s">
        <v>34</v>
      </c>
      <c r="L177">
        <v>3</v>
      </c>
      <c r="M177" t="s">
        <v>35</v>
      </c>
      <c r="N177" s="2">
        <v>67</v>
      </c>
      <c r="O177">
        <v>3</v>
      </c>
      <c r="P177">
        <v>1</v>
      </c>
      <c r="Q177" t="s">
        <v>41</v>
      </c>
      <c r="R177">
        <v>1</v>
      </c>
      <c r="S177" t="s">
        <v>46</v>
      </c>
      <c r="T177" s="2">
        <v>4257</v>
      </c>
      <c r="U177" s="2">
        <v>13939</v>
      </c>
      <c r="V177">
        <v>4</v>
      </c>
      <c r="W177" t="s">
        <v>32</v>
      </c>
      <c r="X177">
        <v>18</v>
      </c>
      <c r="Y177">
        <v>3</v>
      </c>
      <c r="Z177">
        <v>3</v>
      </c>
      <c r="AA177">
        <v>80</v>
      </c>
      <c r="AB177">
        <v>1</v>
      </c>
      <c r="AC177">
        <v>19</v>
      </c>
      <c r="AD177">
        <v>3</v>
      </c>
      <c r="AE177">
        <v>3</v>
      </c>
      <c r="AF177">
        <v>2</v>
      </c>
      <c r="AG177">
        <v>2</v>
      </c>
      <c r="AH177">
        <v>2</v>
      </c>
      <c r="AI177">
        <v>2</v>
      </c>
    </row>
    <row r="178" spans="1:35" x14ac:dyDescent="0.25">
      <c r="A178">
        <v>33</v>
      </c>
      <c r="B178" t="str">
        <f t="shared" si="4"/>
        <v>25-34</v>
      </c>
      <c r="C178" s="1" t="s">
        <v>38</v>
      </c>
      <c r="D178" s="17">
        <f>IF(Table1[[#This Row],[Attrition]]="Yes",1,0)</f>
        <v>0</v>
      </c>
      <c r="E178" t="s">
        <v>57</v>
      </c>
      <c r="F178" s="2">
        <v>134</v>
      </c>
      <c r="G178" t="s">
        <v>39</v>
      </c>
      <c r="H178">
        <v>2</v>
      </c>
      <c r="I178">
        <v>3</v>
      </c>
      <c r="J178" t="str">
        <f t="shared" si="5"/>
        <v>Bachelor</v>
      </c>
      <c r="K178" t="s">
        <v>34</v>
      </c>
      <c r="L178">
        <v>3</v>
      </c>
      <c r="M178" t="s">
        <v>40</v>
      </c>
      <c r="N178" s="2">
        <v>90</v>
      </c>
      <c r="O178">
        <v>3</v>
      </c>
      <c r="P178">
        <v>1</v>
      </c>
      <c r="Q178" t="s">
        <v>41</v>
      </c>
      <c r="R178">
        <v>4</v>
      </c>
      <c r="S178" t="s">
        <v>37</v>
      </c>
      <c r="T178" s="2">
        <v>2500</v>
      </c>
      <c r="U178" s="2">
        <v>10515</v>
      </c>
      <c r="V178">
        <v>0</v>
      </c>
      <c r="W178" t="s">
        <v>38</v>
      </c>
      <c r="X178">
        <v>14</v>
      </c>
      <c r="Y178">
        <v>3</v>
      </c>
      <c r="Z178">
        <v>1</v>
      </c>
      <c r="AA178">
        <v>80</v>
      </c>
      <c r="AB178">
        <v>0</v>
      </c>
      <c r="AC178">
        <v>4</v>
      </c>
      <c r="AD178">
        <v>2</v>
      </c>
      <c r="AE178">
        <v>4</v>
      </c>
      <c r="AF178">
        <v>3</v>
      </c>
      <c r="AG178">
        <v>1</v>
      </c>
      <c r="AH178">
        <v>0</v>
      </c>
      <c r="AI178">
        <v>2</v>
      </c>
    </row>
    <row r="179" spans="1:35" x14ac:dyDescent="0.25">
      <c r="A179">
        <v>19</v>
      </c>
      <c r="B179" t="str">
        <f t="shared" si="4"/>
        <v>18-24</v>
      </c>
      <c r="C179" s="1" t="s">
        <v>32</v>
      </c>
      <c r="D179" s="17">
        <f>IF(Table1[[#This Row],[Attrition]]="Yes",1,0)</f>
        <v>1</v>
      </c>
      <c r="E179" t="s">
        <v>57</v>
      </c>
      <c r="F179" s="2">
        <v>303</v>
      </c>
      <c r="G179" t="s">
        <v>39</v>
      </c>
      <c r="H179">
        <v>2</v>
      </c>
      <c r="I179">
        <v>3</v>
      </c>
      <c r="J179" t="str">
        <f t="shared" si="5"/>
        <v>Bachelor</v>
      </c>
      <c r="K179" t="s">
        <v>34</v>
      </c>
      <c r="L179">
        <v>2</v>
      </c>
      <c r="M179" t="s">
        <v>40</v>
      </c>
      <c r="N179" s="2">
        <v>47</v>
      </c>
      <c r="O179">
        <v>2</v>
      </c>
      <c r="P179">
        <v>1</v>
      </c>
      <c r="Q179" t="s">
        <v>44</v>
      </c>
      <c r="R179">
        <v>4</v>
      </c>
      <c r="S179" t="s">
        <v>37</v>
      </c>
      <c r="T179" s="2">
        <v>1102</v>
      </c>
      <c r="U179" s="2">
        <v>9241</v>
      </c>
      <c r="V179">
        <v>1</v>
      </c>
      <c r="W179" t="s">
        <v>38</v>
      </c>
      <c r="X179">
        <v>22</v>
      </c>
      <c r="Y179">
        <v>4</v>
      </c>
      <c r="Z179">
        <v>3</v>
      </c>
      <c r="AA179">
        <v>80</v>
      </c>
      <c r="AB179">
        <v>0</v>
      </c>
      <c r="AC179">
        <v>1</v>
      </c>
      <c r="AD179">
        <v>3</v>
      </c>
      <c r="AE179">
        <v>2</v>
      </c>
      <c r="AF179">
        <v>1</v>
      </c>
      <c r="AG179">
        <v>0</v>
      </c>
      <c r="AH179">
        <v>1</v>
      </c>
      <c r="AI179">
        <v>0</v>
      </c>
    </row>
    <row r="180" spans="1:35" x14ac:dyDescent="0.25">
      <c r="A180">
        <v>46</v>
      </c>
      <c r="B180" t="str">
        <f t="shared" si="4"/>
        <v>45-54</v>
      </c>
      <c r="C180" s="1" t="s">
        <v>38</v>
      </c>
      <c r="D180" s="17">
        <f>IF(Table1[[#This Row],[Attrition]]="Yes",1,0)</f>
        <v>0</v>
      </c>
      <c r="E180" t="s">
        <v>57</v>
      </c>
      <c r="F180" s="2">
        <v>526</v>
      </c>
      <c r="G180" t="s">
        <v>33</v>
      </c>
      <c r="H180">
        <v>1</v>
      </c>
      <c r="I180">
        <v>2</v>
      </c>
      <c r="J180" t="str">
        <f t="shared" si="5"/>
        <v>College</v>
      </c>
      <c r="K180" t="s">
        <v>53</v>
      </c>
      <c r="L180">
        <v>2</v>
      </c>
      <c r="M180" t="s">
        <v>35</v>
      </c>
      <c r="N180" s="2">
        <v>92</v>
      </c>
      <c r="O180">
        <v>3</v>
      </c>
      <c r="P180">
        <v>3</v>
      </c>
      <c r="Q180" t="s">
        <v>36</v>
      </c>
      <c r="R180">
        <v>1</v>
      </c>
      <c r="S180" t="s">
        <v>46</v>
      </c>
      <c r="T180" s="2">
        <v>10453</v>
      </c>
      <c r="U180" s="2">
        <v>2137</v>
      </c>
      <c r="V180">
        <v>1</v>
      </c>
      <c r="W180" t="s">
        <v>38</v>
      </c>
      <c r="X180">
        <v>25</v>
      </c>
      <c r="Y180">
        <v>4</v>
      </c>
      <c r="Z180">
        <v>3</v>
      </c>
      <c r="AA180">
        <v>80</v>
      </c>
      <c r="AB180">
        <v>3</v>
      </c>
      <c r="AC180">
        <v>24</v>
      </c>
      <c r="AD180">
        <v>2</v>
      </c>
      <c r="AE180">
        <v>3</v>
      </c>
      <c r="AF180">
        <v>24</v>
      </c>
      <c r="AG180">
        <v>13</v>
      </c>
      <c r="AH180">
        <v>15</v>
      </c>
      <c r="AI180">
        <v>7</v>
      </c>
    </row>
    <row r="181" spans="1:35" x14ac:dyDescent="0.25">
      <c r="A181">
        <v>38</v>
      </c>
      <c r="B181" t="str">
        <f t="shared" si="4"/>
        <v>35-44</v>
      </c>
      <c r="C181" s="1" t="s">
        <v>38</v>
      </c>
      <c r="D181" s="17">
        <f>IF(Table1[[#This Row],[Attrition]]="Yes",1,0)</f>
        <v>0</v>
      </c>
      <c r="E181" t="s">
        <v>57</v>
      </c>
      <c r="F181" s="2">
        <v>1380</v>
      </c>
      <c r="G181" t="s">
        <v>39</v>
      </c>
      <c r="H181">
        <v>9</v>
      </c>
      <c r="I181">
        <v>2</v>
      </c>
      <c r="J181" t="str">
        <f t="shared" si="5"/>
        <v>College</v>
      </c>
      <c r="K181" t="s">
        <v>34</v>
      </c>
      <c r="L181">
        <v>3</v>
      </c>
      <c r="M181" t="s">
        <v>35</v>
      </c>
      <c r="N181" s="2">
        <v>75</v>
      </c>
      <c r="O181">
        <v>3</v>
      </c>
      <c r="P181">
        <v>1</v>
      </c>
      <c r="Q181" t="s">
        <v>44</v>
      </c>
      <c r="R181">
        <v>4</v>
      </c>
      <c r="S181" t="s">
        <v>37</v>
      </c>
      <c r="T181" s="2">
        <v>2288</v>
      </c>
      <c r="U181" s="2">
        <v>6319</v>
      </c>
      <c r="V181">
        <v>1</v>
      </c>
      <c r="W181" t="s">
        <v>38</v>
      </c>
      <c r="X181">
        <v>12</v>
      </c>
      <c r="Y181">
        <v>3</v>
      </c>
      <c r="Z181">
        <v>3</v>
      </c>
      <c r="AA181">
        <v>80</v>
      </c>
      <c r="AB181">
        <v>0</v>
      </c>
      <c r="AC181">
        <v>2</v>
      </c>
      <c r="AD181">
        <v>3</v>
      </c>
      <c r="AE181">
        <v>3</v>
      </c>
      <c r="AF181">
        <v>2</v>
      </c>
      <c r="AG181">
        <v>2</v>
      </c>
      <c r="AH181">
        <v>2</v>
      </c>
      <c r="AI181">
        <v>1</v>
      </c>
    </row>
    <row r="182" spans="1:35" x14ac:dyDescent="0.25">
      <c r="A182">
        <v>31</v>
      </c>
      <c r="B182" t="str">
        <f t="shared" si="4"/>
        <v>25-34</v>
      </c>
      <c r="C182" s="1" t="s">
        <v>38</v>
      </c>
      <c r="D182" s="17">
        <f>IF(Table1[[#This Row],[Attrition]]="Yes",1,0)</f>
        <v>0</v>
      </c>
      <c r="E182" t="s">
        <v>57</v>
      </c>
      <c r="F182" s="2">
        <v>140</v>
      </c>
      <c r="G182" t="s">
        <v>39</v>
      </c>
      <c r="H182">
        <v>12</v>
      </c>
      <c r="I182">
        <v>1</v>
      </c>
      <c r="J182" t="str">
        <f t="shared" si="5"/>
        <v>Below College</v>
      </c>
      <c r="K182" t="s">
        <v>45</v>
      </c>
      <c r="L182">
        <v>3</v>
      </c>
      <c r="M182" t="s">
        <v>35</v>
      </c>
      <c r="N182" s="2">
        <v>95</v>
      </c>
      <c r="O182">
        <v>3</v>
      </c>
      <c r="P182">
        <v>1</v>
      </c>
      <c r="Q182" t="s">
        <v>41</v>
      </c>
      <c r="R182">
        <v>4</v>
      </c>
      <c r="S182" t="s">
        <v>42</v>
      </c>
      <c r="T182" s="2">
        <v>3929</v>
      </c>
      <c r="U182" s="2">
        <v>6984</v>
      </c>
      <c r="V182">
        <v>8</v>
      </c>
      <c r="W182" t="s">
        <v>32</v>
      </c>
      <c r="X182">
        <v>23</v>
      </c>
      <c r="Y182">
        <v>4</v>
      </c>
      <c r="Z182">
        <v>3</v>
      </c>
      <c r="AA182">
        <v>80</v>
      </c>
      <c r="AB182">
        <v>1</v>
      </c>
      <c r="AC182">
        <v>7</v>
      </c>
      <c r="AD182">
        <v>0</v>
      </c>
      <c r="AE182">
        <v>3</v>
      </c>
      <c r="AF182">
        <v>4</v>
      </c>
      <c r="AG182">
        <v>2</v>
      </c>
      <c r="AH182">
        <v>0</v>
      </c>
      <c r="AI182">
        <v>2</v>
      </c>
    </row>
    <row r="183" spans="1:35" x14ac:dyDescent="0.25">
      <c r="A183">
        <v>34</v>
      </c>
      <c r="B183" t="str">
        <f t="shared" si="4"/>
        <v>25-34</v>
      </c>
      <c r="C183" s="1" t="s">
        <v>38</v>
      </c>
      <c r="D183" s="17">
        <f>IF(Table1[[#This Row],[Attrition]]="Yes",1,0)</f>
        <v>0</v>
      </c>
      <c r="E183" t="s">
        <v>57</v>
      </c>
      <c r="F183" s="2">
        <v>629</v>
      </c>
      <c r="G183" t="s">
        <v>39</v>
      </c>
      <c r="H183">
        <v>27</v>
      </c>
      <c r="I183">
        <v>2</v>
      </c>
      <c r="J183" t="str">
        <f t="shared" si="5"/>
        <v>College</v>
      </c>
      <c r="K183" t="s">
        <v>45</v>
      </c>
      <c r="L183">
        <v>4</v>
      </c>
      <c r="M183" t="s">
        <v>35</v>
      </c>
      <c r="N183" s="2">
        <v>95</v>
      </c>
      <c r="O183">
        <v>3</v>
      </c>
      <c r="P183">
        <v>1</v>
      </c>
      <c r="Q183" t="s">
        <v>41</v>
      </c>
      <c r="R183">
        <v>2</v>
      </c>
      <c r="S183" t="s">
        <v>37</v>
      </c>
      <c r="T183" s="2">
        <v>2311</v>
      </c>
      <c r="U183" s="2">
        <v>5711</v>
      </c>
      <c r="V183">
        <v>2</v>
      </c>
      <c r="W183" t="s">
        <v>38</v>
      </c>
      <c r="X183">
        <v>15</v>
      </c>
      <c r="Y183">
        <v>3</v>
      </c>
      <c r="Z183">
        <v>4</v>
      </c>
      <c r="AA183">
        <v>80</v>
      </c>
      <c r="AB183">
        <v>0</v>
      </c>
      <c r="AC183">
        <v>9</v>
      </c>
      <c r="AD183">
        <v>3</v>
      </c>
      <c r="AE183">
        <v>3</v>
      </c>
      <c r="AF183">
        <v>3</v>
      </c>
      <c r="AG183">
        <v>2</v>
      </c>
      <c r="AH183">
        <v>1</v>
      </c>
      <c r="AI183">
        <v>2</v>
      </c>
    </row>
    <row r="184" spans="1:35" x14ac:dyDescent="0.25">
      <c r="A184">
        <v>41</v>
      </c>
      <c r="B184" t="str">
        <f t="shared" si="4"/>
        <v>35-44</v>
      </c>
      <c r="C184" s="1" t="s">
        <v>32</v>
      </c>
      <c r="D184" s="17">
        <f>IF(Table1[[#This Row],[Attrition]]="Yes",1,0)</f>
        <v>1</v>
      </c>
      <c r="E184" t="s">
        <v>57</v>
      </c>
      <c r="F184" s="2">
        <v>1356</v>
      </c>
      <c r="G184" t="s">
        <v>33</v>
      </c>
      <c r="H184">
        <v>20</v>
      </c>
      <c r="I184">
        <v>2</v>
      </c>
      <c r="J184" t="str">
        <f t="shared" si="5"/>
        <v>College</v>
      </c>
      <c r="K184" t="s">
        <v>53</v>
      </c>
      <c r="L184">
        <v>2</v>
      </c>
      <c r="M184" t="s">
        <v>35</v>
      </c>
      <c r="N184" s="2">
        <v>70</v>
      </c>
      <c r="O184">
        <v>3</v>
      </c>
      <c r="P184">
        <v>1</v>
      </c>
      <c r="Q184" t="s">
        <v>51</v>
      </c>
      <c r="R184">
        <v>2</v>
      </c>
      <c r="S184" t="s">
        <v>37</v>
      </c>
      <c r="T184" s="2">
        <v>3140</v>
      </c>
      <c r="U184" s="2">
        <v>21728</v>
      </c>
      <c r="V184">
        <v>1</v>
      </c>
      <c r="W184" t="s">
        <v>32</v>
      </c>
      <c r="X184">
        <v>22</v>
      </c>
      <c r="Y184">
        <v>4</v>
      </c>
      <c r="Z184">
        <v>4</v>
      </c>
      <c r="AA184">
        <v>80</v>
      </c>
      <c r="AB184">
        <v>0</v>
      </c>
      <c r="AC184">
        <v>4</v>
      </c>
      <c r="AD184">
        <v>5</v>
      </c>
      <c r="AE184">
        <v>2</v>
      </c>
      <c r="AF184">
        <v>4</v>
      </c>
      <c r="AG184">
        <v>3</v>
      </c>
      <c r="AH184">
        <v>0</v>
      </c>
      <c r="AI184">
        <v>2</v>
      </c>
    </row>
    <row r="185" spans="1:35" x14ac:dyDescent="0.25">
      <c r="A185">
        <v>50</v>
      </c>
      <c r="B185" t="str">
        <f t="shared" si="4"/>
        <v>45-54</v>
      </c>
      <c r="C185" s="1" t="s">
        <v>38</v>
      </c>
      <c r="D185" s="17">
        <f>IF(Table1[[#This Row],[Attrition]]="Yes",1,0)</f>
        <v>0</v>
      </c>
      <c r="E185" t="s">
        <v>57</v>
      </c>
      <c r="F185" s="2">
        <v>328</v>
      </c>
      <c r="G185" t="s">
        <v>39</v>
      </c>
      <c r="H185">
        <v>1</v>
      </c>
      <c r="I185">
        <v>3</v>
      </c>
      <c r="J185" t="str">
        <f t="shared" si="5"/>
        <v>Bachelor</v>
      </c>
      <c r="K185" t="s">
        <v>45</v>
      </c>
      <c r="L185">
        <v>3</v>
      </c>
      <c r="M185" t="s">
        <v>40</v>
      </c>
      <c r="N185" s="2">
        <v>86</v>
      </c>
      <c r="O185">
        <v>2</v>
      </c>
      <c r="P185">
        <v>1</v>
      </c>
      <c r="Q185" t="s">
        <v>44</v>
      </c>
      <c r="R185">
        <v>3</v>
      </c>
      <c r="S185" t="s">
        <v>42</v>
      </c>
      <c r="T185" s="2">
        <v>3690</v>
      </c>
      <c r="U185" s="2">
        <v>3425</v>
      </c>
      <c r="V185">
        <v>2</v>
      </c>
      <c r="W185" t="s">
        <v>38</v>
      </c>
      <c r="X185">
        <v>15</v>
      </c>
      <c r="Y185">
        <v>3</v>
      </c>
      <c r="Z185">
        <v>4</v>
      </c>
      <c r="AA185">
        <v>80</v>
      </c>
      <c r="AB185">
        <v>1</v>
      </c>
      <c r="AC185">
        <v>5</v>
      </c>
      <c r="AD185">
        <v>2</v>
      </c>
      <c r="AE185">
        <v>2</v>
      </c>
      <c r="AF185">
        <v>3</v>
      </c>
      <c r="AG185">
        <v>2</v>
      </c>
      <c r="AH185">
        <v>0</v>
      </c>
      <c r="AI185">
        <v>2</v>
      </c>
    </row>
    <row r="186" spans="1:35" x14ac:dyDescent="0.25">
      <c r="A186">
        <v>53</v>
      </c>
      <c r="B186" t="str">
        <f t="shared" si="4"/>
        <v>45-54</v>
      </c>
      <c r="C186" s="1" t="s">
        <v>38</v>
      </c>
      <c r="D186" s="17">
        <f>IF(Table1[[#This Row],[Attrition]]="Yes",1,0)</f>
        <v>0</v>
      </c>
      <c r="E186" t="s">
        <v>57</v>
      </c>
      <c r="F186" s="2">
        <v>1084</v>
      </c>
      <c r="G186" t="s">
        <v>39</v>
      </c>
      <c r="H186">
        <v>13</v>
      </c>
      <c r="I186">
        <v>2</v>
      </c>
      <c r="J186" t="str">
        <f t="shared" si="5"/>
        <v>College</v>
      </c>
      <c r="K186" t="s">
        <v>45</v>
      </c>
      <c r="L186">
        <v>4</v>
      </c>
      <c r="M186" t="s">
        <v>35</v>
      </c>
      <c r="N186" s="2">
        <v>57</v>
      </c>
      <c r="O186">
        <v>4</v>
      </c>
      <c r="P186">
        <v>2</v>
      </c>
      <c r="Q186" t="s">
        <v>47</v>
      </c>
      <c r="R186">
        <v>1</v>
      </c>
      <c r="S186" t="s">
        <v>46</v>
      </c>
      <c r="T186" s="2">
        <v>4450</v>
      </c>
      <c r="U186" s="2">
        <v>26250</v>
      </c>
      <c r="V186">
        <v>1</v>
      </c>
      <c r="W186" t="s">
        <v>38</v>
      </c>
      <c r="X186">
        <v>11</v>
      </c>
      <c r="Y186">
        <v>3</v>
      </c>
      <c r="Z186">
        <v>3</v>
      </c>
      <c r="AA186">
        <v>80</v>
      </c>
      <c r="AB186">
        <v>2</v>
      </c>
      <c r="AC186">
        <v>5</v>
      </c>
      <c r="AD186">
        <v>3</v>
      </c>
      <c r="AE186">
        <v>3</v>
      </c>
      <c r="AF186">
        <v>4</v>
      </c>
      <c r="AG186">
        <v>2</v>
      </c>
      <c r="AH186">
        <v>1</v>
      </c>
      <c r="AI186">
        <v>3</v>
      </c>
    </row>
    <row r="187" spans="1:35" x14ac:dyDescent="0.25">
      <c r="A187">
        <v>33</v>
      </c>
      <c r="B187" t="str">
        <f t="shared" si="4"/>
        <v>25-34</v>
      </c>
      <c r="C187" s="1" t="s">
        <v>38</v>
      </c>
      <c r="D187" s="17">
        <f>IF(Table1[[#This Row],[Attrition]]="Yes",1,0)</f>
        <v>0</v>
      </c>
      <c r="E187" t="s">
        <v>57</v>
      </c>
      <c r="F187" s="2">
        <v>931</v>
      </c>
      <c r="G187" t="s">
        <v>39</v>
      </c>
      <c r="H187">
        <v>14</v>
      </c>
      <c r="I187">
        <v>3</v>
      </c>
      <c r="J187" t="str">
        <f t="shared" si="5"/>
        <v>Bachelor</v>
      </c>
      <c r="K187" t="s">
        <v>45</v>
      </c>
      <c r="L187">
        <v>4</v>
      </c>
      <c r="M187" t="s">
        <v>35</v>
      </c>
      <c r="N187" s="2">
        <v>72</v>
      </c>
      <c r="O187">
        <v>3</v>
      </c>
      <c r="P187">
        <v>1</v>
      </c>
      <c r="Q187" t="s">
        <v>41</v>
      </c>
      <c r="R187">
        <v>2</v>
      </c>
      <c r="S187" t="s">
        <v>42</v>
      </c>
      <c r="T187" s="2">
        <v>2756</v>
      </c>
      <c r="U187" s="2">
        <v>4673</v>
      </c>
      <c r="V187">
        <v>1</v>
      </c>
      <c r="W187" t="s">
        <v>38</v>
      </c>
      <c r="X187">
        <v>13</v>
      </c>
      <c r="Y187">
        <v>3</v>
      </c>
      <c r="Z187">
        <v>4</v>
      </c>
      <c r="AA187">
        <v>80</v>
      </c>
      <c r="AB187">
        <v>1</v>
      </c>
      <c r="AC187">
        <v>8</v>
      </c>
      <c r="AD187">
        <v>5</v>
      </c>
      <c r="AE187">
        <v>3</v>
      </c>
      <c r="AF187">
        <v>8</v>
      </c>
      <c r="AG187">
        <v>7</v>
      </c>
      <c r="AH187">
        <v>1</v>
      </c>
      <c r="AI187">
        <v>6</v>
      </c>
    </row>
    <row r="188" spans="1:35" x14ac:dyDescent="0.25">
      <c r="A188">
        <v>40</v>
      </c>
      <c r="B188" t="str">
        <f t="shared" si="4"/>
        <v>35-44</v>
      </c>
      <c r="C188" s="1" t="s">
        <v>38</v>
      </c>
      <c r="D188" s="17">
        <f>IF(Table1[[#This Row],[Attrition]]="Yes",1,0)</f>
        <v>0</v>
      </c>
      <c r="E188" t="s">
        <v>57</v>
      </c>
      <c r="F188" s="2">
        <v>989</v>
      </c>
      <c r="G188" t="s">
        <v>39</v>
      </c>
      <c r="H188">
        <v>4</v>
      </c>
      <c r="I188">
        <v>1</v>
      </c>
      <c r="J188" t="str">
        <f t="shared" si="5"/>
        <v>Below College</v>
      </c>
      <c r="K188" t="s">
        <v>45</v>
      </c>
      <c r="L188">
        <v>4</v>
      </c>
      <c r="M188" t="s">
        <v>35</v>
      </c>
      <c r="N188" s="2">
        <v>46</v>
      </c>
      <c r="O188">
        <v>3</v>
      </c>
      <c r="P188">
        <v>5</v>
      </c>
      <c r="Q188" t="s">
        <v>50</v>
      </c>
      <c r="R188">
        <v>3</v>
      </c>
      <c r="S188" t="s">
        <v>42</v>
      </c>
      <c r="T188" s="2">
        <v>19033</v>
      </c>
      <c r="U188" s="2">
        <v>6499</v>
      </c>
      <c r="V188">
        <v>1</v>
      </c>
      <c r="W188" t="s">
        <v>38</v>
      </c>
      <c r="X188">
        <v>14</v>
      </c>
      <c r="Y188">
        <v>3</v>
      </c>
      <c r="Z188">
        <v>2</v>
      </c>
      <c r="AA188">
        <v>80</v>
      </c>
      <c r="AB188">
        <v>1</v>
      </c>
      <c r="AC188">
        <v>21</v>
      </c>
      <c r="AD188">
        <v>2</v>
      </c>
      <c r="AE188">
        <v>3</v>
      </c>
      <c r="AF188">
        <v>20</v>
      </c>
      <c r="AG188">
        <v>8</v>
      </c>
      <c r="AH188">
        <v>9</v>
      </c>
      <c r="AI188">
        <v>9</v>
      </c>
    </row>
    <row r="189" spans="1:35" x14ac:dyDescent="0.25">
      <c r="A189">
        <v>55</v>
      </c>
      <c r="B189" t="str">
        <f t="shared" si="4"/>
        <v>55-64</v>
      </c>
      <c r="C189" s="1" t="s">
        <v>38</v>
      </c>
      <c r="D189" s="17">
        <f>IF(Table1[[#This Row],[Attrition]]="Yes",1,0)</f>
        <v>0</v>
      </c>
      <c r="E189" t="s">
        <v>57</v>
      </c>
      <c r="F189" s="2">
        <v>692</v>
      </c>
      <c r="G189" t="s">
        <v>39</v>
      </c>
      <c r="H189">
        <v>14</v>
      </c>
      <c r="I189">
        <v>4</v>
      </c>
      <c r="J189" t="str">
        <f t="shared" si="5"/>
        <v>Master</v>
      </c>
      <c r="K189" t="s">
        <v>45</v>
      </c>
      <c r="L189">
        <v>3</v>
      </c>
      <c r="M189" t="s">
        <v>40</v>
      </c>
      <c r="N189" s="2">
        <v>61</v>
      </c>
      <c r="O189">
        <v>4</v>
      </c>
      <c r="P189">
        <v>5</v>
      </c>
      <c r="Q189" t="s">
        <v>52</v>
      </c>
      <c r="R189">
        <v>2</v>
      </c>
      <c r="S189" t="s">
        <v>37</v>
      </c>
      <c r="T189" s="2">
        <v>18722</v>
      </c>
      <c r="U189" s="2">
        <v>13339</v>
      </c>
      <c r="V189">
        <v>8</v>
      </c>
      <c r="W189" t="s">
        <v>38</v>
      </c>
      <c r="X189">
        <v>11</v>
      </c>
      <c r="Y189">
        <v>3</v>
      </c>
      <c r="Z189">
        <v>4</v>
      </c>
      <c r="AA189">
        <v>80</v>
      </c>
      <c r="AB189">
        <v>0</v>
      </c>
      <c r="AC189">
        <v>36</v>
      </c>
      <c r="AD189">
        <v>3</v>
      </c>
      <c r="AE189">
        <v>3</v>
      </c>
      <c r="AF189">
        <v>24</v>
      </c>
      <c r="AG189">
        <v>15</v>
      </c>
      <c r="AH189">
        <v>2</v>
      </c>
      <c r="AI189">
        <v>15</v>
      </c>
    </row>
    <row r="190" spans="1:35" x14ac:dyDescent="0.25">
      <c r="A190">
        <v>34</v>
      </c>
      <c r="B190" t="str">
        <f t="shared" si="4"/>
        <v>25-34</v>
      </c>
      <c r="C190" s="1" t="s">
        <v>38</v>
      </c>
      <c r="D190" s="17">
        <f>IF(Table1[[#This Row],[Attrition]]="Yes",1,0)</f>
        <v>0</v>
      </c>
      <c r="E190" t="s">
        <v>58</v>
      </c>
      <c r="F190" s="2">
        <v>1069</v>
      </c>
      <c r="G190" t="s">
        <v>39</v>
      </c>
      <c r="H190">
        <v>2</v>
      </c>
      <c r="I190">
        <v>1</v>
      </c>
      <c r="J190" t="str">
        <f t="shared" si="5"/>
        <v>Below College</v>
      </c>
      <c r="K190" t="s">
        <v>34</v>
      </c>
      <c r="L190">
        <v>4</v>
      </c>
      <c r="M190" t="s">
        <v>40</v>
      </c>
      <c r="N190" s="2">
        <v>45</v>
      </c>
      <c r="O190">
        <v>2</v>
      </c>
      <c r="P190">
        <v>2</v>
      </c>
      <c r="Q190" t="s">
        <v>47</v>
      </c>
      <c r="R190">
        <v>3</v>
      </c>
      <c r="S190" t="s">
        <v>42</v>
      </c>
      <c r="T190" s="2">
        <v>9547</v>
      </c>
      <c r="U190" s="2">
        <v>14074</v>
      </c>
      <c r="V190">
        <v>1</v>
      </c>
      <c r="W190" t="s">
        <v>38</v>
      </c>
      <c r="X190">
        <v>17</v>
      </c>
      <c r="Y190">
        <v>3</v>
      </c>
      <c r="Z190">
        <v>3</v>
      </c>
      <c r="AA190">
        <v>80</v>
      </c>
      <c r="AB190">
        <v>0</v>
      </c>
      <c r="AC190">
        <v>10</v>
      </c>
      <c r="AD190">
        <v>2</v>
      </c>
      <c r="AE190">
        <v>2</v>
      </c>
      <c r="AF190">
        <v>10</v>
      </c>
      <c r="AG190">
        <v>9</v>
      </c>
      <c r="AH190">
        <v>1</v>
      </c>
      <c r="AI190">
        <v>9</v>
      </c>
    </row>
    <row r="191" spans="1:35" x14ac:dyDescent="0.25">
      <c r="A191">
        <v>51</v>
      </c>
      <c r="B191" t="str">
        <f t="shared" si="4"/>
        <v>45-54</v>
      </c>
      <c r="C191" s="1" t="s">
        <v>38</v>
      </c>
      <c r="D191" s="17">
        <f>IF(Table1[[#This Row],[Attrition]]="Yes",1,0)</f>
        <v>0</v>
      </c>
      <c r="E191" t="s">
        <v>57</v>
      </c>
      <c r="F191" s="2">
        <v>313</v>
      </c>
      <c r="G191" t="s">
        <v>39</v>
      </c>
      <c r="H191">
        <v>3</v>
      </c>
      <c r="I191">
        <v>3</v>
      </c>
      <c r="J191" t="str">
        <f t="shared" si="5"/>
        <v>Bachelor</v>
      </c>
      <c r="K191" t="s">
        <v>45</v>
      </c>
      <c r="L191">
        <v>4</v>
      </c>
      <c r="M191" t="s">
        <v>35</v>
      </c>
      <c r="N191" s="2">
        <v>98</v>
      </c>
      <c r="O191">
        <v>3</v>
      </c>
      <c r="P191">
        <v>4</v>
      </c>
      <c r="Q191" t="s">
        <v>48</v>
      </c>
      <c r="R191">
        <v>2</v>
      </c>
      <c r="S191" t="s">
        <v>37</v>
      </c>
      <c r="T191" s="2">
        <v>13734</v>
      </c>
      <c r="U191" s="2">
        <v>7192</v>
      </c>
      <c r="V191">
        <v>3</v>
      </c>
      <c r="W191" t="s">
        <v>38</v>
      </c>
      <c r="X191">
        <v>18</v>
      </c>
      <c r="Y191">
        <v>3</v>
      </c>
      <c r="Z191">
        <v>3</v>
      </c>
      <c r="AA191">
        <v>80</v>
      </c>
      <c r="AB191">
        <v>0</v>
      </c>
      <c r="AC191">
        <v>21</v>
      </c>
      <c r="AD191">
        <v>6</v>
      </c>
      <c r="AE191">
        <v>3</v>
      </c>
      <c r="AF191">
        <v>7</v>
      </c>
      <c r="AG191">
        <v>7</v>
      </c>
      <c r="AH191">
        <v>1</v>
      </c>
      <c r="AI191">
        <v>0</v>
      </c>
    </row>
    <row r="192" spans="1:35" x14ac:dyDescent="0.25">
      <c r="A192">
        <v>52</v>
      </c>
      <c r="B192" t="str">
        <f t="shared" si="4"/>
        <v>45-54</v>
      </c>
      <c r="C192" s="1" t="s">
        <v>38</v>
      </c>
      <c r="D192" s="17">
        <f>IF(Table1[[#This Row],[Attrition]]="Yes",1,0)</f>
        <v>0</v>
      </c>
      <c r="E192" t="s">
        <v>57</v>
      </c>
      <c r="F192" s="2">
        <v>699</v>
      </c>
      <c r="G192" t="s">
        <v>39</v>
      </c>
      <c r="H192">
        <v>1</v>
      </c>
      <c r="I192">
        <v>4</v>
      </c>
      <c r="J192" t="str">
        <f t="shared" si="5"/>
        <v>Master</v>
      </c>
      <c r="K192" t="s">
        <v>34</v>
      </c>
      <c r="L192">
        <v>3</v>
      </c>
      <c r="M192" t="s">
        <v>40</v>
      </c>
      <c r="N192" s="2">
        <v>65</v>
      </c>
      <c r="O192">
        <v>2</v>
      </c>
      <c r="P192">
        <v>5</v>
      </c>
      <c r="Q192" t="s">
        <v>50</v>
      </c>
      <c r="R192">
        <v>3</v>
      </c>
      <c r="S192" t="s">
        <v>42</v>
      </c>
      <c r="T192" s="2">
        <v>19999</v>
      </c>
      <c r="U192" s="2">
        <v>5678</v>
      </c>
      <c r="V192">
        <v>0</v>
      </c>
      <c r="W192" t="s">
        <v>38</v>
      </c>
      <c r="X192">
        <v>14</v>
      </c>
      <c r="Y192">
        <v>3</v>
      </c>
      <c r="Z192">
        <v>1</v>
      </c>
      <c r="AA192">
        <v>80</v>
      </c>
      <c r="AB192">
        <v>1</v>
      </c>
      <c r="AC192">
        <v>34</v>
      </c>
      <c r="AD192">
        <v>5</v>
      </c>
      <c r="AE192">
        <v>3</v>
      </c>
      <c r="AF192">
        <v>33</v>
      </c>
      <c r="AG192">
        <v>18</v>
      </c>
      <c r="AH192">
        <v>11</v>
      </c>
      <c r="AI192">
        <v>9</v>
      </c>
    </row>
    <row r="193" spans="1:35" x14ac:dyDescent="0.25">
      <c r="A193">
        <v>27</v>
      </c>
      <c r="B193" t="str">
        <f t="shared" si="4"/>
        <v>25-34</v>
      </c>
      <c r="C193" s="1" t="s">
        <v>38</v>
      </c>
      <c r="D193" s="17">
        <f>IF(Table1[[#This Row],[Attrition]]="Yes",1,0)</f>
        <v>0</v>
      </c>
      <c r="E193" t="s">
        <v>57</v>
      </c>
      <c r="F193" s="2">
        <v>894</v>
      </c>
      <c r="G193" t="s">
        <v>39</v>
      </c>
      <c r="H193">
        <v>9</v>
      </c>
      <c r="I193">
        <v>3</v>
      </c>
      <c r="J193" t="str">
        <f t="shared" si="5"/>
        <v>Bachelor</v>
      </c>
      <c r="K193" t="s">
        <v>45</v>
      </c>
      <c r="L193">
        <v>4</v>
      </c>
      <c r="M193" t="s">
        <v>35</v>
      </c>
      <c r="N193" s="2">
        <v>99</v>
      </c>
      <c r="O193">
        <v>3</v>
      </c>
      <c r="P193">
        <v>1</v>
      </c>
      <c r="Q193" t="s">
        <v>41</v>
      </c>
      <c r="R193">
        <v>2</v>
      </c>
      <c r="S193" t="s">
        <v>37</v>
      </c>
      <c r="T193" s="2">
        <v>2279</v>
      </c>
      <c r="U193" s="2">
        <v>11781</v>
      </c>
      <c r="V193">
        <v>1</v>
      </c>
      <c r="W193" t="s">
        <v>38</v>
      </c>
      <c r="X193">
        <v>16</v>
      </c>
      <c r="Y193">
        <v>3</v>
      </c>
      <c r="Z193">
        <v>4</v>
      </c>
      <c r="AA193">
        <v>80</v>
      </c>
      <c r="AB193">
        <v>0</v>
      </c>
      <c r="AC193">
        <v>7</v>
      </c>
      <c r="AD193">
        <v>2</v>
      </c>
      <c r="AE193">
        <v>2</v>
      </c>
      <c r="AF193">
        <v>7</v>
      </c>
      <c r="AG193">
        <v>7</v>
      </c>
      <c r="AH193">
        <v>0</v>
      </c>
      <c r="AI193">
        <v>3</v>
      </c>
    </row>
    <row r="194" spans="1:35" x14ac:dyDescent="0.25">
      <c r="A194">
        <v>35</v>
      </c>
      <c r="B194" t="str">
        <f t="shared" ref="B194:B257" si="6">IF(A194="","",IF(A194&lt;25,"18-24",
 IF(A194&lt;35,"25-34",
 IF(A194&lt;45,"35-44",
 IF(A194&lt;55,"45-54",
 IF(A194&lt;65,"55-64","65+"))))))</f>
        <v>35-44</v>
      </c>
      <c r="C194" s="1" t="s">
        <v>32</v>
      </c>
      <c r="D194" s="17">
        <f>IF(Table1[[#This Row],[Attrition]]="Yes",1,0)</f>
        <v>1</v>
      </c>
      <c r="E194" t="s">
        <v>57</v>
      </c>
      <c r="F194" s="2">
        <v>556</v>
      </c>
      <c r="G194" t="s">
        <v>39</v>
      </c>
      <c r="H194">
        <v>23</v>
      </c>
      <c r="I194">
        <v>2</v>
      </c>
      <c r="J194" t="str">
        <f t="shared" ref="J194:J257" si="7">CHOOSE(I194,"Below College","College","Bachelor","Master","Doctor")</f>
        <v>College</v>
      </c>
      <c r="K194" t="s">
        <v>34</v>
      </c>
      <c r="L194">
        <v>2</v>
      </c>
      <c r="M194" t="s">
        <v>40</v>
      </c>
      <c r="N194" s="2">
        <v>50</v>
      </c>
      <c r="O194">
        <v>2</v>
      </c>
      <c r="P194">
        <v>2</v>
      </c>
      <c r="Q194" t="s">
        <v>47</v>
      </c>
      <c r="R194">
        <v>3</v>
      </c>
      <c r="S194" t="s">
        <v>42</v>
      </c>
      <c r="T194" s="2">
        <v>5916</v>
      </c>
      <c r="U194" s="2">
        <v>15497</v>
      </c>
      <c r="V194">
        <v>3</v>
      </c>
      <c r="W194" t="s">
        <v>32</v>
      </c>
      <c r="X194">
        <v>13</v>
      </c>
      <c r="Y194">
        <v>3</v>
      </c>
      <c r="Z194">
        <v>1</v>
      </c>
      <c r="AA194">
        <v>80</v>
      </c>
      <c r="AB194">
        <v>0</v>
      </c>
      <c r="AC194">
        <v>8</v>
      </c>
      <c r="AD194">
        <v>1</v>
      </c>
      <c r="AE194">
        <v>3</v>
      </c>
      <c r="AF194">
        <v>1</v>
      </c>
      <c r="AG194">
        <v>0</v>
      </c>
      <c r="AH194">
        <v>0</v>
      </c>
      <c r="AI194">
        <v>1</v>
      </c>
    </row>
    <row r="195" spans="1:35" x14ac:dyDescent="0.25">
      <c r="A195">
        <v>43</v>
      </c>
      <c r="B195" t="str">
        <f t="shared" si="6"/>
        <v>35-44</v>
      </c>
      <c r="C195" s="1" t="s">
        <v>38</v>
      </c>
      <c r="D195" s="17">
        <f>IF(Table1[[#This Row],[Attrition]]="Yes",1,0)</f>
        <v>0</v>
      </c>
      <c r="E195" t="s">
        <v>49</v>
      </c>
      <c r="F195" s="2">
        <v>1344</v>
      </c>
      <c r="G195" t="s">
        <v>39</v>
      </c>
      <c r="H195">
        <v>7</v>
      </c>
      <c r="I195">
        <v>3</v>
      </c>
      <c r="J195" t="str">
        <f t="shared" si="7"/>
        <v>Bachelor</v>
      </c>
      <c r="K195" t="s">
        <v>45</v>
      </c>
      <c r="L195">
        <v>4</v>
      </c>
      <c r="M195" t="s">
        <v>40</v>
      </c>
      <c r="N195" s="2">
        <v>37</v>
      </c>
      <c r="O195">
        <v>4</v>
      </c>
      <c r="P195">
        <v>1</v>
      </c>
      <c r="Q195" t="s">
        <v>41</v>
      </c>
      <c r="R195">
        <v>4</v>
      </c>
      <c r="S195" t="s">
        <v>46</v>
      </c>
      <c r="T195" s="2">
        <v>2089</v>
      </c>
      <c r="U195" s="2">
        <v>5228</v>
      </c>
      <c r="V195">
        <v>4</v>
      </c>
      <c r="W195" t="s">
        <v>38</v>
      </c>
      <c r="X195">
        <v>14</v>
      </c>
      <c r="Y195">
        <v>3</v>
      </c>
      <c r="Z195">
        <v>4</v>
      </c>
      <c r="AA195">
        <v>80</v>
      </c>
      <c r="AB195">
        <v>3</v>
      </c>
      <c r="AC195">
        <v>7</v>
      </c>
      <c r="AD195">
        <v>3</v>
      </c>
      <c r="AE195">
        <v>4</v>
      </c>
      <c r="AF195">
        <v>5</v>
      </c>
      <c r="AG195">
        <v>4</v>
      </c>
      <c r="AH195">
        <v>2</v>
      </c>
      <c r="AI195">
        <v>2</v>
      </c>
    </row>
    <row r="196" spans="1:35" x14ac:dyDescent="0.25">
      <c r="A196">
        <v>45</v>
      </c>
      <c r="B196" t="str">
        <f t="shared" si="6"/>
        <v>45-54</v>
      </c>
      <c r="C196" s="1" t="s">
        <v>38</v>
      </c>
      <c r="D196" s="17">
        <f>IF(Table1[[#This Row],[Attrition]]="Yes",1,0)</f>
        <v>0</v>
      </c>
      <c r="E196" t="s">
        <v>49</v>
      </c>
      <c r="F196" s="2">
        <v>1195</v>
      </c>
      <c r="G196" t="s">
        <v>39</v>
      </c>
      <c r="H196">
        <v>2</v>
      </c>
      <c r="I196">
        <v>2</v>
      </c>
      <c r="J196" t="str">
        <f t="shared" si="7"/>
        <v>College</v>
      </c>
      <c r="K196" t="s">
        <v>45</v>
      </c>
      <c r="L196">
        <v>1</v>
      </c>
      <c r="M196" t="s">
        <v>40</v>
      </c>
      <c r="N196" s="2">
        <v>65</v>
      </c>
      <c r="O196">
        <v>2</v>
      </c>
      <c r="P196">
        <v>4</v>
      </c>
      <c r="Q196" t="s">
        <v>50</v>
      </c>
      <c r="R196">
        <v>4</v>
      </c>
      <c r="S196" t="s">
        <v>42</v>
      </c>
      <c r="T196" s="2">
        <v>16792</v>
      </c>
      <c r="U196" s="2">
        <v>20462</v>
      </c>
      <c r="V196">
        <v>9</v>
      </c>
      <c r="W196" t="s">
        <v>38</v>
      </c>
      <c r="X196">
        <v>23</v>
      </c>
      <c r="Y196">
        <v>4</v>
      </c>
      <c r="Z196">
        <v>4</v>
      </c>
      <c r="AA196">
        <v>80</v>
      </c>
      <c r="AB196">
        <v>1</v>
      </c>
      <c r="AC196">
        <v>22</v>
      </c>
      <c r="AD196">
        <v>1</v>
      </c>
      <c r="AE196">
        <v>3</v>
      </c>
      <c r="AF196">
        <v>20</v>
      </c>
      <c r="AG196">
        <v>8</v>
      </c>
      <c r="AH196">
        <v>11</v>
      </c>
      <c r="AI196">
        <v>8</v>
      </c>
    </row>
    <row r="197" spans="1:35" x14ac:dyDescent="0.25">
      <c r="A197">
        <v>37</v>
      </c>
      <c r="B197" t="str">
        <f t="shared" si="6"/>
        <v>35-44</v>
      </c>
      <c r="C197" s="1" t="s">
        <v>38</v>
      </c>
      <c r="D197" s="17">
        <f>IF(Table1[[#This Row],[Attrition]]="Yes",1,0)</f>
        <v>0</v>
      </c>
      <c r="E197" t="s">
        <v>57</v>
      </c>
      <c r="F197" s="2">
        <v>290</v>
      </c>
      <c r="G197" t="s">
        <v>39</v>
      </c>
      <c r="H197">
        <v>21</v>
      </c>
      <c r="I197">
        <v>3</v>
      </c>
      <c r="J197" t="str">
        <f t="shared" si="7"/>
        <v>Bachelor</v>
      </c>
      <c r="K197" t="s">
        <v>34</v>
      </c>
      <c r="L197">
        <v>2</v>
      </c>
      <c r="M197" t="s">
        <v>40</v>
      </c>
      <c r="N197" s="2">
        <v>65</v>
      </c>
      <c r="O197">
        <v>4</v>
      </c>
      <c r="P197">
        <v>1</v>
      </c>
      <c r="Q197" t="s">
        <v>41</v>
      </c>
      <c r="R197">
        <v>1</v>
      </c>
      <c r="S197" t="s">
        <v>42</v>
      </c>
      <c r="T197" s="2">
        <v>3564</v>
      </c>
      <c r="U197" s="2">
        <v>22977</v>
      </c>
      <c r="V197">
        <v>1</v>
      </c>
      <c r="W197" t="s">
        <v>32</v>
      </c>
      <c r="X197">
        <v>12</v>
      </c>
      <c r="Y197">
        <v>3</v>
      </c>
      <c r="Z197">
        <v>1</v>
      </c>
      <c r="AA197">
        <v>80</v>
      </c>
      <c r="AB197">
        <v>1</v>
      </c>
      <c r="AC197">
        <v>8</v>
      </c>
      <c r="AD197">
        <v>3</v>
      </c>
      <c r="AE197">
        <v>2</v>
      </c>
      <c r="AF197">
        <v>8</v>
      </c>
      <c r="AG197">
        <v>7</v>
      </c>
      <c r="AH197">
        <v>1</v>
      </c>
      <c r="AI197">
        <v>7</v>
      </c>
    </row>
    <row r="198" spans="1:35" x14ac:dyDescent="0.25">
      <c r="A198">
        <v>35</v>
      </c>
      <c r="B198" t="str">
        <f t="shared" si="6"/>
        <v>35-44</v>
      </c>
      <c r="C198" s="1" t="s">
        <v>38</v>
      </c>
      <c r="D198" s="17">
        <f>IF(Table1[[#This Row],[Attrition]]="Yes",1,0)</f>
        <v>0</v>
      </c>
      <c r="E198" t="s">
        <v>58</v>
      </c>
      <c r="F198" s="2">
        <v>138</v>
      </c>
      <c r="G198" t="s">
        <v>39</v>
      </c>
      <c r="H198">
        <v>2</v>
      </c>
      <c r="I198">
        <v>3</v>
      </c>
      <c r="J198" t="str">
        <f t="shared" si="7"/>
        <v>Bachelor</v>
      </c>
      <c r="K198" t="s">
        <v>45</v>
      </c>
      <c r="L198">
        <v>2</v>
      </c>
      <c r="M198" t="s">
        <v>35</v>
      </c>
      <c r="N198" s="2">
        <v>37</v>
      </c>
      <c r="O198">
        <v>3</v>
      </c>
      <c r="P198">
        <v>2</v>
      </c>
      <c r="Q198" t="s">
        <v>44</v>
      </c>
      <c r="R198">
        <v>2</v>
      </c>
      <c r="S198" t="s">
        <v>37</v>
      </c>
      <c r="T198" s="2">
        <v>4425</v>
      </c>
      <c r="U198" s="2">
        <v>15986</v>
      </c>
      <c r="V198">
        <v>5</v>
      </c>
      <c r="W198" t="s">
        <v>38</v>
      </c>
      <c r="X198">
        <v>11</v>
      </c>
      <c r="Y198">
        <v>3</v>
      </c>
      <c r="Z198">
        <v>4</v>
      </c>
      <c r="AA198">
        <v>80</v>
      </c>
      <c r="AB198">
        <v>0</v>
      </c>
      <c r="AC198">
        <v>10</v>
      </c>
      <c r="AD198">
        <v>5</v>
      </c>
      <c r="AE198">
        <v>3</v>
      </c>
      <c r="AF198">
        <v>6</v>
      </c>
      <c r="AG198">
        <v>2</v>
      </c>
      <c r="AH198">
        <v>1</v>
      </c>
      <c r="AI198">
        <v>2</v>
      </c>
    </row>
    <row r="199" spans="1:35" x14ac:dyDescent="0.25">
      <c r="A199">
        <v>42</v>
      </c>
      <c r="B199" t="str">
        <f t="shared" si="6"/>
        <v>35-44</v>
      </c>
      <c r="C199" s="1" t="s">
        <v>38</v>
      </c>
      <c r="D199" s="17">
        <f>IF(Table1[[#This Row],[Attrition]]="Yes",1,0)</f>
        <v>0</v>
      </c>
      <c r="E199" t="s">
        <v>49</v>
      </c>
      <c r="F199" s="2">
        <v>926</v>
      </c>
      <c r="G199" t="s">
        <v>39</v>
      </c>
      <c r="H199">
        <v>21</v>
      </c>
      <c r="I199">
        <v>2</v>
      </c>
      <c r="J199" t="str">
        <f t="shared" si="7"/>
        <v>College</v>
      </c>
      <c r="K199" t="s">
        <v>45</v>
      </c>
      <c r="L199">
        <v>3</v>
      </c>
      <c r="M199" t="s">
        <v>35</v>
      </c>
      <c r="N199" s="2">
        <v>36</v>
      </c>
      <c r="O199">
        <v>3</v>
      </c>
      <c r="P199">
        <v>2</v>
      </c>
      <c r="Q199" t="s">
        <v>47</v>
      </c>
      <c r="R199">
        <v>3</v>
      </c>
      <c r="S199" t="s">
        <v>46</v>
      </c>
      <c r="T199" s="2">
        <v>5265</v>
      </c>
      <c r="U199" s="2">
        <v>16439</v>
      </c>
      <c r="V199">
        <v>2</v>
      </c>
      <c r="W199" t="s">
        <v>38</v>
      </c>
      <c r="X199">
        <v>16</v>
      </c>
      <c r="Y199">
        <v>3</v>
      </c>
      <c r="Z199">
        <v>2</v>
      </c>
      <c r="AA199">
        <v>80</v>
      </c>
      <c r="AB199">
        <v>1</v>
      </c>
      <c r="AC199">
        <v>11</v>
      </c>
      <c r="AD199">
        <v>5</v>
      </c>
      <c r="AE199">
        <v>3</v>
      </c>
      <c r="AF199">
        <v>5</v>
      </c>
      <c r="AG199">
        <v>3</v>
      </c>
      <c r="AH199">
        <v>0</v>
      </c>
      <c r="AI199">
        <v>2</v>
      </c>
    </row>
    <row r="200" spans="1:35" x14ac:dyDescent="0.25">
      <c r="A200">
        <v>38</v>
      </c>
      <c r="B200" t="str">
        <f t="shared" si="6"/>
        <v>35-44</v>
      </c>
      <c r="C200" s="1" t="s">
        <v>38</v>
      </c>
      <c r="D200" s="17">
        <f>IF(Table1[[#This Row],[Attrition]]="Yes",1,0)</f>
        <v>0</v>
      </c>
      <c r="E200" t="s">
        <v>57</v>
      </c>
      <c r="F200" s="2">
        <v>1261</v>
      </c>
      <c r="G200" t="s">
        <v>39</v>
      </c>
      <c r="H200">
        <v>2</v>
      </c>
      <c r="I200">
        <v>4</v>
      </c>
      <c r="J200" t="str">
        <f t="shared" si="7"/>
        <v>Master</v>
      </c>
      <c r="K200" t="s">
        <v>34</v>
      </c>
      <c r="L200">
        <v>4</v>
      </c>
      <c r="M200" t="s">
        <v>40</v>
      </c>
      <c r="N200" s="2">
        <v>88</v>
      </c>
      <c r="O200">
        <v>3</v>
      </c>
      <c r="P200">
        <v>2</v>
      </c>
      <c r="Q200" t="s">
        <v>47</v>
      </c>
      <c r="R200">
        <v>3</v>
      </c>
      <c r="S200" t="s">
        <v>42</v>
      </c>
      <c r="T200" s="2">
        <v>6553</v>
      </c>
      <c r="U200" s="2">
        <v>7259</v>
      </c>
      <c r="V200">
        <v>9</v>
      </c>
      <c r="W200" t="s">
        <v>38</v>
      </c>
      <c r="X200">
        <v>14</v>
      </c>
      <c r="Y200">
        <v>3</v>
      </c>
      <c r="Z200">
        <v>2</v>
      </c>
      <c r="AA200">
        <v>80</v>
      </c>
      <c r="AB200">
        <v>0</v>
      </c>
      <c r="AC200">
        <v>14</v>
      </c>
      <c r="AD200">
        <v>3</v>
      </c>
      <c r="AE200">
        <v>3</v>
      </c>
      <c r="AF200">
        <v>1</v>
      </c>
      <c r="AG200">
        <v>0</v>
      </c>
      <c r="AH200">
        <v>0</v>
      </c>
      <c r="AI200">
        <v>0</v>
      </c>
    </row>
    <row r="201" spans="1:35" x14ac:dyDescent="0.25">
      <c r="A201">
        <v>38</v>
      </c>
      <c r="B201" t="str">
        <f t="shared" si="6"/>
        <v>35-44</v>
      </c>
      <c r="C201" s="1" t="s">
        <v>38</v>
      </c>
      <c r="D201" s="17">
        <f>IF(Table1[[#This Row],[Attrition]]="Yes",1,0)</f>
        <v>0</v>
      </c>
      <c r="E201" t="s">
        <v>57</v>
      </c>
      <c r="F201" s="2">
        <v>1084</v>
      </c>
      <c r="G201" t="s">
        <v>39</v>
      </c>
      <c r="H201">
        <v>29</v>
      </c>
      <c r="I201">
        <v>3</v>
      </c>
      <c r="J201" t="str">
        <f t="shared" si="7"/>
        <v>Bachelor</v>
      </c>
      <c r="K201" t="s">
        <v>54</v>
      </c>
      <c r="L201">
        <v>4</v>
      </c>
      <c r="M201" t="s">
        <v>40</v>
      </c>
      <c r="N201" s="2">
        <v>54</v>
      </c>
      <c r="O201">
        <v>3</v>
      </c>
      <c r="P201">
        <v>2</v>
      </c>
      <c r="Q201" t="s">
        <v>47</v>
      </c>
      <c r="R201">
        <v>4</v>
      </c>
      <c r="S201" t="s">
        <v>42</v>
      </c>
      <c r="T201" s="2">
        <v>6261</v>
      </c>
      <c r="U201" s="2">
        <v>4185</v>
      </c>
      <c r="V201">
        <v>3</v>
      </c>
      <c r="W201" t="s">
        <v>38</v>
      </c>
      <c r="X201">
        <v>18</v>
      </c>
      <c r="Y201">
        <v>3</v>
      </c>
      <c r="Z201">
        <v>1</v>
      </c>
      <c r="AA201">
        <v>80</v>
      </c>
      <c r="AB201">
        <v>1</v>
      </c>
      <c r="AC201">
        <v>9</v>
      </c>
      <c r="AD201">
        <v>3</v>
      </c>
      <c r="AE201">
        <v>1</v>
      </c>
      <c r="AF201">
        <v>7</v>
      </c>
      <c r="AG201">
        <v>7</v>
      </c>
      <c r="AH201">
        <v>1</v>
      </c>
      <c r="AI201">
        <v>7</v>
      </c>
    </row>
    <row r="202" spans="1:35" x14ac:dyDescent="0.25">
      <c r="A202">
        <v>27</v>
      </c>
      <c r="B202" t="str">
        <f t="shared" si="6"/>
        <v>25-34</v>
      </c>
      <c r="C202" s="1" t="s">
        <v>38</v>
      </c>
      <c r="D202" s="17">
        <f>IF(Table1[[#This Row],[Attrition]]="Yes",1,0)</f>
        <v>0</v>
      </c>
      <c r="E202" t="s">
        <v>58</v>
      </c>
      <c r="F202" s="2">
        <v>472</v>
      </c>
      <c r="G202" t="s">
        <v>39</v>
      </c>
      <c r="H202">
        <v>1</v>
      </c>
      <c r="I202">
        <v>1</v>
      </c>
      <c r="J202" t="str">
        <f t="shared" si="7"/>
        <v>Below College</v>
      </c>
      <c r="K202" t="s">
        <v>54</v>
      </c>
      <c r="L202">
        <v>3</v>
      </c>
      <c r="M202" t="s">
        <v>40</v>
      </c>
      <c r="N202" s="2">
        <v>60</v>
      </c>
      <c r="O202">
        <v>2</v>
      </c>
      <c r="P202">
        <v>2</v>
      </c>
      <c r="Q202" t="s">
        <v>47</v>
      </c>
      <c r="R202">
        <v>1</v>
      </c>
      <c r="S202" t="s">
        <v>42</v>
      </c>
      <c r="T202" s="2">
        <v>4298</v>
      </c>
      <c r="U202" s="2">
        <v>9679</v>
      </c>
      <c r="V202">
        <v>5</v>
      </c>
      <c r="W202" t="s">
        <v>38</v>
      </c>
      <c r="X202">
        <v>19</v>
      </c>
      <c r="Y202">
        <v>3</v>
      </c>
      <c r="Z202">
        <v>3</v>
      </c>
      <c r="AA202">
        <v>80</v>
      </c>
      <c r="AB202">
        <v>1</v>
      </c>
      <c r="AC202">
        <v>6</v>
      </c>
      <c r="AD202">
        <v>1</v>
      </c>
      <c r="AE202">
        <v>3</v>
      </c>
      <c r="AF202">
        <v>2</v>
      </c>
      <c r="AG202">
        <v>2</v>
      </c>
      <c r="AH202">
        <v>2</v>
      </c>
      <c r="AI202">
        <v>0</v>
      </c>
    </row>
    <row r="203" spans="1:35" x14ac:dyDescent="0.25">
      <c r="A203">
        <v>49</v>
      </c>
      <c r="B203" t="str">
        <f t="shared" si="6"/>
        <v>45-54</v>
      </c>
      <c r="C203" s="1" t="s">
        <v>38</v>
      </c>
      <c r="D203" s="17">
        <f>IF(Table1[[#This Row],[Attrition]]="Yes",1,0)</f>
        <v>0</v>
      </c>
      <c r="E203" t="s">
        <v>49</v>
      </c>
      <c r="F203" s="2">
        <v>1002</v>
      </c>
      <c r="G203" t="s">
        <v>39</v>
      </c>
      <c r="H203">
        <v>18</v>
      </c>
      <c r="I203">
        <v>4</v>
      </c>
      <c r="J203" t="str">
        <f t="shared" si="7"/>
        <v>Master</v>
      </c>
      <c r="K203" t="s">
        <v>34</v>
      </c>
      <c r="L203">
        <v>4</v>
      </c>
      <c r="M203" t="s">
        <v>40</v>
      </c>
      <c r="N203" s="2">
        <v>92</v>
      </c>
      <c r="O203">
        <v>3</v>
      </c>
      <c r="P203">
        <v>2</v>
      </c>
      <c r="Q203" t="s">
        <v>47</v>
      </c>
      <c r="R203">
        <v>4</v>
      </c>
      <c r="S203" t="s">
        <v>46</v>
      </c>
      <c r="T203" s="2">
        <v>6804</v>
      </c>
      <c r="U203" s="2">
        <v>23793</v>
      </c>
      <c r="V203">
        <v>1</v>
      </c>
      <c r="W203" t="s">
        <v>32</v>
      </c>
      <c r="X203">
        <v>15</v>
      </c>
      <c r="Y203">
        <v>3</v>
      </c>
      <c r="Z203">
        <v>1</v>
      </c>
      <c r="AA203">
        <v>80</v>
      </c>
      <c r="AB203">
        <v>2</v>
      </c>
      <c r="AC203">
        <v>7</v>
      </c>
      <c r="AD203">
        <v>0</v>
      </c>
      <c r="AE203">
        <v>3</v>
      </c>
      <c r="AF203">
        <v>7</v>
      </c>
      <c r="AG203">
        <v>7</v>
      </c>
      <c r="AH203">
        <v>1</v>
      </c>
      <c r="AI203">
        <v>7</v>
      </c>
    </row>
    <row r="204" spans="1:35" x14ac:dyDescent="0.25">
      <c r="A204">
        <v>34</v>
      </c>
      <c r="B204" t="str">
        <f t="shared" si="6"/>
        <v>25-34</v>
      </c>
      <c r="C204" s="1" t="s">
        <v>38</v>
      </c>
      <c r="D204" s="17">
        <f>IF(Table1[[#This Row],[Attrition]]="Yes",1,0)</f>
        <v>0</v>
      </c>
      <c r="E204" t="s">
        <v>58</v>
      </c>
      <c r="F204" s="2">
        <v>878</v>
      </c>
      <c r="G204" t="s">
        <v>39</v>
      </c>
      <c r="H204">
        <v>10</v>
      </c>
      <c r="I204">
        <v>4</v>
      </c>
      <c r="J204" t="str">
        <f t="shared" si="7"/>
        <v>Master</v>
      </c>
      <c r="K204" t="s">
        <v>45</v>
      </c>
      <c r="L204">
        <v>4</v>
      </c>
      <c r="M204" t="s">
        <v>40</v>
      </c>
      <c r="N204" s="2">
        <v>43</v>
      </c>
      <c r="O204">
        <v>3</v>
      </c>
      <c r="P204">
        <v>1</v>
      </c>
      <c r="Q204" t="s">
        <v>41</v>
      </c>
      <c r="R204">
        <v>3</v>
      </c>
      <c r="S204" t="s">
        <v>46</v>
      </c>
      <c r="T204" s="2">
        <v>3815</v>
      </c>
      <c r="U204" s="2">
        <v>5972</v>
      </c>
      <c r="V204">
        <v>1</v>
      </c>
      <c r="W204" t="s">
        <v>32</v>
      </c>
      <c r="X204">
        <v>17</v>
      </c>
      <c r="Y204">
        <v>3</v>
      </c>
      <c r="Z204">
        <v>4</v>
      </c>
      <c r="AA204">
        <v>80</v>
      </c>
      <c r="AB204">
        <v>1</v>
      </c>
      <c r="AC204">
        <v>5</v>
      </c>
      <c r="AD204">
        <v>4</v>
      </c>
      <c r="AE204">
        <v>4</v>
      </c>
      <c r="AF204">
        <v>5</v>
      </c>
      <c r="AG204">
        <v>3</v>
      </c>
      <c r="AH204">
        <v>2</v>
      </c>
      <c r="AI204">
        <v>0</v>
      </c>
    </row>
    <row r="205" spans="1:35" x14ac:dyDescent="0.25">
      <c r="A205">
        <v>40</v>
      </c>
      <c r="B205" t="str">
        <f t="shared" si="6"/>
        <v>35-44</v>
      </c>
      <c r="C205" s="1" t="s">
        <v>38</v>
      </c>
      <c r="D205" s="17">
        <f>IF(Table1[[#This Row],[Attrition]]="Yes",1,0)</f>
        <v>0</v>
      </c>
      <c r="E205" t="s">
        <v>57</v>
      </c>
      <c r="F205" s="2">
        <v>905</v>
      </c>
      <c r="G205" t="s">
        <v>39</v>
      </c>
      <c r="H205">
        <v>19</v>
      </c>
      <c r="I205">
        <v>2</v>
      </c>
      <c r="J205" t="str">
        <f t="shared" si="7"/>
        <v>College</v>
      </c>
      <c r="K205" t="s">
        <v>45</v>
      </c>
      <c r="L205">
        <v>3</v>
      </c>
      <c r="M205" t="s">
        <v>40</v>
      </c>
      <c r="N205" s="2">
        <v>99</v>
      </c>
      <c r="O205">
        <v>3</v>
      </c>
      <c r="P205">
        <v>2</v>
      </c>
      <c r="Q205" t="s">
        <v>44</v>
      </c>
      <c r="R205">
        <v>4</v>
      </c>
      <c r="S205" t="s">
        <v>42</v>
      </c>
      <c r="T205" s="2">
        <v>2741</v>
      </c>
      <c r="U205" s="2">
        <v>16523</v>
      </c>
      <c r="V205">
        <v>8</v>
      </c>
      <c r="W205" t="s">
        <v>32</v>
      </c>
      <c r="X205">
        <v>15</v>
      </c>
      <c r="Y205">
        <v>3</v>
      </c>
      <c r="Z205">
        <v>3</v>
      </c>
      <c r="AA205">
        <v>80</v>
      </c>
      <c r="AB205">
        <v>1</v>
      </c>
      <c r="AC205">
        <v>15</v>
      </c>
      <c r="AD205">
        <v>2</v>
      </c>
      <c r="AE205">
        <v>4</v>
      </c>
      <c r="AF205">
        <v>7</v>
      </c>
      <c r="AG205">
        <v>2</v>
      </c>
      <c r="AH205">
        <v>3</v>
      </c>
      <c r="AI205">
        <v>7</v>
      </c>
    </row>
    <row r="206" spans="1:35" x14ac:dyDescent="0.25">
      <c r="A206">
        <v>38</v>
      </c>
      <c r="B206" t="str">
        <f t="shared" si="6"/>
        <v>35-44</v>
      </c>
      <c r="C206" s="1" t="s">
        <v>32</v>
      </c>
      <c r="D206" s="17">
        <f>IF(Table1[[#This Row],[Attrition]]="Yes",1,0)</f>
        <v>1</v>
      </c>
      <c r="E206" t="s">
        <v>57</v>
      </c>
      <c r="F206" s="2">
        <v>1180</v>
      </c>
      <c r="G206" t="s">
        <v>39</v>
      </c>
      <c r="H206">
        <v>29</v>
      </c>
      <c r="I206">
        <v>1</v>
      </c>
      <c r="J206" t="str">
        <f t="shared" si="7"/>
        <v>Below College</v>
      </c>
      <c r="K206" t="s">
        <v>45</v>
      </c>
      <c r="L206">
        <v>2</v>
      </c>
      <c r="M206" t="s">
        <v>40</v>
      </c>
      <c r="N206" s="2">
        <v>70</v>
      </c>
      <c r="O206">
        <v>3</v>
      </c>
      <c r="P206">
        <v>2</v>
      </c>
      <c r="Q206" t="s">
        <v>48</v>
      </c>
      <c r="R206">
        <v>1</v>
      </c>
      <c r="S206" t="s">
        <v>42</v>
      </c>
      <c r="T206" s="2">
        <v>6673</v>
      </c>
      <c r="U206" s="2">
        <v>11354</v>
      </c>
      <c r="V206">
        <v>7</v>
      </c>
      <c r="W206" t="s">
        <v>32</v>
      </c>
      <c r="X206">
        <v>19</v>
      </c>
      <c r="Y206">
        <v>3</v>
      </c>
      <c r="Z206">
        <v>2</v>
      </c>
      <c r="AA206">
        <v>80</v>
      </c>
      <c r="AB206">
        <v>0</v>
      </c>
      <c r="AC206">
        <v>17</v>
      </c>
      <c r="AD206">
        <v>2</v>
      </c>
      <c r="AE206">
        <v>3</v>
      </c>
      <c r="AF206">
        <v>1</v>
      </c>
      <c r="AG206">
        <v>0</v>
      </c>
      <c r="AH206">
        <v>0</v>
      </c>
      <c r="AI206">
        <v>0</v>
      </c>
    </row>
    <row r="207" spans="1:35" x14ac:dyDescent="0.25">
      <c r="A207">
        <v>29</v>
      </c>
      <c r="B207" t="str">
        <f t="shared" si="6"/>
        <v>25-34</v>
      </c>
      <c r="C207" s="1" t="s">
        <v>32</v>
      </c>
      <c r="D207" s="17">
        <f>IF(Table1[[#This Row],[Attrition]]="Yes",1,0)</f>
        <v>1</v>
      </c>
      <c r="E207" t="s">
        <v>57</v>
      </c>
      <c r="F207" s="2">
        <v>121</v>
      </c>
      <c r="G207" t="s">
        <v>33</v>
      </c>
      <c r="H207">
        <v>27</v>
      </c>
      <c r="I207">
        <v>3</v>
      </c>
      <c r="J207" t="str">
        <f t="shared" si="7"/>
        <v>Bachelor</v>
      </c>
      <c r="K207" t="s">
        <v>53</v>
      </c>
      <c r="L207">
        <v>2</v>
      </c>
      <c r="M207" t="s">
        <v>35</v>
      </c>
      <c r="N207" s="2">
        <v>35</v>
      </c>
      <c r="O207">
        <v>3</v>
      </c>
      <c r="P207">
        <v>3</v>
      </c>
      <c r="Q207" t="s">
        <v>36</v>
      </c>
      <c r="R207">
        <v>4</v>
      </c>
      <c r="S207" t="s">
        <v>42</v>
      </c>
      <c r="T207" s="2">
        <v>7639</v>
      </c>
      <c r="U207" s="2">
        <v>24525</v>
      </c>
      <c r="V207">
        <v>1</v>
      </c>
      <c r="W207" t="s">
        <v>38</v>
      </c>
      <c r="X207">
        <v>22</v>
      </c>
      <c r="Y207">
        <v>4</v>
      </c>
      <c r="Z207">
        <v>4</v>
      </c>
      <c r="AA207">
        <v>80</v>
      </c>
      <c r="AB207">
        <v>3</v>
      </c>
      <c r="AC207">
        <v>10</v>
      </c>
      <c r="AD207">
        <v>3</v>
      </c>
      <c r="AE207">
        <v>2</v>
      </c>
      <c r="AF207">
        <v>10</v>
      </c>
      <c r="AG207">
        <v>4</v>
      </c>
      <c r="AH207">
        <v>1</v>
      </c>
      <c r="AI207">
        <v>9</v>
      </c>
    </row>
    <row r="208" spans="1:35" x14ac:dyDescent="0.25">
      <c r="A208">
        <v>22</v>
      </c>
      <c r="B208" t="str">
        <f t="shared" si="6"/>
        <v>18-24</v>
      </c>
      <c r="C208" s="1" t="s">
        <v>38</v>
      </c>
      <c r="D208" s="17">
        <f>IF(Table1[[#This Row],[Attrition]]="Yes",1,0)</f>
        <v>0</v>
      </c>
      <c r="E208" t="s">
        <v>57</v>
      </c>
      <c r="F208" s="2">
        <v>1136</v>
      </c>
      <c r="G208" t="s">
        <v>39</v>
      </c>
      <c r="H208">
        <v>5</v>
      </c>
      <c r="I208">
        <v>3</v>
      </c>
      <c r="J208" t="str">
        <f t="shared" si="7"/>
        <v>Bachelor</v>
      </c>
      <c r="K208" t="s">
        <v>34</v>
      </c>
      <c r="L208">
        <v>4</v>
      </c>
      <c r="M208" t="s">
        <v>40</v>
      </c>
      <c r="N208" s="2">
        <v>60</v>
      </c>
      <c r="O208">
        <v>4</v>
      </c>
      <c r="P208">
        <v>1</v>
      </c>
      <c r="Q208" t="s">
        <v>41</v>
      </c>
      <c r="R208">
        <v>2</v>
      </c>
      <c r="S208" t="s">
        <v>46</v>
      </c>
      <c r="T208" s="2">
        <v>2328</v>
      </c>
      <c r="U208" s="2">
        <v>12392</v>
      </c>
      <c r="V208">
        <v>1</v>
      </c>
      <c r="W208" t="s">
        <v>32</v>
      </c>
      <c r="X208">
        <v>16</v>
      </c>
      <c r="Y208">
        <v>3</v>
      </c>
      <c r="Z208">
        <v>1</v>
      </c>
      <c r="AA208">
        <v>80</v>
      </c>
      <c r="AB208">
        <v>1</v>
      </c>
      <c r="AC208">
        <v>4</v>
      </c>
      <c r="AD208">
        <v>2</v>
      </c>
      <c r="AE208">
        <v>2</v>
      </c>
      <c r="AF208">
        <v>4</v>
      </c>
      <c r="AG208">
        <v>2</v>
      </c>
      <c r="AH208">
        <v>2</v>
      </c>
      <c r="AI208">
        <v>2</v>
      </c>
    </row>
    <row r="209" spans="1:35" x14ac:dyDescent="0.25">
      <c r="A209">
        <v>36</v>
      </c>
      <c r="B209" t="str">
        <f t="shared" si="6"/>
        <v>35-44</v>
      </c>
      <c r="C209" s="1" t="s">
        <v>38</v>
      </c>
      <c r="D209" s="17">
        <f>IF(Table1[[#This Row],[Attrition]]="Yes",1,0)</f>
        <v>0</v>
      </c>
      <c r="E209" t="s">
        <v>58</v>
      </c>
      <c r="F209" s="2">
        <v>635</v>
      </c>
      <c r="G209" t="s">
        <v>39</v>
      </c>
      <c r="H209">
        <v>18</v>
      </c>
      <c r="I209">
        <v>1</v>
      </c>
      <c r="J209" t="str">
        <f t="shared" si="7"/>
        <v>Below College</v>
      </c>
      <c r="K209" t="s">
        <v>45</v>
      </c>
      <c r="L209">
        <v>2</v>
      </c>
      <c r="M209" t="s">
        <v>35</v>
      </c>
      <c r="N209" s="2">
        <v>73</v>
      </c>
      <c r="O209">
        <v>3</v>
      </c>
      <c r="P209">
        <v>1</v>
      </c>
      <c r="Q209" t="s">
        <v>44</v>
      </c>
      <c r="R209">
        <v>4</v>
      </c>
      <c r="S209" t="s">
        <v>37</v>
      </c>
      <c r="T209" s="2">
        <v>2153</v>
      </c>
      <c r="U209" s="2">
        <v>7703</v>
      </c>
      <c r="V209">
        <v>1</v>
      </c>
      <c r="W209" t="s">
        <v>38</v>
      </c>
      <c r="X209">
        <v>13</v>
      </c>
      <c r="Y209">
        <v>3</v>
      </c>
      <c r="Z209">
        <v>1</v>
      </c>
      <c r="AA209">
        <v>80</v>
      </c>
      <c r="AB209">
        <v>0</v>
      </c>
      <c r="AC209">
        <v>8</v>
      </c>
      <c r="AD209">
        <v>2</v>
      </c>
      <c r="AE209">
        <v>3</v>
      </c>
      <c r="AF209">
        <v>8</v>
      </c>
      <c r="AG209">
        <v>1</v>
      </c>
      <c r="AH209">
        <v>1</v>
      </c>
      <c r="AI209">
        <v>7</v>
      </c>
    </row>
    <row r="210" spans="1:35" x14ac:dyDescent="0.25">
      <c r="A210">
        <v>40</v>
      </c>
      <c r="B210" t="str">
        <f t="shared" si="6"/>
        <v>35-44</v>
      </c>
      <c r="C210" s="1" t="s">
        <v>38</v>
      </c>
      <c r="D210" s="17">
        <f>IF(Table1[[#This Row],[Attrition]]="Yes",1,0)</f>
        <v>0</v>
      </c>
      <c r="E210" t="s">
        <v>49</v>
      </c>
      <c r="F210" s="2">
        <v>1151</v>
      </c>
      <c r="G210" t="s">
        <v>39</v>
      </c>
      <c r="H210">
        <v>9</v>
      </c>
      <c r="I210">
        <v>5</v>
      </c>
      <c r="J210" t="str">
        <f t="shared" si="7"/>
        <v>Doctor</v>
      </c>
      <c r="K210" t="s">
        <v>34</v>
      </c>
      <c r="L210">
        <v>4</v>
      </c>
      <c r="M210" t="s">
        <v>40</v>
      </c>
      <c r="N210" s="2">
        <v>63</v>
      </c>
      <c r="O210">
        <v>2</v>
      </c>
      <c r="P210">
        <v>2</v>
      </c>
      <c r="Q210" t="s">
        <v>48</v>
      </c>
      <c r="R210">
        <v>4</v>
      </c>
      <c r="S210" t="s">
        <v>42</v>
      </c>
      <c r="T210" s="2">
        <v>4876</v>
      </c>
      <c r="U210" s="2">
        <v>14242</v>
      </c>
      <c r="V210">
        <v>9</v>
      </c>
      <c r="W210" t="s">
        <v>38</v>
      </c>
      <c r="X210">
        <v>14</v>
      </c>
      <c r="Y210">
        <v>3</v>
      </c>
      <c r="Z210">
        <v>4</v>
      </c>
      <c r="AA210">
        <v>80</v>
      </c>
      <c r="AB210">
        <v>1</v>
      </c>
      <c r="AC210">
        <v>5</v>
      </c>
      <c r="AD210">
        <v>5</v>
      </c>
      <c r="AE210">
        <v>1</v>
      </c>
      <c r="AF210">
        <v>3</v>
      </c>
      <c r="AG210">
        <v>2</v>
      </c>
      <c r="AH210">
        <v>0</v>
      </c>
      <c r="AI210">
        <v>2</v>
      </c>
    </row>
    <row r="211" spans="1:35" x14ac:dyDescent="0.25">
      <c r="A211">
        <v>46</v>
      </c>
      <c r="B211" t="str">
        <f t="shared" si="6"/>
        <v>45-54</v>
      </c>
      <c r="C211" s="1" t="s">
        <v>38</v>
      </c>
      <c r="D211" s="17">
        <f>IF(Table1[[#This Row],[Attrition]]="Yes",1,0)</f>
        <v>0</v>
      </c>
      <c r="E211" t="s">
        <v>57</v>
      </c>
      <c r="F211" s="2">
        <v>644</v>
      </c>
      <c r="G211" t="s">
        <v>39</v>
      </c>
      <c r="H211">
        <v>1</v>
      </c>
      <c r="I211">
        <v>4</v>
      </c>
      <c r="J211" t="str">
        <f t="shared" si="7"/>
        <v>Master</v>
      </c>
      <c r="K211" t="s">
        <v>45</v>
      </c>
      <c r="L211">
        <v>4</v>
      </c>
      <c r="M211" t="s">
        <v>40</v>
      </c>
      <c r="N211" s="2">
        <v>97</v>
      </c>
      <c r="O211">
        <v>3</v>
      </c>
      <c r="P211">
        <v>3</v>
      </c>
      <c r="Q211" t="s">
        <v>48</v>
      </c>
      <c r="R211">
        <v>1</v>
      </c>
      <c r="S211" t="s">
        <v>46</v>
      </c>
      <c r="T211" s="2">
        <v>9396</v>
      </c>
      <c r="U211" s="2">
        <v>12368</v>
      </c>
      <c r="V211">
        <v>7</v>
      </c>
      <c r="W211" t="s">
        <v>38</v>
      </c>
      <c r="X211">
        <v>16</v>
      </c>
      <c r="Y211">
        <v>3</v>
      </c>
      <c r="Z211">
        <v>3</v>
      </c>
      <c r="AA211">
        <v>80</v>
      </c>
      <c r="AB211">
        <v>1</v>
      </c>
      <c r="AC211">
        <v>17</v>
      </c>
      <c r="AD211">
        <v>3</v>
      </c>
      <c r="AE211">
        <v>3</v>
      </c>
      <c r="AF211">
        <v>4</v>
      </c>
      <c r="AG211">
        <v>2</v>
      </c>
      <c r="AH211">
        <v>0</v>
      </c>
      <c r="AI211">
        <v>3</v>
      </c>
    </row>
    <row r="212" spans="1:35" x14ac:dyDescent="0.25">
      <c r="A212">
        <v>32</v>
      </c>
      <c r="B212" t="str">
        <f t="shared" si="6"/>
        <v>25-34</v>
      </c>
      <c r="C212" s="1" t="s">
        <v>32</v>
      </c>
      <c r="D212" s="17">
        <f>IF(Table1[[#This Row],[Attrition]]="Yes",1,0)</f>
        <v>1</v>
      </c>
      <c r="E212" t="s">
        <v>57</v>
      </c>
      <c r="F212" s="2">
        <v>1045</v>
      </c>
      <c r="G212" t="s">
        <v>33</v>
      </c>
      <c r="H212">
        <v>4</v>
      </c>
      <c r="I212">
        <v>4</v>
      </c>
      <c r="J212" t="str">
        <f t="shared" si="7"/>
        <v>Master</v>
      </c>
      <c r="K212" t="s">
        <v>45</v>
      </c>
      <c r="L212">
        <v>4</v>
      </c>
      <c r="M212" t="s">
        <v>40</v>
      </c>
      <c r="N212" s="2">
        <v>32</v>
      </c>
      <c r="O212">
        <v>1</v>
      </c>
      <c r="P212">
        <v>3</v>
      </c>
      <c r="Q212" t="s">
        <v>36</v>
      </c>
      <c r="R212">
        <v>4</v>
      </c>
      <c r="S212" t="s">
        <v>42</v>
      </c>
      <c r="T212" s="2">
        <v>10400</v>
      </c>
      <c r="U212" s="2">
        <v>25812</v>
      </c>
      <c r="V212">
        <v>1</v>
      </c>
      <c r="W212" t="s">
        <v>38</v>
      </c>
      <c r="X212">
        <v>11</v>
      </c>
      <c r="Y212">
        <v>3</v>
      </c>
      <c r="Z212">
        <v>3</v>
      </c>
      <c r="AA212">
        <v>80</v>
      </c>
      <c r="AB212">
        <v>0</v>
      </c>
      <c r="AC212">
        <v>14</v>
      </c>
      <c r="AD212">
        <v>2</v>
      </c>
      <c r="AE212">
        <v>2</v>
      </c>
      <c r="AF212">
        <v>14</v>
      </c>
      <c r="AG212">
        <v>8</v>
      </c>
      <c r="AH212">
        <v>9</v>
      </c>
      <c r="AI212">
        <v>8</v>
      </c>
    </row>
    <row r="213" spans="1:35" x14ac:dyDescent="0.25">
      <c r="A213">
        <v>30</v>
      </c>
      <c r="B213" t="str">
        <f t="shared" si="6"/>
        <v>25-34</v>
      </c>
      <c r="C213" s="1" t="s">
        <v>38</v>
      </c>
      <c r="D213" s="17">
        <f>IF(Table1[[#This Row],[Attrition]]="Yes",1,0)</f>
        <v>0</v>
      </c>
      <c r="E213" t="s">
        <v>49</v>
      </c>
      <c r="F213" s="2">
        <v>829</v>
      </c>
      <c r="G213" t="s">
        <v>39</v>
      </c>
      <c r="H213">
        <v>1</v>
      </c>
      <c r="I213">
        <v>1</v>
      </c>
      <c r="J213" t="str">
        <f t="shared" si="7"/>
        <v>Below College</v>
      </c>
      <c r="K213" t="s">
        <v>34</v>
      </c>
      <c r="L213">
        <v>3</v>
      </c>
      <c r="M213" t="s">
        <v>40</v>
      </c>
      <c r="N213" s="2">
        <v>88</v>
      </c>
      <c r="O213">
        <v>2</v>
      </c>
      <c r="P213">
        <v>3</v>
      </c>
      <c r="Q213" t="s">
        <v>47</v>
      </c>
      <c r="R213">
        <v>3</v>
      </c>
      <c r="S213" t="s">
        <v>37</v>
      </c>
      <c r="T213" s="2">
        <v>8474</v>
      </c>
      <c r="U213" s="2">
        <v>20925</v>
      </c>
      <c r="V213">
        <v>1</v>
      </c>
      <c r="W213" t="s">
        <v>38</v>
      </c>
      <c r="X213">
        <v>22</v>
      </c>
      <c r="Y213">
        <v>4</v>
      </c>
      <c r="Z213">
        <v>3</v>
      </c>
      <c r="AA213">
        <v>80</v>
      </c>
      <c r="AB213">
        <v>0</v>
      </c>
      <c r="AC213">
        <v>12</v>
      </c>
      <c r="AD213">
        <v>2</v>
      </c>
      <c r="AE213">
        <v>3</v>
      </c>
      <c r="AF213">
        <v>11</v>
      </c>
      <c r="AG213">
        <v>8</v>
      </c>
      <c r="AH213">
        <v>5</v>
      </c>
      <c r="AI213">
        <v>8</v>
      </c>
    </row>
    <row r="214" spans="1:35" x14ac:dyDescent="0.25">
      <c r="A214">
        <v>27</v>
      </c>
      <c r="B214" t="str">
        <f t="shared" si="6"/>
        <v>25-34</v>
      </c>
      <c r="C214" s="1" t="s">
        <v>38</v>
      </c>
      <c r="D214" s="17">
        <f>IF(Table1[[#This Row],[Attrition]]="Yes",1,0)</f>
        <v>0</v>
      </c>
      <c r="E214" t="s">
        <v>58</v>
      </c>
      <c r="F214" s="2">
        <v>1242</v>
      </c>
      <c r="G214" t="s">
        <v>33</v>
      </c>
      <c r="H214">
        <v>20</v>
      </c>
      <c r="I214">
        <v>3</v>
      </c>
      <c r="J214" t="str">
        <f t="shared" si="7"/>
        <v>Bachelor</v>
      </c>
      <c r="K214" t="s">
        <v>34</v>
      </c>
      <c r="L214">
        <v>4</v>
      </c>
      <c r="M214" t="s">
        <v>35</v>
      </c>
      <c r="N214" s="2">
        <v>90</v>
      </c>
      <c r="O214">
        <v>3</v>
      </c>
      <c r="P214">
        <v>2</v>
      </c>
      <c r="Q214" t="s">
        <v>36</v>
      </c>
      <c r="R214">
        <v>3</v>
      </c>
      <c r="S214" t="s">
        <v>37</v>
      </c>
      <c r="T214" s="2">
        <v>9981</v>
      </c>
      <c r="U214" s="2">
        <v>12916</v>
      </c>
      <c r="V214">
        <v>1</v>
      </c>
      <c r="W214" t="s">
        <v>38</v>
      </c>
      <c r="X214">
        <v>14</v>
      </c>
      <c r="Y214">
        <v>3</v>
      </c>
      <c r="Z214">
        <v>4</v>
      </c>
      <c r="AA214">
        <v>80</v>
      </c>
      <c r="AB214">
        <v>0</v>
      </c>
      <c r="AC214">
        <v>7</v>
      </c>
      <c r="AD214">
        <v>2</v>
      </c>
      <c r="AE214">
        <v>3</v>
      </c>
      <c r="AF214">
        <v>7</v>
      </c>
      <c r="AG214">
        <v>7</v>
      </c>
      <c r="AH214">
        <v>0</v>
      </c>
      <c r="AI214">
        <v>7</v>
      </c>
    </row>
    <row r="215" spans="1:35" x14ac:dyDescent="0.25">
      <c r="A215">
        <v>51</v>
      </c>
      <c r="B215" t="str">
        <f t="shared" si="6"/>
        <v>45-54</v>
      </c>
      <c r="C215" s="1" t="s">
        <v>38</v>
      </c>
      <c r="D215" s="17">
        <f>IF(Table1[[#This Row],[Attrition]]="Yes",1,0)</f>
        <v>0</v>
      </c>
      <c r="E215" t="s">
        <v>57</v>
      </c>
      <c r="F215" s="2">
        <v>1469</v>
      </c>
      <c r="G215" t="s">
        <v>39</v>
      </c>
      <c r="H215">
        <v>8</v>
      </c>
      <c r="I215">
        <v>4</v>
      </c>
      <c r="J215" t="str">
        <f t="shared" si="7"/>
        <v>Master</v>
      </c>
      <c r="K215" t="s">
        <v>34</v>
      </c>
      <c r="L215">
        <v>2</v>
      </c>
      <c r="M215" t="s">
        <v>40</v>
      </c>
      <c r="N215" s="2">
        <v>81</v>
      </c>
      <c r="O215">
        <v>2</v>
      </c>
      <c r="P215">
        <v>3</v>
      </c>
      <c r="Q215" t="s">
        <v>52</v>
      </c>
      <c r="R215">
        <v>2</v>
      </c>
      <c r="S215" t="s">
        <v>42</v>
      </c>
      <c r="T215" s="2">
        <v>12490</v>
      </c>
      <c r="U215" s="2">
        <v>15736</v>
      </c>
      <c r="V215">
        <v>5</v>
      </c>
      <c r="W215" t="s">
        <v>38</v>
      </c>
      <c r="X215">
        <v>16</v>
      </c>
      <c r="Y215">
        <v>3</v>
      </c>
      <c r="Z215">
        <v>4</v>
      </c>
      <c r="AA215">
        <v>80</v>
      </c>
      <c r="AB215">
        <v>2</v>
      </c>
      <c r="AC215">
        <v>16</v>
      </c>
      <c r="AD215">
        <v>5</v>
      </c>
      <c r="AE215">
        <v>1</v>
      </c>
      <c r="AF215">
        <v>10</v>
      </c>
      <c r="AG215">
        <v>9</v>
      </c>
      <c r="AH215">
        <v>4</v>
      </c>
      <c r="AI215">
        <v>7</v>
      </c>
    </row>
    <row r="216" spans="1:35" x14ac:dyDescent="0.25">
      <c r="A216">
        <v>30</v>
      </c>
      <c r="B216" t="str">
        <f t="shared" si="6"/>
        <v>25-34</v>
      </c>
      <c r="C216" s="1" t="s">
        <v>32</v>
      </c>
      <c r="D216" s="17">
        <f>IF(Table1[[#This Row],[Attrition]]="Yes",1,0)</f>
        <v>1</v>
      </c>
      <c r="E216" t="s">
        <v>57</v>
      </c>
      <c r="F216" s="2">
        <v>1005</v>
      </c>
      <c r="G216" t="s">
        <v>39</v>
      </c>
      <c r="H216">
        <v>3</v>
      </c>
      <c r="I216">
        <v>3</v>
      </c>
      <c r="J216" t="str">
        <f t="shared" si="7"/>
        <v>Bachelor</v>
      </c>
      <c r="K216" t="s">
        <v>54</v>
      </c>
      <c r="L216">
        <v>4</v>
      </c>
      <c r="M216" t="s">
        <v>35</v>
      </c>
      <c r="N216" s="2">
        <v>88</v>
      </c>
      <c r="O216">
        <v>3</v>
      </c>
      <c r="P216">
        <v>1</v>
      </c>
      <c r="Q216" t="s">
        <v>41</v>
      </c>
      <c r="R216">
        <v>1</v>
      </c>
      <c r="S216" t="s">
        <v>37</v>
      </c>
      <c r="T216" s="2">
        <v>2657</v>
      </c>
      <c r="U216" s="2">
        <v>8556</v>
      </c>
      <c r="V216">
        <v>5</v>
      </c>
      <c r="W216" t="s">
        <v>32</v>
      </c>
      <c r="X216">
        <v>11</v>
      </c>
      <c r="Y216">
        <v>3</v>
      </c>
      <c r="Z216">
        <v>3</v>
      </c>
      <c r="AA216">
        <v>80</v>
      </c>
      <c r="AB216">
        <v>0</v>
      </c>
      <c r="AC216">
        <v>8</v>
      </c>
      <c r="AD216">
        <v>5</v>
      </c>
      <c r="AE216">
        <v>3</v>
      </c>
      <c r="AF216">
        <v>5</v>
      </c>
      <c r="AG216">
        <v>2</v>
      </c>
      <c r="AH216">
        <v>0</v>
      </c>
      <c r="AI216">
        <v>4</v>
      </c>
    </row>
    <row r="217" spans="1:35" x14ac:dyDescent="0.25">
      <c r="A217">
        <v>41</v>
      </c>
      <c r="B217" t="str">
        <f t="shared" si="6"/>
        <v>35-44</v>
      </c>
      <c r="C217" s="1" t="s">
        <v>38</v>
      </c>
      <c r="D217" s="17">
        <f>IF(Table1[[#This Row],[Attrition]]="Yes",1,0)</f>
        <v>0</v>
      </c>
      <c r="E217" t="s">
        <v>57</v>
      </c>
      <c r="F217" s="2">
        <v>896</v>
      </c>
      <c r="G217" t="s">
        <v>33</v>
      </c>
      <c r="H217">
        <v>6</v>
      </c>
      <c r="I217">
        <v>3</v>
      </c>
      <c r="J217" t="str">
        <f t="shared" si="7"/>
        <v>Bachelor</v>
      </c>
      <c r="K217" t="s">
        <v>34</v>
      </c>
      <c r="L217">
        <v>4</v>
      </c>
      <c r="M217" t="s">
        <v>35</v>
      </c>
      <c r="N217" s="2">
        <v>75</v>
      </c>
      <c r="O217">
        <v>3</v>
      </c>
      <c r="P217">
        <v>3</v>
      </c>
      <c r="Q217" t="s">
        <v>50</v>
      </c>
      <c r="R217">
        <v>4</v>
      </c>
      <c r="S217" t="s">
        <v>37</v>
      </c>
      <c r="T217" s="2">
        <v>13591</v>
      </c>
      <c r="U217" s="2">
        <v>14674</v>
      </c>
      <c r="V217">
        <v>3</v>
      </c>
      <c r="W217" t="s">
        <v>32</v>
      </c>
      <c r="X217">
        <v>18</v>
      </c>
      <c r="Y217">
        <v>3</v>
      </c>
      <c r="Z217">
        <v>3</v>
      </c>
      <c r="AA217">
        <v>80</v>
      </c>
      <c r="AB217">
        <v>0</v>
      </c>
      <c r="AC217">
        <v>16</v>
      </c>
      <c r="AD217">
        <v>3</v>
      </c>
      <c r="AE217">
        <v>3</v>
      </c>
      <c r="AF217">
        <v>1</v>
      </c>
      <c r="AG217">
        <v>0</v>
      </c>
      <c r="AH217">
        <v>0</v>
      </c>
      <c r="AI217">
        <v>0</v>
      </c>
    </row>
    <row r="218" spans="1:35" x14ac:dyDescent="0.25">
      <c r="A218">
        <v>30</v>
      </c>
      <c r="B218" t="str">
        <f t="shared" si="6"/>
        <v>25-34</v>
      </c>
      <c r="C218" s="1" t="s">
        <v>32</v>
      </c>
      <c r="D218" s="17">
        <f>IF(Table1[[#This Row],[Attrition]]="Yes",1,0)</f>
        <v>1</v>
      </c>
      <c r="E218" t="s">
        <v>58</v>
      </c>
      <c r="F218" s="2">
        <v>334</v>
      </c>
      <c r="G218" t="s">
        <v>33</v>
      </c>
      <c r="H218">
        <v>26</v>
      </c>
      <c r="I218">
        <v>4</v>
      </c>
      <c r="J218" t="str">
        <f t="shared" si="7"/>
        <v>Master</v>
      </c>
      <c r="K218" t="s">
        <v>53</v>
      </c>
      <c r="L218">
        <v>3</v>
      </c>
      <c r="M218" t="s">
        <v>35</v>
      </c>
      <c r="N218" s="2">
        <v>52</v>
      </c>
      <c r="O218">
        <v>2</v>
      </c>
      <c r="P218">
        <v>2</v>
      </c>
      <c r="Q218" t="s">
        <v>36</v>
      </c>
      <c r="R218">
        <v>1</v>
      </c>
      <c r="S218" t="s">
        <v>37</v>
      </c>
      <c r="T218" s="2">
        <v>6696</v>
      </c>
      <c r="U218" s="2">
        <v>22967</v>
      </c>
      <c r="V218">
        <v>5</v>
      </c>
      <c r="W218" t="s">
        <v>38</v>
      </c>
      <c r="X218">
        <v>15</v>
      </c>
      <c r="Y218">
        <v>3</v>
      </c>
      <c r="Z218">
        <v>3</v>
      </c>
      <c r="AA218">
        <v>80</v>
      </c>
      <c r="AB218">
        <v>0</v>
      </c>
      <c r="AC218">
        <v>9</v>
      </c>
      <c r="AD218">
        <v>5</v>
      </c>
      <c r="AE218">
        <v>2</v>
      </c>
      <c r="AF218">
        <v>6</v>
      </c>
      <c r="AG218">
        <v>3</v>
      </c>
      <c r="AH218">
        <v>0</v>
      </c>
      <c r="AI218">
        <v>1</v>
      </c>
    </row>
    <row r="219" spans="1:35" x14ac:dyDescent="0.25">
      <c r="A219">
        <v>29</v>
      </c>
      <c r="B219" t="str">
        <f t="shared" si="6"/>
        <v>25-34</v>
      </c>
      <c r="C219" s="1" t="s">
        <v>32</v>
      </c>
      <c r="D219" s="17">
        <f>IF(Table1[[#This Row],[Attrition]]="Yes",1,0)</f>
        <v>1</v>
      </c>
      <c r="E219" t="s">
        <v>57</v>
      </c>
      <c r="F219" s="2">
        <v>992</v>
      </c>
      <c r="G219" t="s">
        <v>39</v>
      </c>
      <c r="H219">
        <v>1</v>
      </c>
      <c r="I219">
        <v>3</v>
      </c>
      <c r="J219" t="str">
        <f t="shared" si="7"/>
        <v>Bachelor</v>
      </c>
      <c r="K219" t="s">
        <v>54</v>
      </c>
      <c r="L219">
        <v>3</v>
      </c>
      <c r="M219" t="s">
        <v>40</v>
      </c>
      <c r="N219" s="2">
        <v>85</v>
      </c>
      <c r="O219">
        <v>3</v>
      </c>
      <c r="P219">
        <v>1</v>
      </c>
      <c r="Q219" t="s">
        <v>41</v>
      </c>
      <c r="R219">
        <v>3</v>
      </c>
      <c r="S219" t="s">
        <v>37</v>
      </c>
      <c r="T219" s="2">
        <v>2058</v>
      </c>
      <c r="U219" s="2">
        <v>19757</v>
      </c>
      <c r="V219">
        <v>0</v>
      </c>
      <c r="W219" t="s">
        <v>38</v>
      </c>
      <c r="X219">
        <v>14</v>
      </c>
      <c r="Y219">
        <v>3</v>
      </c>
      <c r="Z219">
        <v>4</v>
      </c>
      <c r="AA219">
        <v>80</v>
      </c>
      <c r="AB219">
        <v>0</v>
      </c>
      <c r="AC219">
        <v>7</v>
      </c>
      <c r="AD219">
        <v>1</v>
      </c>
      <c r="AE219">
        <v>2</v>
      </c>
      <c r="AF219">
        <v>6</v>
      </c>
      <c r="AG219">
        <v>2</v>
      </c>
      <c r="AH219">
        <v>1</v>
      </c>
      <c r="AI219">
        <v>5</v>
      </c>
    </row>
    <row r="220" spans="1:35" x14ac:dyDescent="0.25">
      <c r="A220">
        <v>45</v>
      </c>
      <c r="B220" t="str">
        <f t="shared" si="6"/>
        <v>45-54</v>
      </c>
      <c r="C220" s="1" t="s">
        <v>38</v>
      </c>
      <c r="D220" s="17">
        <f>IF(Table1[[#This Row],[Attrition]]="Yes",1,0)</f>
        <v>0</v>
      </c>
      <c r="E220" t="s">
        <v>49</v>
      </c>
      <c r="F220" s="2">
        <v>1052</v>
      </c>
      <c r="G220" t="s">
        <v>33</v>
      </c>
      <c r="H220">
        <v>6</v>
      </c>
      <c r="I220">
        <v>3</v>
      </c>
      <c r="J220" t="str">
        <f t="shared" si="7"/>
        <v>Bachelor</v>
      </c>
      <c r="K220" t="s">
        <v>45</v>
      </c>
      <c r="L220">
        <v>4</v>
      </c>
      <c r="M220" t="s">
        <v>35</v>
      </c>
      <c r="N220" s="2">
        <v>57</v>
      </c>
      <c r="O220">
        <v>2</v>
      </c>
      <c r="P220">
        <v>3</v>
      </c>
      <c r="Q220" t="s">
        <v>36</v>
      </c>
      <c r="R220">
        <v>4</v>
      </c>
      <c r="S220" t="s">
        <v>37</v>
      </c>
      <c r="T220" s="2">
        <v>8865</v>
      </c>
      <c r="U220" s="2">
        <v>16840</v>
      </c>
      <c r="V220">
        <v>6</v>
      </c>
      <c r="W220" t="s">
        <v>38</v>
      </c>
      <c r="X220">
        <v>12</v>
      </c>
      <c r="Y220">
        <v>3</v>
      </c>
      <c r="Z220">
        <v>4</v>
      </c>
      <c r="AA220">
        <v>80</v>
      </c>
      <c r="AB220">
        <v>0</v>
      </c>
      <c r="AC220">
        <v>23</v>
      </c>
      <c r="AD220">
        <v>2</v>
      </c>
      <c r="AE220">
        <v>3</v>
      </c>
      <c r="AF220">
        <v>19</v>
      </c>
      <c r="AG220">
        <v>7</v>
      </c>
      <c r="AH220">
        <v>12</v>
      </c>
      <c r="AI220">
        <v>8</v>
      </c>
    </row>
    <row r="221" spans="1:35" x14ac:dyDescent="0.25">
      <c r="A221">
        <v>54</v>
      </c>
      <c r="B221" t="str">
        <f t="shared" si="6"/>
        <v>45-54</v>
      </c>
      <c r="C221" s="1" t="s">
        <v>38</v>
      </c>
      <c r="D221" s="17">
        <f>IF(Table1[[#This Row],[Attrition]]="Yes",1,0)</f>
        <v>0</v>
      </c>
      <c r="E221" t="s">
        <v>57</v>
      </c>
      <c r="F221" s="2">
        <v>1147</v>
      </c>
      <c r="G221" t="s">
        <v>33</v>
      </c>
      <c r="H221">
        <v>3</v>
      </c>
      <c r="I221">
        <v>3</v>
      </c>
      <c r="J221" t="str">
        <f t="shared" si="7"/>
        <v>Bachelor</v>
      </c>
      <c r="K221" t="s">
        <v>53</v>
      </c>
      <c r="L221">
        <v>4</v>
      </c>
      <c r="M221" t="s">
        <v>35</v>
      </c>
      <c r="N221" s="2">
        <v>52</v>
      </c>
      <c r="O221">
        <v>3</v>
      </c>
      <c r="P221">
        <v>2</v>
      </c>
      <c r="Q221" t="s">
        <v>36</v>
      </c>
      <c r="R221">
        <v>1</v>
      </c>
      <c r="S221" t="s">
        <v>42</v>
      </c>
      <c r="T221" s="2">
        <v>5940</v>
      </c>
      <c r="U221" s="2">
        <v>17011</v>
      </c>
      <c r="V221">
        <v>2</v>
      </c>
      <c r="W221" t="s">
        <v>38</v>
      </c>
      <c r="X221">
        <v>14</v>
      </c>
      <c r="Y221">
        <v>3</v>
      </c>
      <c r="Z221">
        <v>4</v>
      </c>
      <c r="AA221">
        <v>80</v>
      </c>
      <c r="AB221">
        <v>1</v>
      </c>
      <c r="AC221">
        <v>16</v>
      </c>
      <c r="AD221">
        <v>4</v>
      </c>
      <c r="AE221">
        <v>3</v>
      </c>
      <c r="AF221">
        <v>6</v>
      </c>
      <c r="AG221">
        <v>2</v>
      </c>
      <c r="AH221">
        <v>0</v>
      </c>
      <c r="AI221">
        <v>5</v>
      </c>
    </row>
    <row r="222" spans="1:35" x14ac:dyDescent="0.25">
      <c r="A222">
        <v>36</v>
      </c>
      <c r="B222" t="str">
        <f t="shared" si="6"/>
        <v>35-44</v>
      </c>
      <c r="C222" s="1" t="s">
        <v>38</v>
      </c>
      <c r="D222" s="17">
        <f>IF(Table1[[#This Row],[Attrition]]="Yes",1,0)</f>
        <v>0</v>
      </c>
      <c r="E222" t="s">
        <v>57</v>
      </c>
      <c r="F222" s="2">
        <v>1396</v>
      </c>
      <c r="G222" t="s">
        <v>39</v>
      </c>
      <c r="H222">
        <v>5</v>
      </c>
      <c r="I222">
        <v>2</v>
      </c>
      <c r="J222" t="str">
        <f t="shared" si="7"/>
        <v>College</v>
      </c>
      <c r="K222" t="s">
        <v>34</v>
      </c>
      <c r="L222">
        <v>4</v>
      </c>
      <c r="M222" t="s">
        <v>40</v>
      </c>
      <c r="N222" s="2">
        <v>62</v>
      </c>
      <c r="O222">
        <v>3</v>
      </c>
      <c r="P222">
        <v>2</v>
      </c>
      <c r="Q222" t="s">
        <v>44</v>
      </c>
      <c r="R222">
        <v>2</v>
      </c>
      <c r="S222" t="s">
        <v>37</v>
      </c>
      <c r="T222" s="2">
        <v>5914</v>
      </c>
      <c r="U222" s="2">
        <v>9945</v>
      </c>
      <c r="V222">
        <v>8</v>
      </c>
      <c r="W222" t="s">
        <v>38</v>
      </c>
      <c r="X222">
        <v>16</v>
      </c>
      <c r="Y222">
        <v>3</v>
      </c>
      <c r="Z222">
        <v>4</v>
      </c>
      <c r="AA222">
        <v>80</v>
      </c>
      <c r="AB222">
        <v>0</v>
      </c>
      <c r="AC222">
        <v>16</v>
      </c>
      <c r="AD222">
        <v>3</v>
      </c>
      <c r="AE222">
        <v>4</v>
      </c>
      <c r="AF222">
        <v>13</v>
      </c>
      <c r="AG222">
        <v>11</v>
      </c>
      <c r="AH222">
        <v>3</v>
      </c>
      <c r="AI222">
        <v>7</v>
      </c>
    </row>
    <row r="223" spans="1:35" x14ac:dyDescent="0.25">
      <c r="A223">
        <v>33</v>
      </c>
      <c r="B223" t="str">
        <f t="shared" si="6"/>
        <v>25-34</v>
      </c>
      <c r="C223" s="1" t="s">
        <v>38</v>
      </c>
      <c r="D223" s="17">
        <f>IF(Table1[[#This Row],[Attrition]]="Yes",1,0)</f>
        <v>0</v>
      </c>
      <c r="E223" t="s">
        <v>57</v>
      </c>
      <c r="F223" s="2">
        <v>147</v>
      </c>
      <c r="G223" t="s">
        <v>39</v>
      </c>
      <c r="H223">
        <v>4</v>
      </c>
      <c r="I223">
        <v>4</v>
      </c>
      <c r="J223" t="str">
        <f t="shared" si="7"/>
        <v>Master</v>
      </c>
      <c r="K223" t="s">
        <v>45</v>
      </c>
      <c r="L223">
        <v>3</v>
      </c>
      <c r="M223" t="s">
        <v>35</v>
      </c>
      <c r="N223" s="2">
        <v>47</v>
      </c>
      <c r="O223">
        <v>2</v>
      </c>
      <c r="P223">
        <v>1</v>
      </c>
      <c r="Q223" t="s">
        <v>41</v>
      </c>
      <c r="R223">
        <v>2</v>
      </c>
      <c r="S223" t="s">
        <v>42</v>
      </c>
      <c r="T223" s="2">
        <v>2622</v>
      </c>
      <c r="U223" s="2">
        <v>13248</v>
      </c>
      <c r="V223">
        <v>6</v>
      </c>
      <c r="W223" t="s">
        <v>38</v>
      </c>
      <c r="X223">
        <v>21</v>
      </c>
      <c r="Y223">
        <v>4</v>
      </c>
      <c r="Z223">
        <v>4</v>
      </c>
      <c r="AA223">
        <v>80</v>
      </c>
      <c r="AB223">
        <v>0</v>
      </c>
      <c r="AC223">
        <v>7</v>
      </c>
      <c r="AD223">
        <v>3</v>
      </c>
      <c r="AE223">
        <v>3</v>
      </c>
      <c r="AF223">
        <v>3</v>
      </c>
      <c r="AG223">
        <v>2</v>
      </c>
      <c r="AH223">
        <v>1</v>
      </c>
      <c r="AI223">
        <v>1</v>
      </c>
    </row>
    <row r="224" spans="1:35" x14ac:dyDescent="0.25">
      <c r="A224">
        <v>37</v>
      </c>
      <c r="B224" t="str">
        <f t="shared" si="6"/>
        <v>35-44</v>
      </c>
      <c r="C224" s="1" t="s">
        <v>38</v>
      </c>
      <c r="D224" s="17">
        <f>IF(Table1[[#This Row],[Attrition]]="Yes",1,0)</f>
        <v>0</v>
      </c>
      <c r="E224" t="s">
        <v>58</v>
      </c>
      <c r="F224" s="2">
        <v>663</v>
      </c>
      <c r="G224" t="s">
        <v>39</v>
      </c>
      <c r="H224">
        <v>11</v>
      </c>
      <c r="I224">
        <v>3</v>
      </c>
      <c r="J224" t="str">
        <f t="shared" si="7"/>
        <v>Bachelor</v>
      </c>
      <c r="K224" t="s">
        <v>43</v>
      </c>
      <c r="L224">
        <v>2</v>
      </c>
      <c r="M224" t="s">
        <v>40</v>
      </c>
      <c r="N224" s="2">
        <v>47</v>
      </c>
      <c r="O224">
        <v>3</v>
      </c>
      <c r="P224">
        <v>3</v>
      </c>
      <c r="Q224" t="s">
        <v>52</v>
      </c>
      <c r="R224">
        <v>4</v>
      </c>
      <c r="S224" t="s">
        <v>46</v>
      </c>
      <c r="T224" s="2">
        <v>12185</v>
      </c>
      <c r="U224" s="2">
        <v>10056</v>
      </c>
      <c r="V224">
        <v>1</v>
      </c>
      <c r="W224" t="s">
        <v>32</v>
      </c>
      <c r="X224">
        <v>14</v>
      </c>
      <c r="Y224">
        <v>3</v>
      </c>
      <c r="Z224">
        <v>3</v>
      </c>
      <c r="AA224">
        <v>80</v>
      </c>
      <c r="AB224">
        <v>3</v>
      </c>
      <c r="AC224">
        <v>10</v>
      </c>
      <c r="AD224">
        <v>1</v>
      </c>
      <c r="AE224">
        <v>3</v>
      </c>
      <c r="AF224">
        <v>10</v>
      </c>
      <c r="AG224">
        <v>8</v>
      </c>
      <c r="AH224">
        <v>0</v>
      </c>
      <c r="AI224">
        <v>7</v>
      </c>
    </row>
    <row r="225" spans="1:35" x14ac:dyDescent="0.25">
      <c r="A225">
        <v>38</v>
      </c>
      <c r="B225" t="str">
        <f t="shared" si="6"/>
        <v>35-44</v>
      </c>
      <c r="C225" s="1" t="s">
        <v>38</v>
      </c>
      <c r="D225" s="17">
        <f>IF(Table1[[#This Row],[Attrition]]="Yes",1,0)</f>
        <v>0</v>
      </c>
      <c r="E225" t="s">
        <v>57</v>
      </c>
      <c r="F225" s="2">
        <v>119</v>
      </c>
      <c r="G225" t="s">
        <v>33</v>
      </c>
      <c r="H225">
        <v>3</v>
      </c>
      <c r="I225">
        <v>3</v>
      </c>
      <c r="J225" t="str">
        <f t="shared" si="7"/>
        <v>Bachelor</v>
      </c>
      <c r="K225" t="s">
        <v>34</v>
      </c>
      <c r="L225">
        <v>1</v>
      </c>
      <c r="M225" t="s">
        <v>40</v>
      </c>
      <c r="N225" s="2">
        <v>76</v>
      </c>
      <c r="O225">
        <v>3</v>
      </c>
      <c r="P225">
        <v>3</v>
      </c>
      <c r="Q225" t="s">
        <v>36</v>
      </c>
      <c r="R225">
        <v>3</v>
      </c>
      <c r="S225" t="s">
        <v>46</v>
      </c>
      <c r="T225" s="2">
        <v>10609</v>
      </c>
      <c r="U225" s="2">
        <v>9647</v>
      </c>
      <c r="V225">
        <v>0</v>
      </c>
      <c r="W225" t="s">
        <v>38</v>
      </c>
      <c r="X225">
        <v>12</v>
      </c>
      <c r="Y225">
        <v>3</v>
      </c>
      <c r="Z225">
        <v>3</v>
      </c>
      <c r="AA225">
        <v>80</v>
      </c>
      <c r="AB225">
        <v>2</v>
      </c>
      <c r="AC225">
        <v>17</v>
      </c>
      <c r="AD225">
        <v>6</v>
      </c>
      <c r="AE225">
        <v>2</v>
      </c>
      <c r="AF225">
        <v>16</v>
      </c>
      <c r="AG225">
        <v>10</v>
      </c>
      <c r="AH225">
        <v>5</v>
      </c>
      <c r="AI225">
        <v>13</v>
      </c>
    </row>
    <row r="226" spans="1:35" x14ac:dyDescent="0.25">
      <c r="A226">
        <v>31</v>
      </c>
      <c r="B226" t="str">
        <f t="shared" si="6"/>
        <v>25-34</v>
      </c>
      <c r="C226" s="1" t="s">
        <v>38</v>
      </c>
      <c r="D226" s="17">
        <f>IF(Table1[[#This Row],[Attrition]]="Yes",1,0)</f>
        <v>0</v>
      </c>
      <c r="E226" t="s">
        <v>49</v>
      </c>
      <c r="F226" s="2">
        <v>979</v>
      </c>
      <c r="G226" t="s">
        <v>39</v>
      </c>
      <c r="H226">
        <v>1</v>
      </c>
      <c r="I226">
        <v>4</v>
      </c>
      <c r="J226" t="str">
        <f t="shared" si="7"/>
        <v>Master</v>
      </c>
      <c r="K226" t="s">
        <v>45</v>
      </c>
      <c r="L226">
        <v>3</v>
      </c>
      <c r="M226" t="s">
        <v>40</v>
      </c>
      <c r="N226" s="2">
        <v>90</v>
      </c>
      <c r="O226">
        <v>1</v>
      </c>
      <c r="P226">
        <v>2</v>
      </c>
      <c r="Q226" t="s">
        <v>47</v>
      </c>
      <c r="R226">
        <v>3</v>
      </c>
      <c r="S226" t="s">
        <v>42</v>
      </c>
      <c r="T226" s="2">
        <v>4345</v>
      </c>
      <c r="U226" s="2">
        <v>4381</v>
      </c>
      <c r="V226">
        <v>0</v>
      </c>
      <c r="W226" t="s">
        <v>38</v>
      </c>
      <c r="X226">
        <v>12</v>
      </c>
      <c r="Y226">
        <v>3</v>
      </c>
      <c r="Z226">
        <v>4</v>
      </c>
      <c r="AA226">
        <v>80</v>
      </c>
      <c r="AB226">
        <v>1</v>
      </c>
      <c r="AC226">
        <v>6</v>
      </c>
      <c r="AD226">
        <v>2</v>
      </c>
      <c r="AE226">
        <v>3</v>
      </c>
      <c r="AF226">
        <v>5</v>
      </c>
      <c r="AG226">
        <v>4</v>
      </c>
      <c r="AH226">
        <v>1</v>
      </c>
      <c r="AI226">
        <v>4</v>
      </c>
    </row>
    <row r="227" spans="1:35" x14ac:dyDescent="0.25">
      <c r="A227">
        <v>59</v>
      </c>
      <c r="B227" t="str">
        <f t="shared" si="6"/>
        <v>55-64</v>
      </c>
      <c r="C227" s="1" t="s">
        <v>38</v>
      </c>
      <c r="D227" s="17">
        <f>IF(Table1[[#This Row],[Attrition]]="Yes",1,0)</f>
        <v>0</v>
      </c>
      <c r="E227" t="s">
        <v>57</v>
      </c>
      <c r="F227" s="2">
        <v>142</v>
      </c>
      <c r="G227" t="s">
        <v>39</v>
      </c>
      <c r="H227">
        <v>3</v>
      </c>
      <c r="I227">
        <v>3</v>
      </c>
      <c r="J227" t="str">
        <f t="shared" si="7"/>
        <v>Bachelor</v>
      </c>
      <c r="K227" t="s">
        <v>34</v>
      </c>
      <c r="L227">
        <v>3</v>
      </c>
      <c r="M227" t="s">
        <v>40</v>
      </c>
      <c r="N227" s="2">
        <v>70</v>
      </c>
      <c r="O227">
        <v>2</v>
      </c>
      <c r="P227">
        <v>1</v>
      </c>
      <c r="Q227" t="s">
        <v>41</v>
      </c>
      <c r="R227">
        <v>4</v>
      </c>
      <c r="S227" t="s">
        <v>42</v>
      </c>
      <c r="T227" s="2">
        <v>2177</v>
      </c>
      <c r="U227" s="2">
        <v>8456</v>
      </c>
      <c r="V227">
        <v>3</v>
      </c>
      <c r="W227" t="s">
        <v>38</v>
      </c>
      <c r="X227">
        <v>17</v>
      </c>
      <c r="Y227">
        <v>3</v>
      </c>
      <c r="Z227">
        <v>1</v>
      </c>
      <c r="AA227">
        <v>80</v>
      </c>
      <c r="AB227">
        <v>1</v>
      </c>
      <c r="AC227">
        <v>7</v>
      </c>
      <c r="AD227">
        <v>6</v>
      </c>
      <c r="AE227">
        <v>3</v>
      </c>
      <c r="AF227">
        <v>1</v>
      </c>
      <c r="AG227">
        <v>0</v>
      </c>
      <c r="AH227">
        <v>0</v>
      </c>
      <c r="AI227">
        <v>0</v>
      </c>
    </row>
    <row r="228" spans="1:35" x14ac:dyDescent="0.25">
      <c r="A228">
        <v>37</v>
      </c>
      <c r="B228" t="str">
        <f t="shared" si="6"/>
        <v>35-44</v>
      </c>
      <c r="C228" s="1" t="s">
        <v>38</v>
      </c>
      <c r="D228" s="17">
        <f>IF(Table1[[#This Row],[Attrition]]="Yes",1,0)</f>
        <v>0</v>
      </c>
      <c r="E228" t="s">
        <v>58</v>
      </c>
      <c r="F228" s="2">
        <v>319</v>
      </c>
      <c r="G228" t="s">
        <v>33</v>
      </c>
      <c r="H228">
        <v>4</v>
      </c>
      <c r="I228">
        <v>4</v>
      </c>
      <c r="J228" t="str">
        <f t="shared" si="7"/>
        <v>Master</v>
      </c>
      <c r="K228" t="s">
        <v>53</v>
      </c>
      <c r="L228">
        <v>1</v>
      </c>
      <c r="M228" t="s">
        <v>40</v>
      </c>
      <c r="N228" s="2">
        <v>41</v>
      </c>
      <c r="O228">
        <v>3</v>
      </c>
      <c r="P228">
        <v>1</v>
      </c>
      <c r="Q228" t="s">
        <v>51</v>
      </c>
      <c r="R228">
        <v>4</v>
      </c>
      <c r="S228" t="s">
        <v>46</v>
      </c>
      <c r="T228" s="2">
        <v>2793</v>
      </c>
      <c r="U228" s="2">
        <v>2539</v>
      </c>
      <c r="V228">
        <v>4</v>
      </c>
      <c r="W228" t="s">
        <v>38</v>
      </c>
      <c r="X228">
        <v>17</v>
      </c>
      <c r="Y228">
        <v>3</v>
      </c>
      <c r="Z228">
        <v>3</v>
      </c>
      <c r="AA228">
        <v>80</v>
      </c>
      <c r="AB228">
        <v>1</v>
      </c>
      <c r="AC228">
        <v>13</v>
      </c>
      <c r="AD228">
        <v>2</v>
      </c>
      <c r="AE228">
        <v>3</v>
      </c>
      <c r="AF228">
        <v>9</v>
      </c>
      <c r="AG228">
        <v>8</v>
      </c>
      <c r="AH228">
        <v>5</v>
      </c>
      <c r="AI228">
        <v>8</v>
      </c>
    </row>
    <row r="229" spans="1:35" x14ac:dyDescent="0.25">
      <c r="A229">
        <v>29</v>
      </c>
      <c r="B229" t="str">
        <f t="shared" si="6"/>
        <v>25-34</v>
      </c>
      <c r="C229" s="1" t="s">
        <v>38</v>
      </c>
      <c r="D229" s="17">
        <f>IF(Table1[[#This Row],[Attrition]]="Yes",1,0)</f>
        <v>0</v>
      </c>
      <c r="E229" t="s">
        <v>58</v>
      </c>
      <c r="F229" s="2">
        <v>1413</v>
      </c>
      <c r="G229" t="s">
        <v>33</v>
      </c>
      <c r="H229">
        <v>1</v>
      </c>
      <c r="I229">
        <v>1</v>
      </c>
      <c r="J229" t="str">
        <f t="shared" si="7"/>
        <v>Below College</v>
      </c>
      <c r="K229" t="s">
        <v>45</v>
      </c>
      <c r="L229">
        <v>2</v>
      </c>
      <c r="M229" t="s">
        <v>35</v>
      </c>
      <c r="N229" s="2">
        <v>42</v>
      </c>
      <c r="O229">
        <v>3</v>
      </c>
      <c r="P229">
        <v>3</v>
      </c>
      <c r="Q229" t="s">
        <v>36</v>
      </c>
      <c r="R229">
        <v>4</v>
      </c>
      <c r="S229" t="s">
        <v>42</v>
      </c>
      <c r="T229" s="2">
        <v>7918</v>
      </c>
      <c r="U229" s="2">
        <v>6599</v>
      </c>
      <c r="V229">
        <v>1</v>
      </c>
      <c r="W229" t="s">
        <v>38</v>
      </c>
      <c r="X229">
        <v>14</v>
      </c>
      <c r="Y229">
        <v>3</v>
      </c>
      <c r="Z229">
        <v>4</v>
      </c>
      <c r="AA229">
        <v>80</v>
      </c>
      <c r="AB229">
        <v>1</v>
      </c>
      <c r="AC229">
        <v>11</v>
      </c>
      <c r="AD229">
        <v>5</v>
      </c>
      <c r="AE229">
        <v>3</v>
      </c>
      <c r="AF229">
        <v>11</v>
      </c>
      <c r="AG229">
        <v>10</v>
      </c>
      <c r="AH229">
        <v>4</v>
      </c>
      <c r="AI229">
        <v>1</v>
      </c>
    </row>
    <row r="230" spans="1:35" x14ac:dyDescent="0.25">
      <c r="A230">
        <v>35</v>
      </c>
      <c r="B230" t="str">
        <f t="shared" si="6"/>
        <v>35-44</v>
      </c>
      <c r="C230" s="1" t="s">
        <v>38</v>
      </c>
      <c r="D230" s="17">
        <f>IF(Table1[[#This Row],[Attrition]]="Yes",1,0)</f>
        <v>0</v>
      </c>
      <c r="E230" t="s">
        <v>58</v>
      </c>
      <c r="F230" s="2">
        <v>944</v>
      </c>
      <c r="G230" t="s">
        <v>33</v>
      </c>
      <c r="H230">
        <v>1</v>
      </c>
      <c r="I230">
        <v>3</v>
      </c>
      <c r="J230" t="str">
        <f t="shared" si="7"/>
        <v>Bachelor</v>
      </c>
      <c r="K230" t="s">
        <v>53</v>
      </c>
      <c r="L230">
        <v>3</v>
      </c>
      <c r="M230" t="s">
        <v>35</v>
      </c>
      <c r="N230" s="2">
        <v>92</v>
      </c>
      <c r="O230">
        <v>3</v>
      </c>
      <c r="P230">
        <v>3</v>
      </c>
      <c r="Q230" t="s">
        <v>36</v>
      </c>
      <c r="R230">
        <v>3</v>
      </c>
      <c r="S230" t="s">
        <v>37</v>
      </c>
      <c r="T230" s="2">
        <v>8789</v>
      </c>
      <c r="U230" s="2">
        <v>9096</v>
      </c>
      <c r="V230">
        <v>1</v>
      </c>
      <c r="W230" t="s">
        <v>38</v>
      </c>
      <c r="X230">
        <v>14</v>
      </c>
      <c r="Y230">
        <v>3</v>
      </c>
      <c r="Z230">
        <v>1</v>
      </c>
      <c r="AA230">
        <v>80</v>
      </c>
      <c r="AB230">
        <v>0</v>
      </c>
      <c r="AC230">
        <v>10</v>
      </c>
      <c r="AD230">
        <v>3</v>
      </c>
      <c r="AE230">
        <v>4</v>
      </c>
      <c r="AF230">
        <v>10</v>
      </c>
      <c r="AG230">
        <v>7</v>
      </c>
      <c r="AH230">
        <v>0</v>
      </c>
      <c r="AI230">
        <v>8</v>
      </c>
    </row>
    <row r="231" spans="1:35" x14ac:dyDescent="0.25">
      <c r="A231">
        <v>29</v>
      </c>
      <c r="B231" t="str">
        <f t="shared" si="6"/>
        <v>25-34</v>
      </c>
      <c r="C231" s="1" t="s">
        <v>32</v>
      </c>
      <c r="D231" s="17">
        <f>IF(Table1[[#This Row],[Attrition]]="Yes",1,0)</f>
        <v>1</v>
      </c>
      <c r="E231" t="s">
        <v>57</v>
      </c>
      <c r="F231" s="2">
        <v>896</v>
      </c>
      <c r="G231" t="s">
        <v>39</v>
      </c>
      <c r="H231">
        <v>18</v>
      </c>
      <c r="I231">
        <v>1</v>
      </c>
      <c r="J231" t="str">
        <f t="shared" si="7"/>
        <v>Below College</v>
      </c>
      <c r="K231" t="s">
        <v>45</v>
      </c>
      <c r="L231">
        <v>3</v>
      </c>
      <c r="M231" t="s">
        <v>40</v>
      </c>
      <c r="N231" s="2">
        <v>86</v>
      </c>
      <c r="O231">
        <v>2</v>
      </c>
      <c r="P231">
        <v>1</v>
      </c>
      <c r="Q231" t="s">
        <v>41</v>
      </c>
      <c r="R231">
        <v>4</v>
      </c>
      <c r="S231" t="s">
        <v>37</v>
      </c>
      <c r="T231" s="2">
        <v>2389</v>
      </c>
      <c r="U231" s="2">
        <v>14961</v>
      </c>
      <c r="V231">
        <v>1</v>
      </c>
      <c r="W231" t="s">
        <v>32</v>
      </c>
      <c r="X231">
        <v>13</v>
      </c>
      <c r="Y231">
        <v>3</v>
      </c>
      <c r="Z231">
        <v>3</v>
      </c>
      <c r="AA231">
        <v>80</v>
      </c>
      <c r="AB231">
        <v>0</v>
      </c>
      <c r="AC231">
        <v>4</v>
      </c>
      <c r="AD231">
        <v>3</v>
      </c>
      <c r="AE231">
        <v>2</v>
      </c>
      <c r="AF231">
        <v>4</v>
      </c>
      <c r="AG231">
        <v>3</v>
      </c>
      <c r="AH231">
        <v>0</v>
      </c>
      <c r="AI231">
        <v>1</v>
      </c>
    </row>
    <row r="232" spans="1:35" x14ac:dyDescent="0.25">
      <c r="A232">
        <v>52</v>
      </c>
      <c r="B232" t="str">
        <f t="shared" si="6"/>
        <v>45-54</v>
      </c>
      <c r="C232" s="1" t="s">
        <v>38</v>
      </c>
      <c r="D232" s="17">
        <f>IF(Table1[[#This Row],[Attrition]]="Yes",1,0)</f>
        <v>0</v>
      </c>
      <c r="E232" t="s">
        <v>57</v>
      </c>
      <c r="F232" s="2">
        <v>1323</v>
      </c>
      <c r="G232" t="s">
        <v>39</v>
      </c>
      <c r="H232">
        <v>2</v>
      </c>
      <c r="I232">
        <v>3</v>
      </c>
      <c r="J232" t="str">
        <f t="shared" si="7"/>
        <v>Bachelor</v>
      </c>
      <c r="K232" t="s">
        <v>34</v>
      </c>
      <c r="L232">
        <v>3</v>
      </c>
      <c r="M232" t="s">
        <v>35</v>
      </c>
      <c r="N232" s="2">
        <v>89</v>
      </c>
      <c r="O232">
        <v>2</v>
      </c>
      <c r="P232">
        <v>1</v>
      </c>
      <c r="Q232" t="s">
        <v>44</v>
      </c>
      <c r="R232">
        <v>4</v>
      </c>
      <c r="S232" t="s">
        <v>37</v>
      </c>
      <c r="T232" s="2">
        <v>3212</v>
      </c>
      <c r="U232" s="2">
        <v>3300</v>
      </c>
      <c r="V232">
        <v>7</v>
      </c>
      <c r="W232" t="s">
        <v>38</v>
      </c>
      <c r="X232">
        <v>15</v>
      </c>
      <c r="Y232">
        <v>3</v>
      </c>
      <c r="Z232">
        <v>2</v>
      </c>
      <c r="AA232">
        <v>80</v>
      </c>
      <c r="AB232">
        <v>0</v>
      </c>
      <c r="AC232">
        <v>6</v>
      </c>
      <c r="AD232">
        <v>3</v>
      </c>
      <c r="AE232">
        <v>2</v>
      </c>
      <c r="AF232">
        <v>2</v>
      </c>
      <c r="AG232">
        <v>2</v>
      </c>
      <c r="AH232">
        <v>2</v>
      </c>
      <c r="AI232">
        <v>2</v>
      </c>
    </row>
    <row r="233" spans="1:35" x14ac:dyDescent="0.25">
      <c r="A233">
        <v>42</v>
      </c>
      <c r="B233" t="str">
        <f t="shared" si="6"/>
        <v>35-44</v>
      </c>
      <c r="C233" s="1" t="s">
        <v>38</v>
      </c>
      <c r="D233" s="17">
        <f>IF(Table1[[#This Row],[Attrition]]="Yes",1,0)</f>
        <v>0</v>
      </c>
      <c r="E233" t="s">
        <v>57</v>
      </c>
      <c r="F233" s="2">
        <v>532</v>
      </c>
      <c r="G233" t="s">
        <v>39</v>
      </c>
      <c r="H233">
        <v>4</v>
      </c>
      <c r="I233">
        <v>2</v>
      </c>
      <c r="J233" t="str">
        <f t="shared" si="7"/>
        <v>College</v>
      </c>
      <c r="K233" t="s">
        <v>54</v>
      </c>
      <c r="L233">
        <v>3</v>
      </c>
      <c r="M233" t="s">
        <v>40</v>
      </c>
      <c r="N233" s="2">
        <v>58</v>
      </c>
      <c r="O233">
        <v>3</v>
      </c>
      <c r="P233">
        <v>5</v>
      </c>
      <c r="Q233" t="s">
        <v>50</v>
      </c>
      <c r="R233">
        <v>4</v>
      </c>
      <c r="S233" t="s">
        <v>42</v>
      </c>
      <c r="T233" s="2">
        <v>19232</v>
      </c>
      <c r="U233" s="2">
        <v>4933</v>
      </c>
      <c r="V233">
        <v>1</v>
      </c>
      <c r="W233" t="s">
        <v>38</v>
      </c>
      <c r="X233">
        <v>11</v>
      </c>
      <c r="Y233">
        <v>3</v>
      </c>
      <c r="Z233">
        <v>4</v>
      </c>
      <c r="AA233">
        <v>80</v>
      </c>
      <c r="AB233">
        <v>0</v>
      </c>
      <c r="AC233">
        <v>22</v>
      </c>
      <c r="AD233">
        <v>3</v>
      </c>
      <c r="AE233">
        <v>3</v>
      </c>
      <c r="AF233">
        <v>22</v>
      </c>
      <c r="AG233">
        <v>17</v>
      </c>
      <c r="AH233">
        <v>11</v>
      </c>
      <c r="AI233">
        <v>15</v>
      </c>
    </row>
    <row r="234" spans="1:35" x14ac:dyDescent="0.25">
      <c r="A234">
        <v>59</v>
      </c>
      <c r="B234" t="str">
        <f t="shared" si="6"/>
        <v>55-64</v>
      </c>
      <c r="C234" s="1" t="s">
        <v>38</v>
      </c>
      <c r="D234" s="17">
        <f>IF(Table1[[#This Row],[Attrition]]="Yes",1,0)</f>
        <v>0</v>
      </c>
      <c r="E234" t="s">
        <v>57</v>
      </c>
      <c r="F234" s="2">
        <v>818</v>
      </c>
      <c r="G234" t="s">
        <v>55</v>
      </c>
      <c r="H234">
        <v>6</v>
      </c>
      <c r="I234">
        <v>2</v>
      </c>
      <c r="J234" t="str">
        <f t="shared" si="7"/>
        <v>College</v>
      </c>
      <c r="K234" t="s">
        <v>45</v>
      </c>
      <c r="L234">
        <v>2</v>
      </c>
      <c r="M234" t="s">
        <v>40</v>
      </c>
      <c r="N234" s="2">
        <v>52</v>
      </c>
      <c r="O234">
        <v>3</v>
      </c>
      <c r="P234">
        <v>1</v>
      </c>
      <c r="Q234" t="s">
        <v>55</v>
      </c>
      <c r="R234">
        <v>3</v>
      </c>
      <c r="S234" t="s">
        <v>42</v>
      </c>
      <c r="T234" s="2">
        <v>2267</v>
      </c>
      <c r="U234" s="2">
        <v>25657</v>
      </c>
      <c r="V234">
        <v>8</v>
      </c>
      <c r="W234" t="s">
        <v>38</v>
      </c>
      <c r="X234">
        <v>17</v>
      </c>
      <c r="Y234">
        <v>3</v>
      </c>
      <c r="Z234">
        <v>4</v>
      </c>
      <c r="AA234">
        <v>80</v>
      </c>
      <c r="AB234">
        <v>0</v>
      </c>
      <c r="AC234">
        <v>7</v>
      </c>
      <c r="AD234">
        <v>2</v>
      </c>
      <c r="AE234">
        <v>2</v>
      </c>
      <c r="AF234">
        <v>2</v>
      </c>
      <c r="AG234">
        <v>2</v>
      </c>
      <c r="AH234">
        <v>2</v>
      </c>
      <c r="AI234">
        <v>2</v>
      </c>
    </row>
    <row r="235" spans="1:35" x14ac:dyDescent="0.25">
      <c r="A235">
        <v>50</v>
      </c>
      <c r="B235" t="str">
        <f t="shared" si="6"/>
        <v>45-54</v>
      </c>
      <c r="C235" s="1" t="s">
        <v>38</v>
      </c>
      <c r="D235" s="17">
        <f>IF(Table1[[#This Row],[Attrition]]="Yes",1,0)</f>
        <v>0</v>
      </c>
      <c r="E235" t="s">
        <v>57</v>
      </c>
      <c r="F235" s="2">
        <v>854</v>
      </c>
      <c r="G235" t="s">
        <v>33</v>
      </c>
      <c r="H235">
        <v>1</v>
      </c>
      <c r="I235">
        <v>4</v>
      </c>
      <c r="J235" t="str">
        <f t="shared" si="7"/>
        <v>Master</v>
      </c>
      <c r="K235" t="s">
        <v>45</v>
      </c>
      <c r="L235">
        <v>4</v>
      </c>
      <c r="M235" t="s">
        <v>35</v>
      </c>
      <c r="N235" s="2">
        <v>68</v>
      </c>
      <c r="O235">
        <v>3</v>
      </c>
      <c r="P235">
        <v>5</v>
      </c>
      <c r="Q235" t="s">
        <v>50</v>
      </c>
      <c r="R235">
        <v>4</v>
      </c>
      <c r="S235" t="s">
        <v>46</v>
      </c>
      <c r="T235" s="2">
        <v>19517</v>
      </c>
      <c r="U235" s="2">
        <v>24118</v>
      </c>
      <c r="V235">
        <v>3</v>
      </c>
      <c r="W235" t="s">
        <v>38</v>
      </c>
      <c r="X235">
        <v>11</v>
      </c>
      <c r="Y235">
        <v>3</v>
      </c>
      <c r="Z235">
        <v>3</v>
      </c>
      <c r="AA235">
        <v>80</v>
      </c>
      <c r="AB235">
        <v>1</v>
      </c>
      <c r="AC235">
        <v>32</v>
      </c>
      <c r="AD235">
        <v>3</v>
      </c>
      <c r="AE235">
        <v>2</v>
      </c>
      <c r="AF235">
        <v>7</v>
      </c>
      <c r="AG235">
        <v>0</v>
      </c>
      <c r="AH235">
        <v>0</v>
      </c>
      <c r="AI235">
        <v>6</v>
      </c>
    </row>
    <row r="236" spans="1:35" x14ac:dyDescent="0.25">
      <c r="A236">
        <v>33</v>
      </c>
      <c r="B236" t="str">
        <f t="shared" si="6"/>
        <v>25-34</v>
      </c>
      <c r="C236" s="1" t="s">
        <v>32</v>
      </c>
      <c r="D236" s="17">
        <f>IF(Table1[[#This Row],[Attrition]]="Yes",1,0)</f>
        <v>1</v>
      </c>
      <c r="E236" t="s">
        <v>57</v>
      </c>
      <c r="F236" s="2">
        <v>813</v>
      </c>
      <c r="G236" t="s">
        <v>39</v>
      </c>
      <c r="H236">
        <v>14</v>
      </c>
      <c r="I236">
        <v>3</v>
      </c>
      <c r="J236" t="str">
        <f t="shared" si="7"/>
        <v>Bachelor</v>
      </c>
      <c r="K236" t="s">
        <v>45</v>
      </c>
      <c r="L236">
        <v>3</v>
      </c>
      <c r="M236" t="s">
        <v>40</v>
      </c>
      <c r="N236" s="2">
        <v>58</v>
      </c>
      <c r="O236">
        <v>3</v>
      </c>
      <c r="P236">
        <v>1</v>
      </c>
      <c r="Q236" t="s">
        <v>44</v>
      </c>
      <c r="R236">
        <v>4</v>
      </c>
      <c r="S236" t="s">
        <v>42</v>
      </c>
      <c r="T236" s="2">
        <v>2436</v>
      </c>
      <c r="U236" s="2">
        <v>22149</v>
      </c>
      <c r="V236">
        <v>5</v>
      </c>
      <c r="W236" t="s">
        <v>32</v>
      </c>
      <c r="X236">
        <v>13</v>
      </c>
      <c r="Y236">
        <v>3</v>
      </c>
      <c r="Z236">
        <v>3</v>
      </c>
      <c r="AA236">
        <v>80</v>
      </c>
      <c r="AB236">
        <v>1</v>
      </c>
      <c r="AC236">
        <v>8</v>
      </c>
      <c r="AD236">
        <v>2</v>
      </c>
      <c r="AE236">
        <v>1</v>
      </c>
      <c r="AF236">
        <v>5</v>
      </c>
      <c r="AG236">
        <v>4</v>
      </c>
      <c r="AH236">
        <v>0</v>
      </c>
      <c r="AI236">
        <v>4</v>
      </c>
    </row>
    <row r="237" spans="1:35" x14ac:dyDescent="0.25">
      <c r="A237">
        <v>43</v>
      </c>
      <c r="B237" t="str">
        <f t="shared" si="6"/>
        <v>35-44</v>
      </c>
      <c r="C237" s="1" t="s">
        <v>38</v>
      </c>
      <c r="D237" s="17">
        <f>IF(Table1[[#This Row],[Attrition]]="Yes",1,0)</f>
        <v>0</v>
      </c>
      <c r="E237" t="s">
        <v>57</v>
      </c>
      <c r="F237" s="2">
        <v>1034</v>
      </c>
      <c r="G237" t="s">
        <v>33</v>
      </c>
      <c r="H237">
        <v>16</v>
      </c>
      <c r="I237">
        <v>3</v>
      </c>
      <c r="J237" t="str">
        <f t="shared" si="7"/>
        <v>Bachelor</v>
      </c>
      <c r="K237" t="s">
        <v>53</v>
      </c>
      <c r="L237">
        <v>4</v>
      </c>
      <c r="M237" t="s">
        <v>35</v>
      </c>
      <c r="N237" s="2">
        <v>80</v>
      </c>
      <c r="O237">
        <v>3</v>
      </c>
      <c r="P237">
        <v>4</v>
      </c>
      <c r="Q237" t="s">
        <v>50</v>
      </c>
      <c r="R237">
        <v>4</v>
      </c>
      <c r="S237" t="s">
        <v>42</v>
      </c>
      <c r="T237" s="2">
        <v>16064</v>
      </c>
      <c r="U237" s="2">
        <v>7744</v>
      </c>
      <c r="V237">
        <v>5</v>
      </c>
      <c r="W237" t="s">
        <v>32</v>
      </c>
      <c r="X237">
        <v>22</v>
      </c>
      <c r="Y237">
        <v>4</v>
      </c>
      <c r="Z237">
        <v>3</v>
      </c>
      <c r="AA237">
        <v>80</v>
      </c>
      <c r="AB237">
        <v>1</v>
      </c>
      <c r="AC237">
        <v>22</v>
      </c>
      <c r="AD237">
        <v>3</v>
      </c>
      <c r="AE237">
        <v>3</v>
      </c>
      <c r="AF237">
        <v>17</v>
      </c>
      <c r="AG237">
        <v>13</v>
      </c>
      <c r="AH237">
        <v>1</v>
      </c>
      <c r="AI237">
        <v>9</v>
      </c>
    </row>
    <row r="238" spans="1:35" x14ac:dyDescent="0.25">
      <c r="A238">
        <v>33</v>
      </c>
      <c r="B238" t="str">
        <f t="shared" si="6"/>
        <v>25-34</v>
      </c>
      <c r="C238" s="1" t="s">
        <v>32</v>
      </c>
      <c r="D238" s="17">
        <f>IF(Table1[[#This Row],[Attrition]]="Yes",1,0)</f>
        <v>1</v>
      </c>
      <c r="E238" t="s">
        <v>57</v>
      </c>
      <c r="F238" s="2">
        <v>465</v>
      </c>
      <c r="G238" t="s">
        <v>39</v>
      </c>
      <c r="H238">
        <v>2</v>
      </c>
      <c r="I238">
        <v>2</v>
      </c>
      <c r="J238" t="str">
        <f t="shared" si="7"/>
        <v>College</v>
      </c>
      <c r="K238" t="s">
        <v>34</v>
      </c>
      <c r="L238">
        <v>1</v>
      </c>
      <c r="M238" t="s">
        <v>35</v>
      </c>
      <c r="N238" s="2">
        <v>39</v>
      </c>
      <c r="O238">
        <v>3</v>
      </c>
      <c r="P238">
        <v>1</v>
      </c>
      <c r="Q238" t="s">
        <v>44</v>
      </c>
      <c r="R238">
        <v>1</v>
      </c>
      <c r="S238" t="s">
        <v>42</v>
      </c>
      <c r="T238" s="2">
        <v>2707</v>
      </c>
      <c r="U238" s="2">
        <v>21509</v>
      </c>
      <c r="V238">
        <v>7</v>
      </c>
      <c r="W238" t="s">
        <v>38</v>
      </c>
      <c r="X238">
        <v>20</v>
      </c>
      <c r="Y238">
        <v>4</v>
      </c>
      <c r="Z238">
        <v>1</v>
      </c>
      <c r="AA238">
        <v>80</v>
      </c>
      <c r="AB238">
        <v>0</v>
      </c>
      <c r="AC238">
        <v>13</v>
      </c>
      <c r="AD238">
        <v>3</v>
      </c>
      <c r="AE238">
        <v>4</v>
      </c>
      <c r="AF238">
        <v>9</v>
      </c>
      <c r="AG238">
        <v>7</v>
      </c>
      <c r="AH238">
        <v>1</v>
      </c>
      <c r="AI238">
        <v>7</v>
      </c>
    </row>
    <row r="239" spans="1:35" x14ac:dyDescent="0.25">
      <c r="A239">
        <v>52</v>
      </c>
      <c r="B239" t="str">
        <f t="shared" si="6"/>
        <v>45-54</v>
      </c>
      <c r="C239" s="1" t="s">
        <v>38</v>
      </c>
      <c r="D239" s="17">
        <f>IF(Table1[[#This Row],[Attrition]]="Yes",1,0)</f>
        <v>0</v>
      </c>
      <c r="E239" t="s">
        <v>49</v>
      </c>
      <c r="F239" s="2">
        <v>771</v>
      </c>
      <c r="G239" t="s">
        <v>33</v>
      </c>
      <c r="H239">
        <v>2</v>
      </c>
      <c r="I239">
        <v>4</v>
      </c>
      <c r="J239" t="str">
        <f t="shared" si="7"/>
        <v>Master</v>
      </c>
      <c r="K239" t="s">
        <v>34</v>
      </c>
      <c r="L239">
        <v>1</v>
      </c>
      <c r="M239" t="s">
        <v>40</v>
      </c>
      <c r="N239" s="2">
        <v>79</v>
      </c>
      <c r="O239">
        <v>2</v>
      </c>
      <c r="P239">
        <v>5</v>
      </c>
      <c r="Q239" t="s">
        <v>50</v>
      </c>
      <c r="R239">
        <v>3</v>
      </c>
      <c r="S239" t="s">
        <v>37</v>
      </c>
      <c r="T239" s="2">
        <v>19068</v>
      </c>
      <c r="U239" s="2">
        <v>21030</v>
      </c>
      <c r="V239">
        <v>1</v>
      </c>
      <c r="W239" t="s">
        <v>32</v>
      </c>
      <c r="X239">
        <v>18</v>
      </c>
      <c r="Y239">
        <v>3</v>
      </c>
      <c r="Z239">
        <v>4</v>
      </c>
      <c r="AA239">
        <v>80</v>
      </c>
      <c r="AB239">
        <v>0</v>
      </c>
      <c r="AC239">
        <v>33</v>
      </c>
      <c r="AD239">
        <v>2</v>
      </c>
      <c r="AE239">
        <v>4</v>
      </c>
      <c r="AF239">
        <v>33</v>
      </c>
      <c r="AG239">
        <v>7</v>
      </c>
      <c r="AH239">
        <v>15</v>
      </c>
      <c r="AI239">
        <v>12</v>
      </c>
    </row>
    <row r="240" spans="1:35" x14ac:dyDescent="0.25">
      <c r="A240">
        <v>32</v>
      </c>
      <c r="B240" t="str">
        <f t="shared" si="6"/>
        <v>25-34</v>
      </c>
      <c r="C240" s="1" t="s">
        <v>38</v>
      </c>
      <c r="D240" s="17">
        <f>IF(Table1[[#This Row],[Attrition]]="Yes",1,0)</f>
        <v>0</v>
      </c>
      <c r="E240" t="s">
        <v>57</v>
      </c>
      <c r="F240" s="2">
        <v>1401</v>
      </c>
      <c r="G240" t="s">
        <v>33</v>
      </c>
      <c r="H240">
        <v>4</v>
      </c>
      <c r="I240">
        <v>2</v>
      </c>
      <c r="J240" t="str">
        <f t="shared" si="7"/>
        <v>College</v>
      </c>
      <c r="K240" t="s">
        <v>34</v>
      </c>
      <c r="L240">
        <v>3</v>
      </c>
      <c r="M240" t="s">
        <v>35</v>
      </c>
      <c r="N240" s="2">
        <v>56</v>
      </c>
      <c r="O240">
        <v>3</v>
      </c>
      <c r="P240">
        <v>1</v>
      </c>
      <c r="Q240" t="s">
        <v>51</v>
      </c>
      <c r="R240">
        <v>2</v>
      </c>
      <c r="S240" t="s">
        <v>42</v>
      </c>
      <c r="T240" s="2">
        <v>3931</v>
      </c>
      <c r="U240" s="2">
        <v>20990</v>
      </c>
      <c r="V240">
        <v>2</v>
      </c>
      <c r="W240" t="s">
        <v>38</v>
      </c>
      <c r="X240">
        <v>11</v>
      </c>
      <c r="Y240">
        <v>3</v>
      </c>
      <c r="Z240">
        <v>1</v>
      </c>
      <c r="AA240">
        <v>80</v>
      </c>
      <c r="AB240">
        <v>1</v>
      </c>
      <c r="AC240">
        <v>6</v>
      </c>
      <c r="AD240">
        <v>5</v>
      </c>
      <c r="AE240">
        <v>3</v>
      </c>
      <c r="AF240">
        <v>4</v>
      </c>
      <c r="AG240">
        <v>3</v>
      </c>
      <c r="AH240">
        <v>1</v>
      </c>
      <c r="AI240">
        <v>2</v>
      </c>
    </row>
    <row r="241" spans="1:35" x14ac:dyDescent="0.25">
      <c r="A241">
        <v>32</v>
      </c>
      <c r="B241" t="str">
        <f t="shared" si="6"/>
        <v>25-34</v>
      </c>
      <c r="C241" s="1" t="s">
        <v>32</v>
      </c>
      <c r="D241" s="17">
        <f>IF(Table1[[#This Row],[Attrition]]="Yes",1,0)</f>
        <v>1</v>
      </c>
      <c r="E241" t="s">
        <v>57</v>
      </c>
      <c r="F241" s="2">
        <v>515</v>
      </c>
      <c r="G241" t="s">
        <v>39</v>
      </c>
      <c r="H241">
        <v>1</v>
      </c>
      <c r="I241">
        <v>3</v>
      </c>
      <c r="J241" t="str">
        <f t="shared" si="7"/>
        <v>Bachelor</v>
      </c>
      <c r="K241" t="s">
        <v>34</v>
      </c>
      <c r="L241">
        <v>4</v>
      </c>
      <c r="M241" t="s">
        <v>40</v>
      </c>
      <c r="N241" s="2">
        <v>62</v>
      </c>
      <c r="O241">
        <v>2</v>
      </c>
      <c r="P241">
        <v>1</v>
      </c>
      <c r="Q241" t="s">
        <v>44</v>
      </c>
      <c r="R241">
        <v>3</v>
      </c>
      <c r="S241" t="s">
        <v>37</v>
      </c>
      <c r="T241" s="2">
        <v>3730</v>
      </c>
      <c r="U241" s="2">
        <v>9571</v>
      </c>
      <c r="V241">
        <v>0</v>
      </c>
      <c r="W241" t="s">
        <v>32</v>
      </c>
      <c r="X241">
        <v>14</v>
      </c>
      <c r="Y241">
        <v>3</v>
      </c>
      <c r="Z241">
        <v>4</v>
      </c>
      <c r="AA241">
        <v>80</v>
      </c>
      <c r="AB241">
        <v>0</v>
      </c>
      <c r="AC241">
        <v>4</v>
      </c>
      <c r="AD241">
        <v>2</v>
      </c>
      <c r="AE241">
        <v>1</v>
      </c>
      <c r="AF241">
        <v>3</v>
      </c>
      <c r="AG241">
        <v>2</v>
      </c>
      <c r="AH241">
        <v>1</v>
      </c>
      <c r="AI241">
        <v>2</v>
      </c>
    </row>
    <row r="242" spans="1:35" x14ac:dyDescent="0.25">
      <c r="A242">
        <v>39</v>
      </c>
      <c r="B242" t="str">
        <f t="shared" si="6"/>
        <v>35-44</v>
      </c>
      <c r="C242" s="1" t="s">
        <v>38</v>
      </c>
      <c r="D242" s="17">
        <f>IF(Table1[[#This Row],[Attrition]]="Yes",1,0)</f>
        <v>0</v>
      </c>
      <c r="E242" t="s">
        <v>57</v>
      </c>
      <c r="F242" s="2">
        <v>1431</v>
      </c>
      <c r="G242" t="s">
        <v>39</v>
      </c>
      <c r="H242">
        <v>1</v>
      </c>
      <c r="I242">
        <v>4</v>
      </c>
      <c r="J242" t="str">
        <f t="shared" si="7"/>
        <v>Master</v>
      </c>
      <c r="K242" t="s">
        <v>45</v>
      </c>
      <c r="L242">
        <v>3</v>
      </c>
      <c r="M242" t="s">
        <v>35</v>
      </c>
      <c r="N242" s="2">
        <v>96</v>
      </c>
      <c r="O242">
        <v>3</v>
      </c>
      <c r="P242">
        <v>1</v>
      </c>
      <c r="Q242" t="s">
        <v>44</v>
      </c>
      <c r="R242">
        <v>3</v>
      </c>
      <c r="S242" t="s">
        <v>46</v>
      </c>
      <c r="T242" s="2">
        <v>2232</v>
      </c>
      <c r="U242" s="2">
        <v>15417</v>
      </c>
      <c r="V242">
        <v>7</v>
      </c>
      <c r="W242" t="s">
        <v>38</v>
      </c>
      <c r="X242">
        <v>14</v>
      </c>
      <c r="Y242">
        <v>3</v>
      </c>
      <c r="Z242">
        <v>3</v>
      </c>
      <c r="AA242">
        <v>80</v>
      </c>
      <c r="AB242">
        <v>3</v>
      </c>
      <c r="AC242">
        <v>7</v>
      </c>
      <c r="AD242">
        <v>1</v>
      </c>
      <c r="AE242">
        <v>3</v>
      </c>
      <c r="AF242">
        <v>3</v>
      </c>
      <c r="AG242">
        <v>2</v>
      </c>
      <c r="AH242">
        <v>1</v>
      </c>
      <c r="AI242">
        <v>2</v>
      </c>
    </row>
    <row r="243" spans="1:35" x14ac:dyDescent="0.25">
      <c r="A243">
        <v>32</v>
      </c>
      <c r="B243" t="str">
        <f t="shared" si="6"/>
        <v>25-34</v>
      </c>
      <c r="C243" s="1" t="s">
        <v>38</v>
      </c>
      <c r="D243" s="17">
        <f>IF(Table1[[#This Row],[Attrition]]="Yes",1,0)</f>
        <v>0</v>
      </c>
      <c r="E243" t="s">
        <v>49</v>
      </c>
      <c r="F243" s="2">
        <v>976</v>
      </c>
      <c r="G243" t="s">
        <v>33</v>
      </c>
      <c r="H243">
        <v>26</v>
      </c>
      <c r="I243">
        <v>4</v>
      </c>
      <c r="J243" t="str">
        <f t="shared" si="7"/>
        <v>Master</v>
      </c>
      <c r="K243" t="s">
        <v>53</v>
      </c>
      <c r="L243">
        <v>3</v>
      </c>
      <c r="M243" t="s">
        <v>40</v>
      </c>
      <c r="N243" s="2">
        <v>100</v>
      </c>
      <c r="O243">
        <v>3</v>
      </c>
      <c r="P243">
        <v>2</v>
      </c>
      <c r="Q243" t="s">
        <v>36</v>
      </c>
      <c r="R243">
        <v>4</v>
      </c>
      <c r="S243" t="s">
        <v>42</v>
      </c>
      <c r="T243" s="2">
        <v>4465</v>
      </c>
      <c r="U243" s="2">
        <v>12069</v>
      </c>
      <c r="V243">
        <v>0</v>
      </c>
      <c r="W243" t="s">
        <v>38</v>
      </c>
      <c r="X243">
        <v>18</v>
      </c>
      <c r="Y243">
        <v>3</v>
      </c>
      <c r="Z243">
        <v>1</v>
      </c>
      <c r="AA243">
        <v>80</v>
      </c>
      <c r="AB243">
        <v>0</v>
      </c>
      <c r="AC243">
        <v>4</v>
      </c>
      <c r="AD243">
        <v>2</v>
      </c>
      <c r="AE243">
        <v>3</v>
      </c>
      <c r="AF243">
        <v>3</v>
      </c>
      <c r="AG243">
        <v>2</v>
      </c>
      <c r="AH243">
        <v>2</v>
      </c>
      <c r="AI243">
        <v>2</v>
      </c>
    </row>
    <row r="244" spans="1:35" x14ac:dyDescent="0.25">
      <c r="A244">
        <v>41</v>
      </c>
      <c r="B244" t="str">
        <f t="shared" si="6"/>
        <v>35-44</v>
      </c>
      <c r="C244" s="1" t="s">
        <v>38</v>
      </c>
      <c r="D244" s="17">
        <f>IF(Table1[[#This Row],[Attrition]]="Yes",1,0)</f>
        <v>0</v>
      </c>
      <c r="E244" t="s">
        <v>57</v>
      </c>
      <c r="F244" s="2">
        <v>1411</v>
      </c>
      <c r="G244" t="s">
        <v>39</v>
      </c>
      <c r="H244">
        <v>19</v>
      </c>
      <c r="I244">
        <v>2</v>
      </c>
      <c r="J244" t="str">
        <f t="shared" si="7"/>
        <v>College</v>
      </c>
      <c r="K244" t="s">
        <v>34</v>
      </c>
      <c r="L244">
        <v>3</v>
      </c>
      <c r="M244" t="s">
        <v>40</v>
      </c>
      <c r="N244" s="2">
        <v>36</v>
      </c>
      <c r="O244">
        <v>3</v>
      </c>
      <c r="P244">
        <v>2</v>
      </c>
      <c r="Q244" t="s">
        <v>41</v>
      </c>
      <c r="R244">
        <v>1</v>
      </c>
      <c r="S244" t="s">
        <v>46</v>
      </c>
      <c r="T244" s="2">
        <v>3072</v>
      </c>
      <c r="U244" s="2">
        <v>19877</v>
      </c>
      <c r="V244">
        <v>2</v>
      </c>
      <c r="W244" t="s">
        <v>38</v>
      </c>
      <c r="X244">
        <v>16</v>
      </c>
      <c r="Y244">
        <v>3</v>
      </c>
      <c r="Z244">
        <v>1</v>
      </c>
      <c r="AA244">
        <v>80</v>
      </c>
      <c r="AB244">
        <v>2</v>
      </c>
      <c r="AC244">
        <v>17</v>
      </c>
      <c r="AD244">
        <v>2</v>
      </c>
      <c r="AE244">
        <v>2</v>
      </c>
      <c r="AF244">
        <v>1</v>
      </c>
      <c r="AG244">
        <v>0</v>
      </c>
      <c r="AH244">
        <v>0</v>
      </c>
      <c r="AI244">
        <v>0</v>
      </c>
    </row>
    <row r="245" spans="1:35" x14ac:dyDescent="0.25">
      <c r="A245">
        <v>40</v>
      </c>
      <c r="B245" t="str">
        <f t="shared" si="6"/>
        <v>35-44</v>
      </c>
      <c r="C245" s="1" t="s">
        <v>38</v>
      </c>
      <c r="D245" s="17">
        <f>IF(Table1[[#This Row],[Attrition]]="Yes",1,0)</f>
        <v>0</v>
      </c>
      <c r="E245" t="s">
        <v>57</v>
      </c>
      <c r="F245" s="2">
        <v>1300</v>
      </c>
      <c r="G245" t="s">
        <v>39</v>
      </c>
      <c r="H245">
        <v>24</v>
      </c>
      <c r="I245">
        <v>2</v>
      </c>
      <c r="J245" t="str">
        <f t="shared" si="7"/>
        <v>College</v>
      </c>
      <c r="K245" t="s">
        <v>54</v>
      </c>
      <c r="L245">
        <v>1</v>
      </c>
      <c r="M245" t="s">
        <v>40</v>
      </c>
      <c r="N245" s="2">
        <v>62</v>
      </c>
      <c r="O245">
        <v>3</v>
      </c>
      <c r="P245">
        <v>2</v>
      </c>
      <c r="Q245" t="s">
        <v>41</v>
      </c>
      <c r="R245">
        <v>4</v>
      </c>
      <c r="S245" t="s">
        <v>46</v>
      </c>
      <c r="T245" s="2">
        <v>3319</v>
      </c>
      <c r="U245" s="2">
        <v>24447</v>
      </c>
      <c r="V245">
        <v>1</v>
      </c>
      <c r="W245" t="s">
        <v>38</v>
      </c>
      <c r="X245">
        <v>17</v>
      </c>
      <c r="Y245">
        <v>3</v>
      </c>
      <c r="Z245">
        <v>1</v>
      </c>
      <c r="AA245">
        <v>80</v>
      </c>
      <c r="AB245">
        <v>2</v>
      </c>
      <c r="AC245">
        <v>9</v>
      </c>
      <c r="AD245">
        <v>3</v>
      </c>
      <c r="AE245">
        <v>3</v>
      </c>
      <c r="AF245">
        <v>9</v>
      </c>
      <c r="AG245">
        <v>8</v>
      </c>
      <c r="AH245">
        <v>4</v>
      </c>
      <c r="AI245">
        <v>7</v>
      </c>
    </row>
    <row r="246" spans="1:35" x14ac:dyDescent="0.25">
      <c r="A246">
        <v>45</v>
      </c>
      <c r="B246" t="str">
        <f t="shared" si="6"/>
        <v>45-54</v>
      </c>
      <c r="C246" s="1" t="s">
        <v>38</v>
      </c>
      <c r="D246" s="17">
        <f>IF(Table1[[#This Row],[Attrition]]="Yes",1,0)</f>
        <v>0</v>
      </c>
      <c r="E246" t="s">
        <v>57</v>
      </c>
      <c r="F246" s="2">
        <v>252</v>
      </c>
      <c r="G246" t="s">
        <v>39</v>
      </c>
      <c r="H246">
        <v>1</v>
      </c>
      <c r="I246">
        <v>3</v>
      </c>
      <c r="J246" t="str">
        <f t="shared" si="7"/>
        <v>Bachelor</v>
      </c>
      <c r="K246" t="s">
        <v>43</v>
      </c>
      <c r="L246">
        <v>3</v>
      </c>
      <c r="M246" t="s">
        <v>40</v>
      </c>
      <c r="N246" s="2">
        <v>70</v>
      </c>
      <c r="O246">
        <v>4</v>
      </c>
      <c r="P246">
        <v>5</v>
      </c>
      <c r="Q246" t="s">
        <v>50</v>
      </c>
      <c r="R246">
        <v>4</v>
      </c>
      <c r="S246" t="s">
        <v>42</v>
      </c>
      <c r="T246" s="2">
        <v>19202</v>
      </c>
      <c r="U246" s="2">
        <v>15970</v>
      </c>
      <c r="V246">
        <v>0</v>
      </c>
      <c r="W246" t="s">
        <v>38</v>
      </c>
      <c r="X246">
        <v>11</v>
      </c>
      <c r="Y246">
        <v>3</v>
      </c>
      <c r="Z246">
        <v>3</v>
      </c>
      <c r="AA246">
        <v>80</v>
      </c>
      <c r="AB246">
        <v>1</v>
      </c>
      <c r="AC246">
        <v>25</v>
      </c>
      <c r="AD246">
        <v>2</v>
      </c>
      <c r="AE246">
        <v>3</v>
      </c>
      <c r="AF246">
        <v>24</v>
      </c>
      <c r="AG246">
        <v>0</v>
      </c>
      <c r="AH246">
        <v>1</v>
      </c>
      <c r="AI246">
        <v>7</v>
      </c>
    </row>
    <row r="247" spans="1:35" x14ac:dyDescent="0.25">
      <c r="A247">
        <v>31</v>
      </c>
      <c r="B247" t="str">
        <f t="shared" si="6"/>
        <v>25-34</v>
      </c>
      <c r="C247" s="1" t="s">
        <v>38</v>
      </c>
      <c r="D247" s="17">
        <f>IF(Table1[[#This Row],[Attrition]]="Yes",1,0)</f>
        <v>0</v>
      </c>
      <c r="E247" t="s">
        <v>58</v>
      </c>
      <c r="F247" s="2">
        <v>1327</v>
      </c>
      <c r="G247" t="s">
        <v>39</v>
      </c>
      <c r="H247">
        <v>3</v>
      </c>
      <c r="I247">
        <v>4</v>
      </c>
      <c r="J247" t="str">
        <f t="shared" si="7"/>
        <v>Master</v>
      </c>
      <c r="K247" t="s">
        <v>45</v>
      </c>
      <c r="L247">
        <v>2</v>
      </c>
      <c r="M247" t="s">
        <v>40</v>
      </c>
      <c r="N247" s="2">
        <v>73</v>
      </c>
      <c r="O247">
        <v>3</v>
      </c>
      <c r="P247">
        <v>3</v>
      </c>
      <c r="Q247" t="s">
        <v>52</v>
      </c>
      <c r="R247">
        <v>3</v>
      </c>
      <c r="S247" t="s">
        <v>46</v>
      </c>
      <c r="T247" s="2">
        <v>13675</v>
      </c>
      <c r="U247" s="2">
        <v>13523</v>
      </c>
      <c r="V247">
        <v>9</v>
      </c>
      <c r="W247" t="s">
        <v>38</v>
      </c>
      <c r="X247">
        <v>12</v>
      </c>
      <c r="Y247">
        <v>3</v>
      </c>
      <c r="Z247">
        <v>1</v>
      </c>
      <c r="AA247">
        <v>80</v>
      </c>
      <c r="AB247">
        <v>1</v>
      </c>
      <c r="AC247">
        <v>9</v>
      </c>
      <c r="AD247">
        <v>3</v>
      </c>
      <c r="AE247">
        <v>3</v>
      </c>
      <c r="AF247">
        <v>2</v>
      </c>
      <c r="AG247">
        <v>2</v>
      </c>
      <c r="AH247">
        <v>2</v>
      </c>
      <c r="AI247">
        <v>2</v>
      </c>
    </row>
    <row r="248" spans="1:35" x14ac:dyDescent="0.25">
      <c r="A248">
        <v>33</v>
      </c>
      <c r="B248" t="str">
        <f t="shared" si="6"/>
        <v>25-34</v>
      </c>
      <c r="C248" s="1" t="s">
        <v>38</v>
      </c>
      <c r="D248" s="17">
        <f>IF(Table1[[#This Row],[Attrition]]="Yes",1,0)</f>
        <v>0</v>
      </c>
      <c r="E248" t="s">
        <v>57</v>
      </c>
      <c r="F248" s="2">
        <v>832</v>
      </c>
      <c r="G248" t="s">
        <v>39</v>
      </c>
      <c r="H248">
        <v>5</v>
      </c>
      <c r="I248">
        <v>4</v>
      </c>
      <c r="J248" t="str">
        <f t="shared" si="7"/>
        <v>Master</v>
      </c>
      <c r="K248" t="s">
        <v>34</v>
      </c>
      <c r="L248">
        <v>3</v>
      </c>
      <c r="M248" t="s">
        <v>35</v>
      </c>
      <c r="N248" s="2">
        <v>63</v>
      </c>
      <c r="O248">
        <v>2</v>
      </c>
      <c r="P248">
        <v>1</v>
      </c>
      <c r="Q248" t="s">
        <v>41</v>
      </c>
      <c r="R248">
        <v>4</v>
      </c>
      <c r="S248" t="s">
        <v>42</v>
      </c>
      <c r="T248" s="2">
        <v>2911</v>
      </c>
      <c r="U248" s="2">
        <v>14776</v>
      </c>
      <c r="V248">
        <v>1</v>
      </c>
      <c r="W248" t="s">
        <v>38</v>
      </c>
      <c r="X248">
        <v>13</v>
      </c>
      <c r="Y248">
        <v>3</v>
      </c>
      <c r="Z248">
        <v>3</v>
      </c>
      <c r="AA248">
        <v>80</v>
      </c>
      <c r="AB248">
        <v>1</v>
      </c>
      <c r="AC248">
        <v>2</v>
      </c>
      <c r="AD248">
        <v>2</v>
      </c>
      <c r="AE248">
        <v>2</v>
      </c>
      <c r="AF248">
        <v>2</v>
      </c>
      <c r="AG248">
        <v>2</v>
      </c>
      <c r="AH248">
        <v>0</v>
      </c>
      <c r="AI248">
        <v>2</v>
      </c>
    </row>
    <row r="249" spans="1:35" x14ac:dyDescent="0.25">
      <c r="A249">
        <v>34</v>
      </c>
      <c r="B249" t="str">
        <f t="shared" si="6"/>
        <v>25-34</v>
      </c>
      <c r="C249" s="1" t="s">
        <v>38</v>
      </c>
      <c r="D249" s="17">
        <f>IF(Table1[[#This Row],[Attrition]]="Yes",1,0)</f>
        <v>0</v>
      </c>
      <c r="E249" t="s">
        <v>57</v>
      </c>
      <c r="F249" s="2">
        <v>470</v>
      </c>
      <c r="G249" t="s">
        <v>39</v>
      </c>
      <c r="H249">
        <v>2</v>
      </c>
      <c r="I249">
        <v>4</v>
      </c>
      <c r="J249" t="str">
        <f t="shared" si="7"/>
        <v>Master</v>
      </c>
      <c r="K249" t="s">
        <v>34</v>
      </c>
      <c r="L249">
        <v>4</v>
      </c>
      <c r="M249" t="s">
        <v>40</v>
      </c>
      <c r="N249" s="2">
        <v>84</v>
      </c>
      <c r="O249">
        <v>2</v>
      </c>
      <c r="P249">
        <v>2</v>
      </c>
      <c r="Q249" t="s">
        <v>47</v>
      </c>
      <c r="R249">
        <v>1</v>
      </c>
      <c r="S249" t="s">
        <v>42</v>
      </c>
      <c r="T249" s="2">
        <v>5957</v>
      </c>
      <c r="U249" s="2">
        <v>23687</v>
      </c>
      <c r="V249">
        <v>6</v>
      </c>
      <c r="W249" t="s">
        <v>38</v>
      </c>
      <c r="X249">
        <v>13</v>
      </c>
      <c r="Y249">
        <v>3</v>
      </c>
      <c r="Z249">
        <v>2</v>
      </c>
      <c r="AA249">
        <v>80</v>
      </c>
      <c r="AB249">
        <v>1</v>
      </c>
      <c r="AC249">
        <v>13</v>
      </c>
      <c r="AD249">
        <v>3</v>
      </c>
      <c r="AE249">
        <v>3</v>
      </c>
      <c r="AF249">
        <v>11</v>
      </c>
      <c r="AG249">
        <v>9</v>
      </c>
      <c r="AH249">
        <v>5</v>
      </c>
      <c r="AI249">
        <v>9</v>
      </c>
    </row>
    <row r="250" spans="1:35" x14ac:dyDescent="0.25">
      <c r="A250">
        <v>37</v>
      </c>
      <c r="B250" t="str">
        <f t="shared" si="6"/>
        <v>35-44</v>
      </c>
      <c r="C250" s="1" t="s">
        <v>38</v>
      </c>
      <c r="D250" s="17">
        <f>IF(Table1[[#This Row],[Attrition]]="Yes",1,0)</f>
        <v>0</v>
      </c>
      <c r="E250" t="s">
        <v>57</v>
      </c>
      <c r="F250" s="2">
        <v>1017</v>
      </c>
      <c r="G250" t="s">
        <v>39</v>
      </c>
      <c r="H250">
        <v>1</v>
      </c>
      <c r="I250">
        <v>2</v>
      </c>
      <c r="J250" t="str">
        <f t="shared" si="7"/>
        <v>College</v>
      </c>
      <c r="K250" t="s">
        <v>45</v>
      </c>
      <c r="L250">
        <v>3</v>
      </c>
      <c r="M250" t="s">
        <v>35</v>
      </c>
      <c r="N250" s="2">
        <v>83</v>
      </c>
      <c r="O250">
        <v>2</v>
      </c>
      <c r="P250">
        <v>1</v>
      </c>
      <c r="Q250" t="s">
        <v>41</v>
      </c>
      <c r="R250">
        <v>1</v>
      </c>
      <c r="S250" t="s">
        <v>42</v>
      </c>
      <c r="T250" s="2">
        <v>3920</v>
      </c>
      <c r="U250" s="2">
        <v>18697</v>
      </c>
      <c r="V250">
        <v>2</v>
      </c>
      <c r="W250" t="s">
        <v>38</v>
      </c>
      <c r="X250">
        <v>14</v>
      </c>
      <c r="Y250">
        <v>3</v>
      </c>
      <c r="Z250">
        <v>1</v>
      </c>
      <c r="AA250">
        <v>80</v>
      </c>
      <c r="AB250">
        <v>1</v>
      </c>
      <c r="AC250">
        <v>17</v>
      </c>
      <c r="AD250">
        <v>2</v>
      </c>
      <c r="AE250">
        <v>2</v>
      </c>
      <c r="AF250">
        <v>3</v>
      </c>
      <c r="AG250">
        <v>1</v>
      </c>
      <c r="AH250">
        <v>0</v>
      </c>
      <c r="AI250">
        <v>2</v>
      </c>
    </row>
    <row r="251" spans="1:35" x14ac:dyDescent="0.25">
      <c r="A251">
        <v>45</v>
      </c>
      <c r="B251" t="str">
        <f t="shared" si="6"/>
        <v>45-54</v>
      </c>
      <c r="C251" s="1" t="s">
        <v>38</v>
      </c>
      <c r="D251" s="17">
        <f>IF(Table1[[#This Row],[Attrition]]="Yes",1,0)</f>
        <v>0</v>
      </c>
      <c r="E251" t="s">
        <v>58</v>
      </c>
      <c r="F251" s="2">
        <v>1199</v>
      </c>
      <c r="G251" t="s">
        <v>39</v>
      </c>
      <c r="H251">
        <v>7</v>
      </c>
      <c r="I251">
        <v>4</v>
      </c>
      <c r="J251" t="str">
        <f t="shared" si="7"/>
        <v>Master</v>
      </c>
      <c r="K251" t="s">
        <v>34</v>
      </c>
      <c r="L251">
        <v>1</v>
      </c>
      <c r="M251" t="s">
        <v>40</v>
      </c>
      <c r="N251" s="2">
        <v>77</v>
      </c>
      <c r="O251">
        <v>4</v>
      </c>
      <c r="P251">
        <v>2</v>
      </c>
      <c r="Q251" t="s">
        <v>47</v>
      </c>
      <c r="R251">
        <v>3</v>
      </c>
      <c r="S251" t="s">
        <v>42</v>
      </c>
      <c r="T251" s="2">
        <v>6434</v>
      </c>
      <c r="U251" s="2">
        <v>5118</v>
      </c>
      <c r="V251">
        <v>4</v>
      </c>
      <c r="W251" t="s">
        <v>38</v>
      </c>
      <c r="X251">
        <v>17</v>
      </c>
      <c r="Y251">
        <v>3</v>
      </c>
      <c r="Z251">
        <v>4</v>
      </c>
      <c r="AA251">
        <v>80</v>
      </c>
      <c r="AB251">
        <v>1</v>
      </c>
      <c r="AC251">
        <v>9</v>
      </c>
      <c r="AD251">
        <v>1</v>
      </c>
      <c r="AE251">
        <v>3</v>
      </c>
      <c r="AF251">
        <v>3</v>
      </c>
      <c r="AG251">
        <v>2</v>
      </c>
      <c r="AH251">
        <v>0</v>
      </c>
      <c r="AI251">
        <v>2</v>
      </c>
    </row>
    <row r="252" spans="1:35" x14ac:dyDescent="0.25">
      <c r="A252">
        <v>37</v>
      </c>
      <c r="B252" t="str">
        <f t="shared" si="6"/>
        <v>35-44</v>
      </c>
      <c r="C252" s="1" t="s">
        <v>32</v>
      </c>
      <c r="D252" s="17">
        <f>IF(Table1[[#This Row],[Attrition]]="Yes",1,0)</f>
        <v>1</v>
      </c>
      <c r="E252" t="s">
        <v>58</v>
      </c>
      <c r="F252" s="2">
        <v>504</v>
      </c>
      <c r="G252" t="s">
        <v>39</v>
      </c>
      <c r="H252">
        <v>10</v>
      </c>
      <c r="I252">
        <v>3</v>
      </c>
      <c r="J252" t="str">
        <f t="shared" si="7"/>
        <v>Bachelor</v>
      </c>
      <c r="K252" t="s">
        <v>45</v>
      </c>
      <c r="L252">
        <v>1</v>
      </c>
      <c r="M252" t="s">
        <v>40</v>
      </c>
      <c r="N252" s="2">
        <v>61</v>
      </c>
      <c r="O252">
        <v>3</v>
      </c>
      <c r="P252">
        <v>3</v>
      </c>
      <c r="Q252" t="s">
        <v>47</v>
      </c>
      <c r="R252">
        <v>3</v>
      </c>
      <c r="S252" t="s">
        <v>46</v>
      </c>
      <c r="T252" s="2">
        <v>10048</v>
      </c>
      <c r="U252" s="2">
        <v>22573</v>
      </c>
      <c r="V252">
        <v>6</v>
      </c>
      <c r="W252" t="s">
        <v>38</v>
      </c>
      <c r="X252">
        <v>11</v>
      </c>
      <c r="Y252">
        <v>3</v>
      </c>
      <c r="Z252">
        <v>2</v>
      </c>
      <c r="AA252">
        <v>80</v>
      </c>
      <c r="AB252">
        <v>2</v>
      </c>
      <c r="AC252">
        <v>17</v>
      </c>
      <c r="AD252">
        <v>5</v>
      </c>
      <c r="AE252">
        <v>3</v>
      </c>
      <c r="AF252">
        <v>1</v>
      </c>
      <c r="AG252">
        <v>0</v>
      </c>
      <c r="AH252">
        <v>0</v>
      </c>
      <c r="AI252">
        <v>0</v>
      </c>
    </row>
    <row r="253" spans="1:35" x14ac:dyDescent="0.25">
      <c r="A253">
        <v>39</v>
      </c>
      <c r="B253" t="str">
        <f t="shared" si="6"/>
        <v>35-44</v>
      </c>
      <c r="C253" s="1" t="s">
        <v>38</v>
      </c>
      <c r="D253" s="17">
        <f>IF(Table1[[#This Row],[Attrition]]="Yes",1,0)</f>
        <v>0</v>
      </c>
      <c r="E253" t="s">
        <v>58</v>
      </c>
      <c r="F253" s="2">
        <v>505</v>
      </c>
      <c r="G253" t="s">
        <v>39</v>
      </c>
      <c r="H253">
        <v>2</v>
      </c>
      <c r="I253">
        <v>4</v>
      </c>
      <c r="J253" t="str">
        <f t="shared" si="7"/>
        <v>Master</v>
      </c>
      <c r="K253" t="s">
        <v>54</v>
      </c>
      <c r="L253">
        <v>3</v>
      </c>
      <c r="M253" t="s">
        <v>35</v>
      </c>
      <c r="N253" s="2">
        <v>64</v>
      </c>
      <c r="O253">
        <v>3</v>
      </c>
      <c r="P253">
        <v>3</v>
      </c>
      <c r="Q253" t="s">
        <v>48</v>
      </c>
      <c r="R253">
        <v>3</v>
      </c>
      <c r="S253" t="s">
        <v>37</v>
      </c>
      <c r="T253" s="2">
        <v>10938</v>
      </c>
      <c r="U253" s="2">
        <v>6420</v>
      </c>
      <c r="V253">
        <v>0</v>
      </c>
      <c r="W253" t="s">
        <v>38</v>
      </c>
      <c r="X253">
        <v>25</v>
      </c>
      <c r="Y253">
        <v>4</v>
      </c>
      <c r="Z253">
        <v>4</v>
      </c>
      <c r="AA253">
        <v>80</v>
      </c>
      <c r="AB253">
        <v>0</v>
      </c>
      <c r="AC253">
        <v>20</v>
      </c>
      <c r="AD253">
        <v>1</v>
      </c>
      <c r="AE253">
        <v>3</v>
      </c>
      <c r="AF253">
        <v>19</v>
      </c>
      <c r="AG253">
        <v>6</v>
      </c>
      <c r="AH253">
        <v>11</v>
      </c>
      <c r="AI253">
        <v>8</v>
      </c>
    </row>
    <row r="254" spans="1:35" x14ac:dyDescent="0.25">
      <c r="A254">
        <v>29</v>
      </c>
      <c r="B254" t="str">
        <f t="shared" si="6"/>
        <v>25-34</v>
      </c>
      <c r="C254" s="1" t="s">
        <v>38</v>
      </c>
      <c r="D254" s="17">
        <f>IF(Table1[[#This Row],[Attrition]]="Yes",1,0)</f>
        <v>0</v>
      </c>
      <c r="E254" t="s">
        <v>57</v>
      </c>
      <c r="F254" s="2">
        <v>665</v>
      </c>
      <c r="G254" t="s">
        <v>39</v>
      </c>
      <c r="H254">
        <v>15</v>
      </c>
      <c r="I254">
        <v>3</v>
      </c>
      <c r="J254" t="str">
        <f t="shared" si="7"/>
        <v>Bachelor</v>
      </c>
      <c r="K254" t="s">
        <v>34</v>
      </c>
      <c r="L254">
        <v>3</v>
      </c>
      <c r="M254" t="s">
        <v>40</v>
      </c>
      <c r="N254" s="2">
        <v>60</v>
      </c>
      <c r="O254">
        <v>3</v>
      </c>
      <c r="P254">
        <v>1</v>
      </c>
      <c r="Q254" t="s">
        <v>41</v>
      </c>
      <c r="R254">
        <v>4</v>
      </c>
      <c r="S254" t="s">
        <v>37</v>
      </c>
      <c r="T254" s="2">
        <v>2340</v>
      </c>
      <c r="U254" s="2">
        <v>22673</v>
      </c>
      <c r="V254">
        <v>1</v>
      </c>
      <c r="W254" t="s">
        <v>38</v>
      </c>
      <c r="X254">
        <v>19</v>
      </c>
      <c r="Y254">
        <v>3</v>
      </c>
      <c r="Z254">
        <v>1</v>
      </c>
      <c r="AA254">
        <v>80</v>
      </c>
      <c r="AB254">
        <v>0</v>
      </c>
      <c r="AC254">
        <v>6</v>
      </c>
      <c r="AD254">
        <v>1</v>
      </c>
      <c r="AE254">
        <v>3</v>
      </c>
      <c r="AF254">
        <v>6</v>
      </c>
      <c r="AG254">
        <v>5</v>
      </c>
      <c r="AH254">
        <v>1</v>
      </c>
      <c r="AI254">
        <v>5</v>
      </c>
    </row>
    <row r="255" spans="1:35" x14ac:dyDescent="0.25">
      <c r="A255">
        <v>42</v>
      </c>
      <c r="B255" t="str">
        <f t="shared" si="6"/>
        <v>35-44</v>
      </c>
      <c r="C255" s="1" t="s">
        <v>38</v>
      </c>
      <c r="D255" s="17">
        <f>IF(Table1[[#This Row],[Attrition]]="Yes",1,0)</f>
        <v>0</v>
      </c>
      <c r="E255" t="s">
        <v>57</v>
      </c>
      <c r="F255" s="2">
        <v>916</v>
      </c>
      <c r="G255" t="s">
        <v>39</v>
      </c>
      <c r="H255">
        <v>17</v>
      </c>
      <c r="I255">
        <v>2</v>
      </c>
      <c r="J255" t="str">
        <f t="shared" si="7"/>
        <v>College</v>
      </c>
      <c r="K255" t="s">
        <v>34</v>
      </c>
      <c r="L255">
        <v>4</v>
      </c>
      <c r="M255" t="s">
        <v>35</v>
      </c>
      <c r="N255" s="2">
        <v>82</v>
      </c>
      <c r="O255">
        <v>4</v>
      </c>
      <c r="P255">
        <v>2</v>
      </c>
      <c r="Q255" t="s">
        <v>41</v>
      </c>
      <c r="R255">
        <v>1</v>
      </c>
      <c r="S255" t="s">
        <v>37</v>
      </c>
      <c r="T255" s="2">
        <v>6545</v>
      </c>
      <c r="U255" s="2">
        <v>23016</v>
      </c>
      <c r="V255">
        <v>3</v>
      </c>
      <c r="W255" t="s">
        <v>32</v>
      </c>
      <c r="X255">
        <v>13</v>
      </c>
      <c r="Y255">
        <v>3</v>
      </c>
      <c r="Z255">
        <v>3</v>
      </c>
      <c r="AA255">
        <v>80</v>
      </c>
      <c r="AB255">
        <v>0</v>
      </c>
      <c r="AC255">
        <v>10</v>
      </c>
      <c r="AD255">
        <v>1</v>
      </c>
      <c r="AE255">
        <v>3</v>
      </c>
      <c r="AF255">
        <v>3</v>
      </c>
      <c r="AG255">
        <v>2</v>
      </c>
      <c r="AH255">
        <v>0</v>
      </c>
      <c r="AI255">
        <v>2</v>
      </c>
    </row>
    <row r="256" spans="1:35" x14ac:dyDescent="0.25">
      <c r="A256">
        <v>29</v>
      </c>
      <c r="B256" t="str">
        <f t="shared" si="6"/>
        <v>25-34</v>
      </c>
      <c r="C256" s="1" t="s">
        <v>38</v>
      </c>
      <c r="D256" s="17">
        <f>IF(Table1[[#This Row],[Attrition]]="Yes",1,0)</f>
        <v>0</v>
      </c>
      <c r="E256" t="s">
        <v>57</v>
      </c>
      <c r="F256" s="2">
        <v>1247</v>
      </c>
      <c r="G256" t="s">
        <v>33</v>
      </c>
      <c r="H256">
        <v>20</v>
      </c>
      <c r="I256">
        <v>2</v>
      </c>
      <c r="J256" t="str">
        <f t="shared" si="7"/>
        <v>College</v>
      </c>
      <c r="K256" t="s">
        <v>53</v>
      </c>
      <c r="L256">
        <v>4</v>
      </c>
      <c r="M256" t="s">
        <v>40</v>
      </c>
      <c r="N256" s="2">
        <v>45</v>
      </c>
      <c r="O256">
        <v>3</v>
      </c>
      <c r="P256">
        <v>2</v>
      </c>
      <c r="Q256" t="s">
        <v>36</v>
      </c>
      <c r="R256">
        <v>4</v>
      </c>
      <c r="S256" t="s">
        <v>46</v>
      </c>
      <c r="T256" s="2">
        <v>6931</v>
      </c>
      <c r="U256" s="2">
        <v>10732</v>
      </c>
      <c r="V256">
        <v>2</v>
      </c>
      <c r="W256" t="s">
        <v>38</v>
      </c>
      <c r="X256">
        <v>14</v>
      </c>
      <c r="Y256">
        <v>3</v>
      </c>
      <c r="Z256">
        <v>4</v>
      </c>
      <c r="AA256">
        <v>80</v>
      </c>
      <c r="AB256">
        <v>1</v>
      </c>
      <c r="AC256">
        <v>10</v>
      </c>
      <c r="AD256">
        <v>2</v>
      </c>
      <c r="AE256">
        <v>3</v>
      </c>
      <c r="AF256">
        <v>3</v>
      </c>
      <c r="AG256">
        <v>2</v>
      </c>
      <c r="AH256">
        <v>0</v>
      </c>
      <c r="AI256">
        <v>2</v>
      </c>
    </row>
    <row r="257" spans="1:35" x14ac:dyDescent="0.25">
      <c r="A257">
        <v>25</v>
      </c>
      <c r="B257" t="str">
        <f t="shared" si="6"/>
        <v>25-34</v>
      </c>
      <c r="C257" s="1" t="s">
        <v>38</v>
      </c>
      <c r="D257" s="17">
        <f>IF(Table1[[#This Row],[Attrition]]="Yes",1,0)</f>
        <v>0</v>
      </c>
      <c r="E257" t="s">
        <v>57</v>
      </c>
      <c r="F257" s="2">
        <v>685</v>
      </c>
      <c r="G257" t="s">
        <v>39</v>
      </c>
      <c r="H257">
        <v>1</v>
      </c>
      <c r="I257">
        <v>3</v>
      </c>
      <c r="J257" t="str">
        <f t="shared" si="7"/>
        <v>Bachelor</v>
      </c>
      <c r="K257" t="s">
        <v>34</v>
      </c>
      <c r="L257">
        <v>1</v>
      </c>
      <c r="M257" t="s">
        <v>35</v>
      </c>
      <c r="N257" s="2">
        <v>62</v>
      </c>
      <c r="O257">
        <v>3</v>
      </c>
      <c r="P257">
        <v>2</v>
      </c>
      <c r="Q257" t="s">
        <v>47</v>
      </c>
      <c r="R257">
        <v>3</v>
      </c>
      <c r="S257" t="s">
        <v>42</v>
      </c>
      <c r="T257" s="2">
        <v>4898</v>
      </c>
      <c r="U257" s="2">
        <v>7505</v>
      </c>
      <c r="V257">
        <v>0</v>
      </c>
      <c r="W257" t="s">
        <v>38</v>
      </c>
      <c r="X257">
        <v>12</v>
      </c>
      <c r="Y257">
        <v>3</v>
      </c>
      <c r="Z257">
        <v>4</v>
      </c>
      <c r="AA257">
        <v>80</v>
      </c>
      <c r="AB257">
        <v>2</v>
      </c>
      <c r="AC257">
        <v>5</v>
      </c>
      <c r="AD257">
        <v>3</v>
      </c>
      <c r="AE257">
        <v>3</v>
      </c>
      <c r="AF257">
        <v>4</v>
      </c>
      <c r="AG257">
        <v>2</v>
      </c>
      <c r="AH257">
        <v>1</v>
      </c>
      <c r="AI257">
        <v>2</v>
      </c>
    </row>
    <row r="258" spans="1:35" x14ac:dyDescent="0.25">
      <c r="A258">
        <v>42</v>
      </c>
      <c r="B258" t="str">
        <f t="shared" ref="B258:B321" si="8">IF(A258="","",IF(A258&lt;25,"18-24",
 IF(A258&lt;35,"25-34",
 IF(A258&lt;45,"35-44",
 IF(A258&lt;55,"45-54",
 IF(A258&lt;65,"55-64","65+"))))))</f>
        <v>35-44</v>
      </c>
      <c r="C258" s="1" t="s">
        <v>38</v>
      </c>
      <c r="D258" s="17">
        <f>IF(Table1[[#This Row],[Attrition]]="Yes",1,0)</f>
        <v>0</v>
      </c>
      <c r="E258" t="s">
        <v>57</v>
      </c>
      <c r="F258" s="2">
        <v>269</v>
      </c>
      <c r="G258" t="s">
        <v>39</v>
      </c>
      <c r="H258">
        <v>2</v>
      </c>
      <c r="I258">
        <v>3</v>
      </c>
      <c r="J258" t="str">
        <f t="shared" ref="J258:J321" si="9">CHOOSE(I258,"Below College","College","Bachelor","Master","Doctor")</f>
        <v>Bachelor</v>
      </c>
      <c r="K258" t="s">
        <v>45</v>
      </c>
      <c r="L258">
        <v>4</v>
      </c>
      <c r="M258" t="s">
        <v>35</v>
      </c>
      <c r="N258" s="2">
        <v>56</v>
      </c>
      <c r="O258">
        <v>2</v>
      </c>
      <c r="P258">
        <v>1</v>
      </c>
      <c r="Q258" t="s">
        <v>44</v>
      </c>
      <c r="R258">
        <v>1</v>
      </c>
      <c r="S258" t="s">
        <v>46</v>
      </c>
      <c r="T258" s="2">
        <v>2593</v>
      </c>
      <c r="U258" s="2">
        <v>8007</v>
      </c>
      <c r="V258">
        <v>0</v>
      </c>
      <c r="W258" t="s">
        <v>32</v>
      </c>
      <c r="X258">
        <v>11</v>
      </c>
      <c r="Y258">
        <v>3</v>
      </c>
      <c r="Z258">
        <v>3</v>
      </c>
      <c r="AA258">
        <v>80</v>
      </c>
      <c r="AB258">
        <v>1</v>
      </c>
      <c r="AC258">
        <v>10</v>
      </c>
      <c r="AD258">
        <v>4</v>
      </c>
      <c r="AE258">
        <v>3</v>
      </c>
      <c r="AF258">
        <v>9</v>
      </c>
      <c r="AG258">
        <v>6</v>
      </c>
      <c r="AH258">
        <v>7</v>
      </c>
      <c r="AI258">
        <v>8</v>
      </c>
    </row>
    <row r="259" spans="1:35" x14ac:dyDescent="0.25">
      <c r="A259">
        <v>40</v>
      </c>
      <c r="B259" t="str">
        <f t="shared" si="8"/>
        <v>35-44</v>
      </c>
      <c r="C259" s="1" t="s">
        <v>38</v>
      </c>
      <c r="D259" s="17">
        <f>IF(Table1[[#This Row],[Attrition]]="Yes",1,0)</f>
        <v>0</v>
      </c>
      <c r="E259" t="s">
        <v>57</v>
      </c>
      <c r="F259" s="2">
        <v>1416</v>
      </c>
      <c r="G259" t="s">
        <v>39</v>
      </c>
      <c r="H259">
        <v>2</v>
      </c>
      <c r="I259">
        <v>2</v>
      </c>
      <c r="J259" t="str">
        <f t="shared" si="9"/>
        <v>College</v>
      </c>
      <c r="K259" t="s">
        <v>45</v>
      </c>
      <c r="L259">
        <v>1</v>
      </c>
      <c r="M259" t="s">
        <v>40</v>
      </c>
      <c r="N259" s="2">
        <v>49</v>
      </c>
      <c r="O259">
        <v>3</v>
      </c>
      <c r="P259">
        <v>5</v>
      </c>
      <c r="Q259" t="s">
        <v>52</v>
      </c>
      <c r="R259">
        <v>3</v>
      </c>
      <c r="S259" t="s">
        <v>46</v>
      </c>
      <c r="T259" s="2">
        <v>19436</v>
      </c>
      <c r="U259" s="2">
        <v>5949</v>
      </c>
      <c r="V259">
        <v>0</v>
      </c>
      <c r="W259" t="s">
        <v>38</v>
      </c>
      <c r="X259">
        <v>19</v>
      </c>
      <c r="Y259">
        <v>3</v>
      </c>
      <c r="Z259">
        <v>4</v>
      </c>
      <c r="AA259">
        <v>80</v>
      </c>
      <c r="AB259">
        <v>1</v>
      </c>
      <c r="AC259">
        <v>22</v>
      </c>
      <c r="AD259">
        <v>5</v>
      </c>
      <c r="AE259">
        <v>3</v>
      </c>
      <c r="AF259">
        <v>21</v>
      </c>
      <c r="AG259">
        <v>7</v>
      </c>
      <c r="AH259">
        <v>3</v>
      </c>
      <c r="AI259">
        <v>9</v>
      </c>
    </row>
    <row r="260" spans="1:35" x14ac:dyDescent="0.25">
      <c r="A260">
        <v>51</v>
      </c>
      <c r="B260" t="str">
        <f t="shared" si="8"/>
        <v>45-54</v>
      </c>
      <c r="C260" s="1" t="s">
        <v>38</v>
      </c>
      <c r="D260" s="17">
        <f>IF(Table1[[#This Row],[Attrition]]="Yes",1,0)</f>
        <v>0</v>
      </c>
      <c r="E260" t="s">
        <v>57</v>
      </c>
      <c r="F260" s="2">
        <v>833</v>
      </c>
      <c r="G260" t="s">
        <v>39</v>
      </c>
      <c r="H260">
        <v>1</v>
      </c>
      <c r="I260">
        <v>3</v>
      </c>
      <c r="J260" t="str">
        <f t="shared" si="9"/>
        <v>Bachelor</v>
      </c>
      <c r="K260" t="s">
        <v>34</v>
      </c>
      <c r="L260">
        <v>3</v>
      </c>
      <c r="M260" t="s">
        <v>40</v>
      </c>
      <c r="N260" s="2">
        <v>96</v>
      </c>
      <c r="O260">
        <v>3</v>
      </c>
      <c r="P260">
        <v>1</v>
      </c>
      <c r="Q260" t="s">
        <v>41</v>
      </c>
      <c r="R260">
        <v>4</v>
      </c>
      <c r="S260" t="s">
        <v>42</v>
      </c>
      <c r="T260" s="2">
        <v>2723</v>
      </c>
      <c r="U260" s="2">
        <v>23231</v>
      </c>
      <c r="V260">
        <v>1</v>
      </c>
      <c r="W260" t="s">
        <v>38</v>
      </c>
      <c r="X260">
        <v>11</v>
      </c>
      <c r="Y260">
        <v>3</v>
      </c>
      <c r="Z260">
        <v>2</v>
      </c>
      <c r="AA260">
        <v>80</v>
      </c>
      <c r="AB260">
        <v>0</v>
      </c>
      <c r="AC260">
        <v>1</v>
      </c>
      <c r="AD260">
        <v>0</v>
      </c>
      <c r="AE260">
        <v>2</v>
      </c>
      <c r="AF260">
        <v>1</v>
      </c>
      <c r="AG260">
        <v>0</v>
      </c>
      <c r="AH260">
        <v>0</v>
      </c>
      <c r="AI260">
        <v>0</v>
      </c>
    </row>
    <row r="261" spans="1:35" x14ac:dyDescent="0.25">
      <c r="A261">
        <v>31</v>
      </c>
      <c r="B261" t="str">
        <f t="shared" si="8"/>
        <v>25-34</v>
      </c>
      <c r="C261" s="1" t="s">
        <v>32</v>
      </c>
      <c r="D261" s="17">
        <f>IF(Table1[[#This Row],[Attrition]]="Yes",1,0)</f>
        <v>1</v>
      </c>
      <c r="E261" t="s">
        <v>58</v>
      </c>
      <c r="F261" s="2">
        <v>307</v>
      </c>
      <c r="G261" t="s">
        <v>39</v>
      </c>
      <c r="H261">
        <v>29</v>
      </c>
      <c r="I261">
        <v>2</v>
      </c>
      <c r="J261" t="str">
        <f t="shared" si="9"/>
        <v>College</v>
      </c>
      <c r="K261" t="s">
        <v>45</v>
      </c>
      <c r="L261">
        <v>3</v>
      </c>
      <c r="M261" t="s">
        <v>40</v>
      </c>
      <c r="N261" s="2">
        <v>71</v>
      </c>
      <c r="O261">
        <v>2</v>
      </c>
      <c r="P261">
        <v>1</v>
      </c>
      <c r="Q261" t="s">
        <v>44</v>
      </c>
      <c r="R261">
        <v>2</v>
      </c>
      <c r="S261" t="s">
        <v>37</v>
      </c>
      <c r="T261" s="2">
        <v>3479</v>
      </c>
      <c r="U261" s="2">
        <v>11652</v>
      </c>
      <c r="V261">
        <v>0</v>
      </c>
      <c r="W261" t="s">
        <v>38</v>
      </c>
      <c r="X261">
        <v>11</v>
      </c>
      <c r="Y261">
        <v>3</v>
      </c>
      <c r="Z261">
        <v>2</v>
      </c>
      <c r="AA261">
        <v>80</v>
      </c>
      <c r="AB261">
        <v>0</v>
      </c>
      <c r="AC261">
        <v>6</v>
      </c>
      <c r="AD261">
        <v>2</v>
      </c>
      <c r="AE261">
        <v>4</v>
      </c>
      <c r="AF261">
        <v>5</v>
      </c>
      <c r="AG261">
        <v>4</v>
      </c>
      <c r="AH261">
        <v>1</v>
      </c>
      <c r="AI261">
        <v>4</v>
      </c>
    </row>
    <row r="262" spans="1:35" x14ac:dyDescent="0.25">
      <c r="A262">
        <v>32</v>
      </c>
      <c r="B262" t="str">
        <f t="shared" si="8"/>
        <v>25-34</v>
      </c>
      <c r="C262" s="1" t="s">
        <v>38</v>
      </c>
      <c r="D262" s="17">
        <f>IF(Table1[[#This Row],[Attrition]]="Yes",1,0)</f>
        <v>0</v>
      </c>
      <c r="E262" t="s">
        <v>58</v>
      </c>
      <c r="F262" s="2">
        <v>1311</v>
      </c>
      <c r="G262" t="s">
        <v>39</v>
      </c>
      <c r="H262">
        <v>7</v>
      </c>
      <c r="I262">
        <v>3</v>
      </c>
      <c r="J262" t="str">
        <f t="shared" si="9"/>
        <v>Bachelor</v>
      </c>
      <c r="K262" t="s">
        <v>34</v>
      </c>
      <c r="L262">
        <v>2</v>
      </c>
      <c r="M262" t="s">
        <v>40</v>
      </c>
      <c r="N262" s="2">
        <v>100</v>
      </c>
      <c r="O262">
        <v>4</v>
      </c>
      <c r="P262">
        <v>1</v>
      </c>
      <c r="Q262" t="s">
        <v>44</v>
      </c>
      <c r="R262">
        <v>2</v>
      </c>
      <c r="S262" t="s">
        <v>42</v>
      </c>
      <c r="T262" s="2">
        <v>2794</v>
      </c>
      <c r="U262" s="2">
        <v>26062</v>
      </c>
      <c r="V262">
        <v>1</v>
      </c>
      <c r="W262" t="s">
        <v>38</v>
      </c>
      <c r="X262">
        <v>20</v>
      </c>
      <c r="Y262">
        <v>4</v>
      </c>
      <c r="Z262">
        <v>3</v>
      </c>
      <c r="AA262">
        <v>80</v>
      </c>
      <c r="AB262">
        <v>0</v>
      </c>
      <c r="AC262">
        <v>5</v>
      </c>
      <c r="AD262">
        <v>3</v>
      </c>
      <c r="AE262">
        <v>1</v>
      </c>
      <c r="AF262">
        <v>5</v>
      </c>
      <c r="AG262">
        <v>1</v>
      </c>
      <c r="AH262">
        <v>0</v>
      </c>
      <c r="AI262">
        <v>3</v>
      </c>
    </row>
    <row r="263" spans="1:35" x14ac:dyDescent="0.25">
      <c r="A263">
        <v>38</v>
      </c>
      <c r="B263" t="str">
        <f t="shared" si="8"/>
        <v>35-44</v>
      </c>
      <c r="C263" s="1" t="s">
        <v>38</v>
      </c>
      <c r="D263" s="17">
        <f>IF(Table1[[#This Row],[Attrition]]="Yes",1,0)</f>
        <v>0</v>
      </c>
      <c r="E263" t="s">
        <v>49</v>
      </c>
      <c r="F263" s="2">
        <v>1327</v>
      </c>
      <c r="G263" t="s">
        <v>33</v>
      </c>
      <c r="H263">
        <v>2</v>
      </c>
      <c r="I263">
        <v>2</v>
      </c>
      <c r="J263" t="str">
        <f t="shared" si="9"/>
        <v>College</v>
      </c>
      <c r="K263" t="s">
        <v>34</v>
      </c>
      <c r="L263">
        <v>4</v>
      </c>
      <c r="M263" t="s">
        <v>40</v>
      </c>
      <c r="N263" s="2">
        <v>39</v>
      </c>
      <c r="O263">
        <v>2</v>
      </c>
      <c r="P263">
        <v>2</v>
      </c>
      <c r="Q263" t="s">
        <v>36</v>
      </c>
      <c r="R263">
        <v>4</v>
      </c>
      <c r="S263" t="s">
        <v>42</v>
      </c>
      <c r="T263" s="2">
        <v>5249</v>
      </c>
      <c r="U263" s="2">
        <v>19682</v>
      </c>
      <c r="V263">
        <v>3</v>
      </c>
      <c r="W263" t="s">
        <v>38</v>
      </c>
      <c r="X263">
        <v>18</v>
      </c>
      <c r="Y263">
        <v>3</v>
      </c>
      <c r="Z263">
        <v>4</v>
      </c>
      <c r="AA263">
        <v>80</v>
      </c>
      <c r="AB263">
        <v>1</v>
      </c>
      <c r="AC263">
        <v>13</v>
      </c>
      <c r="AD263">
        <v>0</v>
      </c>
      <c r="AE263">
        <v>3</v>
      </c>
      <c r="AF263">
        <v>8</v>
      </c>
      <c r="AG263">
        <v>7</v>
      </c>
      <c r="AH263">
        <v>7</v>
      </c>
      <c r="AI263">
        <v>5</v>
      </c>
    </row>
    <row r="264" spans="1:35" x14ac:dyDescent="0.25">
      <c r="A264">
        <v>32</v>
      </c>
      <c r="B264" t="str">
        <f t="shared" si="8"/>
        <v>25-34</v>
      </c>
      <c r="C264" s="1" t="s">
        <v>38</v>
      </c>
      <c r="D264" s="17">
        <f>IF(Table1[[#This Row],[Attrition]]="Yes",1,0)</f>
        <v>0</v>
      </c>
      <c r="E264" t="s">
        <v>57</v>
      </c>
      <c r="F264" s="2">
        <v>128</v>
      </c>
      <c r="G264" t="s">
        <v>39</v>
      </c>
      <c r="H264">
        <v>2</v>
      </c>
      <c r="I264">
        <v>1</v>
      </c>
      <c r="J264" t="str">
        <f t="shared" si="9"/>
        <v>Below College</v>
      </c>
      <c r="K264" t="s">
        <v>54</v>
      </c>
      <c r="L264">
        <v>4</v>
      </c>
      <c r="M264" t="s">
        <v>40</v>
      </c>
      <c r="N264" s="2">
        <v>84</v>
      </c>
      <c r="O264">
        <v>2</v>
      </c>
      <c r="P264">
        <v>2</v>
      </c>
      <c r="Q264" t="s">
        <v>44</v>
      </c>
      <c r="R264">
        <v>1</v>
      </c>
      <c r="S264" t="s">
        <v>37</v>
      </c>
      <c r="T264" s="2">
        <v>2176</v>
      </c>
      <c r="U264" s="2">
        <v>19737</v>
      </c>
      <c r="V264">
        <v>4</v>
      </c>
      <c r="W264" t="s">
        <v>38</v>
      </c>
      <c r="X264">
        <v>13</v>
      </c>
      <c r="Y264">
        <v>3</v>
      </c>
      <c r="Z264">
        <v>4</v>
      </c>
      <c r="AA264">
        <v>80</v>
      </c>
      <c r="AB264">
        <v>0</v>
      </c>
      <c r="AC264">
        <v>9</v>
      </c>
      <c r="AD264">
        <v>5</v>
      </c>
      <c r="AE264">
        <v>3</v>
      </c>
      <c r="AF264">
        <v>6</v>
      </c>
      <c r="AG264">
        <v>2</v>
      </c>
      <c r="AH264">
        <v>0</v>
      </c>
      <c r="AI264">
        <v>4</v>
      </c>
    </row>
    <row r="265" spans="1:35" x14ac:dyDescent="0.25">
      <c r="A265">
        <v>46</v>
      </c>
      <c r="B265" t="str">
        <f t="shared" si="8"/>
        <v>45-54</v>
      </c>
      <c r="C265" s="1" t="s">
        <v>38</v>
      </c>
      <c r="D265" s="17">
        <f>IF(Table1[[#This Row],[Attrition]]="Yes",1,0)</f>
        <v>0</v>
      </c>
      <c r="E265" t="s">
        <v>57</v>
      </c>
      <c r="F265" s="2">
        <v>488</v>
      </c>
      <c r="G265" t="s">
        <v>33</v>
      </c>
      <c r="H265">
        <v>2</v>
      </c>
      <c r="I265">
        <v>3</v>
      </c>
      <c r="J265" t="str">
        <f t="shared" si="9"/>
        <v>Bachelor</v>
      </c>
      <c r="K265" t="s">
        <v>54</v>
      </c>
      <c r="L265">
        <v>3</v>
      </c>
      <c r="M265" t="s">
        <v>35</v>
      </c>
      <c r="N265" s="2">
        <v>75</v>
      </c>
      <c r="O265">
        <v>1</v>
      </c>
      <c r="P265">
        <v>4</v>
      </c>
      <c r="Q265" t="s">
        <v>50</v>
      </c>
      <c r="R265">
        <v>2</v>
      </c>
      <c r="S265" t="s">
        <v>42</v>
      </c>
      <c r="T265" s="2">
        <v>16872</v>
      </c>
      <c r="U265" s="2">
        <v>14977</v>
      </c>
      <c r="V265">
        <v>3</v>
      </c>
      <c r="W265" t="s">
        <v>32</v>
      </c>
      <c r="X265">
        <v>12</v>
      </c>
      <c r="Y265">
        <v>3</v>
      </c>
      <c r="Z265">
        <v>2</v>
      </c>
      <c r="AA265">
        <v>80</v>
      </c>
      <c r="AB265">
        <v>1</v>
      </c>
      <c r="AC265">
        <v>28</v>
      </c>
      <c r="AD265">
        <v>2</v>
      </c>
      <c r="AE265">
        <v>2</v>
      </c>
      <c r="AF265">
        <v>7</v>
      </c>
      <c r="AG265">
        <v>7</v>
      </c>
      <c r="AH265">
        <v>7</v>
      </c>
      <c r="AI265">
        <v>7</v>
      </c>
    </row>
    <row r="266" spans="1:35" x14ac:dyDescent="0.25">
      <c r="A266">
        <v>28</v>
      </c>
      <c r="B266" t="str">
        <f t="shared" si="8"/>
        <v>25-34</v>
      </c>
      <c r="C266" s="1" t="s">
        <v>32</v>
      </c>
      <c r="D266" s="17">
        <f>IF(Table1[[#This Row],[Attrition]]="Yes",1,0)</f>
        <v>1</v>
      </c>
      <c r="E266" t="s">
        <v>57</v>
      </c>
      <c r="F266" s="2">
        <v>529</v>
      </c>
      <c r="G266" t="s">
        <v>39</v>
      </c>
      <c r="H266">
        <v>2</v>
      </c>
      <c r="I266">
        <v>4</v>
      </c>
      <c r="J266" t="str">
        <f t="shared" si="9"/>
        <v>Master</v>
      </c>
      <c r="K266" t="s">
        <v>34</v>
      </c>
      <c r="L266">
        <v>1</v>
      </c>
      <c r="M266" t="s">
        <v>40</v>
      </c>
      <c r="N266" s="2">
        <v>79</v>
      </c>
      <c r="O266">
        <v>3</v>
      </c>
      <c r="P266">
        <v>1</v>
      </c>
      <c r="Q266" t="s">
        <v>44</v>
      </c>
      <c r="R266">
        <v>3</v>
      </c>
      <c r="S266" t="s">
        <v>37</v>
      </c>
      <c r="T266" s="2">
        <v>3485</v>
      </c>
      <c r="U266" s="2">
        <v>14935</v>
      </c>
      <c r="V266">
        <v>2</v>
      </c>
      <c r="W266" t="s">
        <v>38</v>
      </c>
      <c r="X266">
        <v>11</v>
      </c>
      <c r="Y266">
        <v>3</v>
      </c>
      <c r="Z266">
        <v>3</v>
      </c>
      <c r="AA266">
        <v>80</v>
      </c>
      <c r="AB266">
        <v>0</v>
      </c>
      <c r="AC266">
        <v>5</v>
      </c>
      <c r="AD266">
        <v>5</v>
      </c>
      <c r="AE266">
        <v>1</v>
      </c>
      <c r="AF266">
        <v>0</v>
      </c>
      <c r="AG266">
        <v>0</v>
      </c>
      <c r="AH266">
        <v>0</v>
      </c>
      <c r="AI266">
        <v>0</v>
      </c>
    </row>
    <row r="267" spans="1:35" x14ac:dyDescent="0.25">
      <c r="A267">
        <v>29</v>
      </c>
      <c r="B267" t="str">
        <f t="shared" si="8"/>
        <v>25-34</v>
      </c>
      <c r="C267" s="1" t="s">
        <v>38</v>
      </c>
      <c r="D267" s="17">
        <f>IF(Table1[[#This Row],[Attrition]]="Yes",1,0)</f>
        <v>0</v>
      </c>
      <c r="E267" t="s">
        <v>57</v>
      </c>
      <c r="F267" s="2">
        <v>1210</v>
      </c>
      <c r="G267" t="s">
        <v>33</v>
      </c>
      <c r="H267">
        <v>2</v>
      </c>
      <c r="I267">
        <v>3</v>
      </c>
      <c r="J267" t="str">
        <f t="shared" si="9"/>
        <v>Bachelor</v>
      </c>
      <c r="K267" t="s">
        <v>45</v>
      </c>
      <c r="L267">
        <v>1</v>
      </c>
      <c r="M267" t="s">
        <v>40</v>
      </c>
      <c r="N267" s="2">
        <v>78</v>
      </c>
      <c r="O267">
        <v>2</v>
      </c>
      <c r="P267">
        <v>2</v>
      </c>
      <c r="Q267" t="s">
        <v>36</v>
      </c>
      <c r="R267">
        <v>2</v>
      </c>
      <c r="S267" t="s">
        <v>42</v>
      </c>
      <c r="T267" s="2">
        <v>6644</v>
      </c>
      <c r="U267" s="2">
        <v>3687</v>
      </c>
      <c r="V267">
        <v>2</v>
      </c>
      <c r="W267" t="s">
        <v>38</v>
      </c>
      <c r="X267">
        <v>19</v>
      </c>
      <c r="Y267">
        <v>3</v>
      </c>
      <c r="Z267">
        <v>2</v>
      </c>
      <c r="AA267">
        <v>80</v>
      </c>
      <c r="AB267">
        <v>2</v>
      </c>
      <c r="AC267">
        <v>10</v>
      </c>
      <c r="AD267">
        <v>2</v>
      </c>
      <c r="AE267">
        <v>3</v>
      </c>
      <c r="AF267">
        <v>0</v>
      </c>
      <c r="AG267">
        <v>0</v>
      </c>
      <c r="AH267">
        <v>0</v>
      </c>
      <c r="AI267">
        <v>0</v>
      </c>
    </row>
    <row r="268" spans="1:35" x14ac:dyDescent="0.25">
      <c r="A268">
        <v>31</v>
      </c>
      <c r="B268" t="str">
        <f t="shared" si="8"/>
        <v>25-34</v>
      </c>
      <c r="C268" s="1" t="s">
        <v>38</v>
      </c>
      <c r="D268" s="17">
        <f>IF(Table1[[#This Row],[Attrition]]="Yes",1,0)</f>
        <v>0</v>
      </c>
      <c r="E268" t="s">
        <v>57</v>
      </c>
      <c r="F268" s="2">
        <v>1463</v>
      </c>
      <c r="G268" t="s">
        <v>39</v>
      </c>
      <c r="H268">
        <v>23</v>
      </c>
      <c r="I268">
        <v>3</v>
      </c>
      <c r="J268" t="str">
        <f t="shared" si="9"/>
        <v>Bachelor</v>
      </c>
      <c r="K268" t="s">
        <v>45</v>
      </c>
      <c r="L268">
        <v>2</v>
      </c>
      <c r="M268" t="s">
        <v>40</v>
      </c>
      <c r="N268" s="2">
        <v>64</v>
      </c>
      <c r="O268">
        <v>2</v>
      </c>
      <c r="P268">
        <v>2</v>
      </c>
      <c r="Q268" t="s">
        <v>48</v>
      </c>
      <c r="R268">
        <v>4</v>
      </c>
      <c r="S268" t="s">
        <v>42</v>
      </c>
      <c r="T268" s="2">
        <v>5582</v>
      </c>
      <c r="U268" s="2">
        <v>14408</v>
      </c>
      <c r="V268">
        <v>0</v>
      </c>
      <c r="W268" t="s">
        <v>38</v>
      </c>
      <c r="X268">
        <v>21</v>
      </c>
      <c r="Y268">
        <v>4</v>
      </c>
      <c r="Z268">
        <v>2</v>
      </c>
      <c r="AA268">
        <v>80</v>
      </c>
      <c r="AB268">
        <v>1</v>
      </c>
      <c r="AC268">
        <v>10</v>
      </c>
      <c r="AD268">
        <v>2</v>
      </c>
      <c r="AE268">
        <v>3</v>
      </c>
      <c r="AF268">
        <v>9</v>
      </c>
      <c r="AG268">
        <v>0</v>
      </c>
      <c r="AH268">
        <v>7</v>
      </c>
      <c r="AI268">
        <v>8</v>
      </c>
    </row>
    <row r="269" spans="1:35" x14ac:dyDescent="0.25">
      <c r="A269">
        <v>25</v>
      </c>
      <c r="B269" t="str">
        <f t="shared" si="8"/>
        <v>25-34</v>
      </c>
      <c r="C269" s="1" t="s">
        <v>38</v>
      </c>
      <c r="D269" s="17">
        <f>IF(Table1[[#This Row],[Attrition]]="Yes",1,0)</f>
        <v>0</v>
      </c>
      <c r="E269" t="s">
        <v>49</v>
      </c>
      <c r="F269" s="2">
        <v>675</v>
      </c>
      <c r="G269" t="s">
        <v>39</v>
      </c>
      <c r="H269">
        <v>5</v>
      </c>
      <c r="I269">
        <v>2</v>
      </c>
      <c r="J269" t="str">
        <f t="shared" si="9"/>
        <v>College</v>
      </c>
      <c r="K269" t="s">
        <v>34</v>
      </c>
      <c r="L269">
        <v>2</v>
      </c>
      <c r="M269" t="s">
        <v>40</v>
      </c>
      <c r="N269" s="2">
        <v>85</v>
      </c>
      <c r="O269">
        <v>4</v>
      </c>
      <c r="P269">
        <v>2</v>
      </c>
      <c r="Q269" t="s">
        <v>48</v>
      </c>
      <c r="R269">
        <v>1</v>
      </c>
      <c r="S269" t="s">
        <v>46</v>
      </c>
      <c r="T269" s="2">
        <v>4000</v>
      </c>
      <c r="U269" s="2">
        <v>18384</v>
      </c>
      <c r="V269">
        <v>1</v>
      </c>
      <c r="W269" t="s">
        <v>38</v>
      </c>
      <c r="X269">
        <v>12</v>
      </c>
      <c r="Y269">
        <v>3</v>
      </c>
      <c r="Z269">
        <v>4</v>
      </c>
      <c r="AA269">
        <v>80</v>
      </c>
      <c r="AB269">
        <v>2</v>
      </c>
      <c r="AC269">
        <v>6</v>
      </c>
      <c r="AD269">
        <v>2</v>
      </c>
      <c r="AE269">
        <v>3</v>
      </c>
      <c r="AF269">
        <v>6</v>
      </c>
      <c r="AG269">
        <v>3</v>
      </c>
      <c r="AH269">
        <v>1</v>
      </c>
      <c r="AI269">
        <v>5</v>
      </c>
    </row>
    <row r="270" spans="1:35" x14ac:dyDescent="0.25">
      <c r="A270">
        <v>45</v>
      </c>
      <c r="B270" t="str">
        <f t="shared" si="8"/>
        <v>45-54</v>
      </c>
      <c r="C270" s="1" t="s">
        <v>38</v>
      </c>
      <c r="D270" s="17">
        <f>IF(Table1[[#This Row],[Attrition]]="Yes",1,0)</f>
        <v>0</v>
      </c>
      <c r="E270" t="s">
        <v>57</v>
      </c>
      <c r="F270" s="2">
        <v>1385</v>
      </c>
      <c r="G270" t="s">
        <v>39</v>
      </c>
      <c r="H270">
        <v>20</v>
      </c>
      <c r="I270">
        <v>2</v>
      </c>
      <c r="J270" t="str">
        <f t="shared" si="9"/>
        <v>College</v>
      </c>
      <c r="K270" t="s">
        <v>45</v>
      </c>
      <c r="L270">
        <v>3</v>
      </c>
      <c r="M270" t="s">
        <v>40</v>
      </c>
      <c r="N270" s="2">
        <v>79</v>
      </c>
      <c r="O270">
        <v>3</v>
      </c>
      <c r="P270">
        <v>4</v>
      </c>
      <c r="Q270" t="s">
        <v>48</v>
      </c>
      <c r="R270">
        <v>4</v>
      </c>
      <c r="S270" t="s">
        <v>42</v>
      </c>
      <c r="T270" s="2">
        <v>13496</v>
      </c>
      <c r="U270" s="2">
        <v>7501</v>
      </c>
      <c r="V270">
        <v>0</v>
      </c>
      <c r="W270" t="s">
        <v>32</v>
      </c>
      <c r="X270">
        <v>14</v>
      </c>
      <c r="Y270">
        <v>3</v>
      </c>
      <c r="Z270">
        <v>2</v>
      </c>
      <c r="AA270">
        <v>80</v>
      </c>
      <c r="AB270">
        <v>0</v>
      </c>
      <c r="AC270">
        <v>21</v>
      </c>
      <c r="AD270">
        <v>2</v>
      </c>
      <c r="AE270">
        <v>3</v>
      </c>
      <c r="AF270">
        <v>20</v>
      </c>
      <c r="AG270">
        <v>7</v>
      </c>
      <c r="AH270">
        <v>4</v>
      </c>
      <c r="AI270">
        <v>10</v>
      </c>
    </row>
    <row r="271" spans="1:35" x14ac:dyDescent="0.25">
      <c r="A271">
        <v>36</v>
      </c>
      <c r="B271" t="str">
        <f t="shared" si="8"/>
        <v>35-44</v>
      </c>
      <c r="C271" s="1" t="s">
        <v>38</v>
      </c>
      <c r="D271" s="17">
        <f>IF(Table1[[#This Row],[Attrition]]="Yes",1,0)</f>
        <v>0</v>
      </c>
      <c r="E271" t="s">
        <v>57</v>
      </c>
      <c r="F271" s="2">
        <v>1403</v>
      </c>
      <c r="G271" t="s">
        <v>39</v>
      </c>
      <c r="H271">
        <v>6</v>
      </c>
      <c r="I271">
        <v>3</v>
      </c>
      <c r="J271" t="str">
        <f t="shared" si="9"/>
        <v>Bachelor</v>
      </c>
      <c r="K271" t="s">
        <v>34</v>
      </c>
      <c r="L271">
        <v>4</v>
      </c>
      <c r="M271" t="s">
        <v>40</v>
      </c>
      <c r="N271" s="2">
        <v>47</v>
      </c>
      <c r="O271">
        <v>3</v>
      </c>
      <c r="P271">
        <v>1</v>
      </c>
      <c r="Q271" t="s">
        <v>44</v>
      </c>
      <c r="R271">
        <v>4</v>
      </c>
      <c r="S271" t="s">
        <v>42</v>
      </c>
      <c r="T271" s="2">
        <v>3210</v>
      </c>
      <c r="U271" s="2">
        <v>20251</v>
      </c>
      <c r="V271">
        <v>0</v>
      </c>
      <c r="W271" t="s">
        <v>38</v>
      </c>
      <c r="X271">
        <v>11</v>
      </c>
      <c r="Y271">
        <v>3</v>
      </c>
      <c r="Z271">
        <v>3</v>
      </c>
      <c r="AA271">
        <v>80</v>
      </c>
      <c r="AB271">
        <v>1</v>
      </c>
      <c r="AC271">
        <v>16</v>
      </c>
      <c r="AD271">
        <v>4</v>
      </c>
      <c r="AE271">
        <v>3</v>
      </c>
      <c r="AF271">
        <v>15</v>
      </c>
      <c r="AG271">
        <v>13</v>
      </c>
      <c r="AH271">
        <v>10</v>
      </c>
      <c r="AI271">
        <v>11</v>
      </c>
    </row>
    <row r="272" spans="1:35" x14ac:dyDescent="0.25">
      <c r="A272">
        <v>55</v>
      </c>
      <c r="B272" t="str">
        <f t="shared" si="8"/>
        <v>55-64</v>
      </c>
      <c r="C272" s="1" t="s">
        <v>38</v>
      </c>
      <c r="D272" s="17">
        <f>IF(Table1[[#This Row],[Attrition]]="Yes",1,0)</f>
        <v>0</v>
      </c>
      <c r="E272" t="s">
        <v>57</v>
      </c>
      <c r="F272" s="2">
        <v>452</v>
      </c>
      <c r="G272" t="s">
        <v>39</v>
      </c>
      <c r="H272">
        <v>1</v>
      </c>
      <c r="I272">
        <v>3</v>
      </c>
      <c r="J272" t="str">
        <f t="shared" si="9"/>
        <v>Bachelor</v>
      </c>
      <c r="K272" t="s">
        <v>45</v>
      </c>
      <c r="L272">
        <v>4</v>
      </c>
      <c r="M272" t="s">
        <v>40</v>
      </c>
      <c r="N272" s="2">
        <v>81</v>
      </c>
      <c r="O272">
        <v>3</v>
      </c>
      <c r="P272">
        <v>5</v>
      </c>
      <c r="Q272" t="s">
        <v>50</v>
      </c>
      <c r="R272">
        <v>1</v>
      </c>
      <c r="S272" t="s">
        <v>37</v>
      </c>
      <c r="T272" s="2">
        <v>19045</v>
      </c>
      <c r="U272" s="2">
        <v>18938</v>
      </c>
      <c r="V272">
        <v>0</v>
      </c>
      <c r="W272" t="s">
        <v>32</v>
      </c>
      <c r="X272">
        <v>14</v>
      </c>
      <c r="Y272">
        <v>3</v>
      </c>
      <c r="Z272">
        <v>3</v>
      </c>
      <c r="AA272">
        <v>80</v>
      </c>
      <c r="AB272">
        <v>0</v>
      </c>
      <c r="AC272">
        <v>37</v>
      </c>
      <c r="AD272">
        <v>2</v>
      </c>
      <c r="AE272">
        <v>3</v>
      </c>
      <c r="AF272">
        <v>36</v>
      </c>
      <c r="AG272">
        <v>10</v>
      </c>
      <c r="AH272">
        <v>4</v>
      </c>
      <c r="AI272">
        <v>13</v>
      </c>
    </row>
    <row r="273" spans="1:35" x14ac:dyDescent="0.25">
      <c r="A273">
        <v>47</v>
      </c>
      <c r="B273" t="str">
        <f t="shared" si="8"/>
        <v>45-54</v>
      </c>
      <c r="C273" s="1" t="s">
        <v>32</v>
      </c>
      <c r="D273" s="17">
        <f>IF(Table1[[#This Row],[Attrition]]="Yes",1,0)</f>
        <v>1</v>
      </c>
      <c r="E273" t="s">
        <v>49</v>
      </c>
      <c r="F273" s="2">
        <v>666</v>
      </c>
      <c r="G273" t="s">
        <v>39</v>
      </c>
      <c r="H273">
        <v>29</v>
      </c>
      <c r="I273">
        <v>4</v>
      </c>
      <c r="J273" t="str">
        <f t="shared" si="9"/>
        <v>Master</v>
      </c>
      <c r="K273" t="s">
        <v>34</v>
      </c>
      <c r="L273">
        <v>1</v>
      </c>
      <c r="M273" t="s">
        <v>40</v>
      </c>
      <c r="N273" s="2">
        <v>88</v>
      </c>
      <c r="O273">
        <v>3</v>
      </c>
      <c r="P273">
        <v>3</v>
      </c>
      <c r="Q273" t="s">
        <v>50</v>
      </c>
      <c r="R273">
        <v>2</v>
      </c>
      <c r="S273" t="s">
        <v>42</v>
      </c>
      <c r="T273" s="2">
        <v>11849</v>
      </c>
      <c r="U273" s="2">
        <v>10268</v>
      </c>
      <c r="V273">
        <v>1</v>
      </c>
      <c r="W273" t="s">
        <v>32</v>
      </c>
      <c r="X273">
        <v>12</v>
      </c>
      <c r="Y273">
        <v>3</v>
      </c>
      <c r="Z273">
        <v>4</v>
      </c>
      <c r="AA273">
        <v>80</v>
      </c>
      <c r="AB273">
        <v>1</v>
      </c>
      <c r="AC273">
        <v>10</v>
      </c>
      <c r="AD273">
        <v>2</v>
      </c>
      <c r="AE273">
        <v>2</v>
      </c>
      <c r="AF273">
        <v>10</v>
      </c>
      <c r="AG273">
        <v>7</v>
      </c>
      <c r="AH273">
        <v>9</v>
      </c>
      <c r="AI273">
        <v>9</v>
      </c>
    </row>
    <row r="274" spans="1:35" x14ac:dyDescent="0.25">
      <c r="A274">
        <v>28</v>
      </c>
      <c r="B274" t="str">
        <f t="shared" si="8"/>
        <v>25-34</v>
      </c>
      <c r="C274" s="1" t="s">
        <v>38</v>
      </c>
      <c r="D274" s="17">
        <f>IF(Table1[[#This Row],[Attrition]]="Yes",1,0)</f>
        <v>0</v>
      </c>
      <c r="E274" t="s">
        <v>57</v>
      </c>
      <c r="F274" s="2">
        <v>1158</v>
      </c>
      <c r="G274" t="s">
        <v>39</v>
      </c>
      <c r="H274">
        <v>9</v>
      </c>
      <c r="I274">
        <v>3</v>
      </c>
      <c r="J274" t="str">
        <f t="shared" si="9"/>
        <v>Bachelor</v>
      </c>
      <c r="K274" t="s">
        <v>45</v>
      </c>
      <c r="L274">
        <v>4</v>
      </c>
      <c r="M274" t="s">
        <v>40</v>
      </c>
      <c r="N274" s="2">
        <v>94</v>
      </c>
      <c r="O274">
        <v>3</v>
      </c>
      <c r="P274">
        <v>1</v>
      </c>
      <c r="Q274" t="s">
        <v>41</v>
      </c>
      <c r="R274">
        <v>4</v>
      </c>
      <c r="S274" t="s">
        <v>42</v>
      </c>
      <c r="T274" s="2">
        <v>2070</v>
      </c>
      <c r="U274" s="2">
        <v>2613</v>
      </c>
      <c r="V274">
        <v>1</v>
      </c>
      <c r="W274" t="s">
        <v>38</v>
      </c>
      <c r="X274">
        <v>23</v>
      </c>
      <c r="Y274">
        <v>4</v>
      </c>
      <c r="Z274">
        <v>4</v>
      </c>
      <c r="AA274">
        <v>80</v>
      </c>
      <c r="AB274">
        <v>1</v>
      </c>
      <c r="AC274">
        <v>5</v>
      </c>
      <c r="AD274">
        <v>3</v>
      </c>
      <c r="AE274">
        <v>2</v>
      </c>
      <c r="AF274">
        <v>5</v>
      </c>
      <c r="AG274">
        <v>2</v>
      </c>
      <c r="AH274">
        <v>0</v>
      </c>
      <c r="AI274">
        <v>4</v>
      </c>
    </row>
    <row r="275" spans="1:35" x14ac:dyDescent="0.25">
      <c r="A275">
        <v>37</v>
      </c>
      <c r="B275" t="str">
        <f t="shared" si="8"/>
        <v>35-44</v>
      </c>
      <c r="C275" s="1" t="s">
        <v>38</v>
      </c>
      <c r="D275" s="17">
        <f>IF(Table1[[#This Row],[Attrition]]="Yes",1,0)</f>
        <v>0</v>
      </c>
      <c r="E275" t="s">
        <v>57</v>
      </c>
      <c r="F275" s="2">
        <v>228</v>
      </c>
      <c r="G275" t="s">
        <v>33</v>
      </c>
      <c r="H275">
        <v>6</v>
      </c>
      <c r="I275">
        <v>4</v>
      </c>
      <c r="J275" t="str">
        <f t="shared" si="9"/>
        <v>Master</v>
      </c>
      <c r="K275" t="s">
        <v>45</v>
      </c>
      <c r="L275">
        <v>3</v>
      </c>
      <c r="M275" t="s">
        <v>40</v>
      </c>
      <c r="N275" s="2">
        <v>98</v>
      </c>
      <c r="O275">
        <v>3</v>
      </c>
      <c r="P275">
        <v>2</v>
      </c>
      <c r="Q275" t="s">
        <v>36</v>
      </c>
      <c r="R275">
        <v>4</v>
      </c>
      <c r="S275" t="s">
        <v>42</v>
      </c>
      <c r="T275" s="2">
        <v>6502</v>
      </c>
      <c r="U275" s="2">
        <v>22825</v>
      </c>
      <c r="V275">
        <v>4</v>
      </c>
      <c r="W275" t="s">
        <v>38</v>
      </c>
      <c r="X275">
        <v>14</v>
      </c>
      <c r="Y275">
        <v>3</v>
      </c>
      <c r="Z275">
        <v>2</v>
      </c>
      <c r="AA275">
        <v>80</v>
      </c>
      <c r="AB275">
        <v>1</v>
      </c>
      <c r="AC275">
        <v>7</v>
      </c>
      <c r="AD275">
        <v>5</v>
      </c>
      <c r="AE275">
        <v>4</v>
      </c>
      <c r="AF275">
        <v>5</v>
      </c>
      <c r="AG275">
        <v>4</v>
      </c>
      <c r="AH275">
        <v>0</v>
      </c>
      <c r="AI275">
        <v>1</v>
      </c>
    </row>
    <row r="276" spans="1:35" x14ac:dyDescent="0.25">
      <c r="A276">
        <v>21</v>
      </c>
      <c r="B276" t="str">
        <f t="shared" si="8"/>
        <v>18-24</v>
      </c>
      <c r="C276" s="1" t="s">
        <v>38</v>
      </c>
      <c r="D276" s="17">
        <f>IF(Table1[[#This Row],[Attrition]]="Yes",1,0)</f>
        <v>0</v>
      </c>
      <c r="E276" t="s">
        <v>57</v>
      </c>
      <c r="F276" s="2">
        <v>996</v>
      </c>
      <c r="G276" t="s">
        <v>39</v>
      </c>
      <c r="H276">
        <v>3</v>
      </c>
      <c r="I276">
        <v>2</v>
      </c>
      <c r="J276" t="str">
        <f t="shared" si="9"/>
        <v>College</v>
      </c>
      <c r="K276" t="s">
        <v>45</v>
      </c>
      <c r="L276">
        <v>4</v>
      </c>
      <c r="M276" t="s">
        <v>40</v>
      </c>
      <c r="N276" s="2">
        <v>100</v>
      </c>
      <c r="O276">
        <v>2</v>
      </c>
      <c r="P276">
        <v>1</v>
      </c>
      <c r="Q276" t="s">
        <v>41</v>
      </c>
      <c r="R276">
        <v>3</v>
      </c>
      <c r="S276" t="s">
        <v>37</v>
      </c>
      <c r="T276" s="2">
        <v>3230</v>
      </c>
      <c r="U276" s="2">
        <v>10531</v>
      </c>
      <c r="V276">
        <v>1</v>
      </c>
      <c r="W276" t="s">
        <v>38</v>
      </c>
      <c r="X276">
        <v>17</v>
      </c>
      <c r="Y276">
        <v>3</v>
      </c>
      <c r="Z276">
        <v>1</v>
      </c>
      <c r="AA276">
        <v>80</v>
      </c>
      <c r="AB276">
        <v>0</v>
      </c>
      <c r="AC276">
        <v>3</v>
      </c>
      <c r="AD276">
        <v>4</v>
      </c>
      <c r="AE276">
        <v>4</v>
      </c>
      <c r="AF276">
        <v>3</v>
      </c>
      <c r="AG276">
        <v>2</v>
      </c>
      <c r="AH276">
        <v>1</v>
      </c>
      <c r="AI276">
        <v>0</v>
      </c>
    </row>
    <row r="277" spans="1:35" x14ac:dyDescent="0.25">
      <c r="A277">
        <v>37</v>
      </c>
      <c r="B277" t="str">
        <f t="shared" si="8"/>
        <v>35-44</v>
      </c>
      <c r="C277" s="1" t="s">
        <v>38</v>
      </c>
      <c r="D277" s="17">
        <f>IF(Table1[[#This Row],[Attrition]]="Yes",1,0)</f>
        <v>0</v>
      </c>
      <c r="E277" t="s">
        <v>49</v>
      </c>
      <c r="F277" s="2">
        <v>728</v>
      </c>
      <c r="G277" t="s">
        <v>39</v>
      </c>
      <c r="H277">
        <v>1</v>
      </c>
      <c r="I277">
        <v>4</v>
      </c>
      <c r="J277" t="str">
        <f t="shared" si="9"/>
        <v>Master</v>
      </c>
      <c r="K277" t="s">
        <v>45</v>
      </c>
      <c r="L277">
        <v>1</v>
      </c>
      <c r="M277" t="s">
        <v>35</v>
      </c>
      <c r="N277" s="2">
        <v>80</v>
      </c>
      <c r="O277">
        <v>3</v>
      </c>
      <c r="P277">
        <v>3</v>
      </c>
      <c r="Q277" t="s">
        <v>52</v>
      </c>
      <c r="R277">
        <v>4</v>
      </c>
      <c r="S277" t="s">
        <v>46</v>
      </c>
      <c r="T277" s="2">
        <v>13603</v>
      </c>
      <c r="U277" s="2">
        <v>11677</v>
      </c>
      <c r="V277">
        <v>2</v>
      </c>
      <c r="W277" t="s">
        <v>32</v>
      </c>
      <c r="X277">
        <v>18</v>
      </c>
      <c r="Y277">
        <v>3</v>
      </c>
      <c r="Z277">
        <v>1</v>
      </c>
      <c r="AA277">
        <v>80</v>
      </c>
      <c r="AB277">
        <v>2</v>
      </c>
      <c r="AC277">
        <v>15</v>
      </c>
      <c r="AD277">
        <v>2</v>
      </c>
      <c r="AE277">
        <v>3</v>
      </c>
      <c r="AF277">
        <v>5</v>
      </c>
      <c r="AG277">
        <v>2</v>
      </c>
      <c r="AH277">
        <v>0</v>
      </c>
      <c r="AI277">
        <v>2</v>
      </c>
    </row>
    <row r="278" spans="1:35" x14ac:dyDescent="0.25">
      <c r="A278">
        <v>35</v>
      </c>
      <c r="B278" t="str">
        <f t="shared" si="8"/>
        <v>35-44</v>
      </c>
      <c r="C278" s="1" t="s">
        <v>38</v>
      </c>
      <c r="D278" s="17">
        <f>IF(Table1[[#This Row],[Attrition]]="Yes",1,0)</f>
        <v>0</v>
      </c>
      <c r="E278" t="s">
        <v>57</v>
      </c>
      <c r="F278" s="2">
        <v>1315</v>
      </c>
      <c r="G278" t="s">
        <v>39</v>
      </c>
      <c r="H278">
        <v>22</v>
      </c>
      <c r="I278">
        <v>3</v>
      </c>
      <c r="J278" t="str">
        <f t="shared" si="9"/>
        <v>Bachelor</v>
      </c>
      <c r="K278" t="s">
        <v>34</v>
      </c>
      <c r="L278">
        <v>2</v>
      </c>
      <c r="M278" t="s">
        <v>35</v>
      </c>
      <c r="N278" s="2">
        <v>71</v>
      </c>
      <c r="O278">
        <v>4</v>
      </c>
      <c r="P278">
        <v>3</v>
      </c>
      <c r="Q278" t="s">
        <v>50</v>
      </c>
      <c r="R278">
        <v>2</v>
      </c>
      <c r="S278" t="s">
        <v>46</v>
      </c>
      <c r="T278" s="2">
        <v>11996</v>
      </c>
      <c r="U278" s="2">
        <v>19100</v>
      </c>
      <c r="V278">
        <v>7</v>
      </c>
      <c r="W278" t="s">
        <v>38</v>
      </c>
      <c r="X278">
        <v>18</v>
      </c>
      <c r="Y278">
        <v>3</v>
      </c>
      <c r="Z278">
        <v>2</v>
      </c>
      <c r="AA278">
        <v>80</v>
      </c>
      <c r="AB278">
        <v>1</v>
      </c>
      <c r="AC278">
        <v>10</v>
      </c>
      <c r="AD278">
        <v>6</v>
      </c>
      <c r="AE278">
        <v>2</v>
      </c>
      <c r="AF278">
        <v>7</v>
      </c>
      <c r="AG278">
        <v>7</v>
      </c>
      <c r="AH278">
        <v>6</v>
      </c>
      <c r="AI278">
        <v>2</v>
      </c>
    </row>
    <row r="279" spans="1:35" x14ac:dyDescent="0.25">
      <c r="A279">
        <v>38</v>
      </c>
      <c r="B279" t="str">
        <f t="shared" si="8"/>
        <v>35-44</v>
      </c>
      <c r="C279" s="1" t="s">
        <v>38</v>
      </c>
      <c r="D279" s="17">
        <f>IF(Table1[[#This Row],[Attrition]]="Yes",1,0)</f>
        <v>0</v>
      </c>
      <c r="E279" t="s">
        <v>57</v>
      </c>
      <c r="F279" s="2">
        <v>322</v>
      </c>
      <c r="G279" t="s">
        <v>33</v>
      </c>
      <c r="H279">
        <v>7</v>
      </c>
      <c r="I279">
        <v>2</v>
      </c>
      <c r="J279" t="str">
        <f t="shared" si="9"/>
        <v>College</v>
      </c>
      <c r="K279" t="s">
        <v>45</v>
      </c>
      <c r="L279">
        <v>1</v>
      </c>
      <c r="M279" t="s">
        <v>35</v>
      </c>
      <c r="N279" s="2">
        <v>44</v>
      </c>
      <c r="O279">
        <v>4</v>
      </c>
      <c r="P279">
        <v>2</v>
      </c>
      <c r="Q279" t="s">
        <v>36</v>
      </c>
      <c r="R279">
        <v>1</v>
      </c>
      <c r="S279" t="s">
        <v>46</v>
      </c>
      <c r="T279" s="2">
        <v>5605</v>
      </c>
      <c r="U279" s="2">
        <v>19191</v>
      </c>
      <c r="V279">
        <v>1</v>
      </c>
      <c r="W279" t="s">
        <v>32</v>
      </c>
      <c r="X279">
        <v>24</v>
      </c>
      <c r="Y279">
        <v>4</v>
      </c>
      <c r="Z279">
        <v>3</v>
      </c>
      <c r="AA279">
        <v>80</v>
      </c>
      <c r="AB279">
        <v>1</v>
      </c>
      <c r="AC279">
        <v>8</v>
      </c>
      <c r="AD279">
        <v>3</v>
      </c>
      <c r="AE279">
        <v>3</v>
      </c>
      <c r="AF279">
        <v>8</v>
      </c>
      <c r="AG279">
        <v>0</v>
      </c>
      <c r="AH279">
        <v>7</v>
      </c>
      <c r="AI279">
        <v>7</v>
      </c>
    </row>
    <row r="280" spans="1:35" x14ac:dyDescent="0.25">
      <c r="A280">
        <v>26</v>
      </c>
      <c r="B280" t="str">
        <f t="shared" si="8"/>
        <v>25-34</v>
      </c>
      <c r="C280" s="1" t="s">
        <v>38</v>
      </c>
      <c r="D280" s="17">
        <f>IF(Table1[[#This Row],[Attrition]]="Yes",1,0)</f>
        <v>0</v>
      </c>
      <c r="E280" t="s">
        <v>58</v>
      </c>
      <c r="F280" s="2">
        <v>1479</v>
      </c>
      <c r="G280" t="s">
        <v>39</v>
      </c>
      <c r="H280">
        <v>1</v>
      </c>
      <c r="I280">
        <v>3</v>
      </c>
      <c r="J280" t="str">
        <f t="shared" si="9"/>
        <v>Bachelor</v>
      </c>
      <c r="K280" t="s">
        <v>34</v>
      </c>
      <c r="L280">
        <v>3</v>
      </c>
      <c r="M280" t="s">
        <v>35</v>
      </c>
      <c r="N280" s="2">
        <v>84</v>
      </c>
      <c r="O280">
        <v>3</v>
      </c>
      <c r="P280">
        <v>2</v>
      </c>
      <c r="Q280" t="s">
        <v>47</v>
      </c>
      <c r="R280">
        <v>2</v>
      </c>
      <c r="S280" t="s">
        <v>46</v>
      </c>
      <c r="T280" s="2">
        <v>6397</v>
      </c>
      <c r="U280" s="2">
        <v>26767</v>
      </c>
      <c r="V280">
        <v>1</v>
      </c>
      <c r="W280" t="s">
        <v>38</v>
      </c>
      <c r="X280">
        <v>20</v>
      </c>
      <c r="Y280">
        <v>4</v>
      </c>
      <c r="Z280">
        <v>1</v>
      </c>
      <c r="AA280">
        <v>80</v>
      </c>
      <c r="AB280">
        <v>1</v>
      </c>
      <c r="AC280">
        <v>6</v>
      </c>
      <c r="AD280">
        <v>6</v>
      </c>
      <c r="AE280">
        <v>1</v>
      </c>
      <c r="AF280">
        <v>6</v>
      </c>
      <c r="AG280">
        <v>5</v>
      </c>
      <c r="AH280">
        <v>1</v>
      </c>
      <c r="AI280">
        <v>4</v>
      </c>
    </row>
    <row r="281" spans="1:35" x14ac:dyDescent="0.25">
      <c r="A281">
        <v>50</v>
      </c>
      <c r="B281" t="str">
        <f t="shared" si="8"/>
        <v>45-54</v>
      </c>
      <c r="C281" s="1" t="s">
        <v>38</v>
      </c>
      <c r="D281" s="17">
        <f>IF(Table1[[#This Row],[Attrition]]="Yes",1,0)</f>
        <v>0</v>
      </c>
      <c r="E281" t="s">
        <v>57</v>
      </c>
      <c r="F281" s="2">
        <v>797</v>
      </c>
      <c r="G281" t="s">
        <v>39</v>
      </c>
      <c r="H281">
        <v>4</v>
      </c>
      <c r="I281">
        <v>1</v>
      </c>
      <c r="J281" t="str">
        <f t="shared" si="9"/>
        <v>Below College</v>
      </c>
      <c r="K281" t="s">
        <v>34</v>
      </c>
      <c r="L281">
        <v>1</v>
      </c>
      <c r="M281" t="s">
        <v>40</v>
      </c>
      <c r="N281" s="2">
        <v>96</v>
      </c>
      <c r="O281">
        <v>3</v>
      </c>
      <c r="P281">
        <v>5</v>
      </c>
      <c r="Q281" t="s">
        <v>52</v>
      </c>
      <c r="R281">
        <v>2</v>
      </c>
      <c r="S281" t="s">
        <v>46</v>
      </c>
      <c r="T281" s="2">
        <v>19144</v>
      </c>
      <c r="U281" s="2">
        <v>15815</v>
      </c>
      <c r="V281">
        <v>3</v>
      </c>
      <c r="W281" t="s">
        <v>38</v>
      </c>
      <c r="X281">
        <v>14</v>
      </c>
      <c r="Y281">
        <v>3</v>
      </c>
      <c r="Z281">
        <v>1</v>
      </c>
      <c r="AA281">
        <v>80</v>
      </c>
      <c r="AB281">
        <v>2</v>
      </c>
      <c r="AC281">
        <v>28</v>
      </c>
      <c r="AD281">
        <v>4</v>
      </c>
      <c r="AE281">
        <v>2</v>
      </c>
      <c r="AF281">
        <v>10</v>
      </c>
      <c r="AG281">
        <v>4</v>
      </c>
      <c r="AH281">
        <v>1</v>
      </c>
      <c r="AI281">
        <v>6</v>
      </c>
    </row>
    <row r="282" spans="1:35" x14ac:dyDescent="0.25">
      <c r="A282">
        <v>53</v>
      </c>
      <c r="B282" t="str">
        <f t="shared" si="8"/>
        <v>45-54</v>
      </c>
      <c r="C282" s="1" t="s">
        <v>38</v>
      </c>
      <c r="D282" s="17">
        <f>IF(Table1[[#This Row],[Attrition]]="Yes",1,0)</f>
        <v>0</v>
      </c>
      <c r="E282" t="s">
        <v>57</v>
      </c>
      <c r="F282" s="2">
        <v>1070</v>
      </c>
      <c r="G282" t="s">
        <v>39</v>
      </c>
      <c r="H282">
        <v>3</v>
      </c>
      <c r="I282">
        <v>4</v>
      </c>
      <c r="J282" t="str">
        <f t="shared" si="9"/>
        <v>Master</v>
      </c>
      <c r="K282" t="s">
        <v>45</v>
      </c>
      <c r="L282">
        <v>3</v>
      </c>
      <c r="M282" t="s">
        <v>40</v>
      </c>
      <c r="N282" s="2">
        <v>45</v>
      </c>
      <c r="O282">
        <v>3</v>
      </c>
      <c r="P282">
        <v>4</v>
      </c>
      <c r="Q282" t="s">
        <v>52</v>
      </c>
      <c r="R282">
        <v>3</v>
      </c>
      <c r="S282" t="s">
        <v>42</v>
      </c>
      <c r="T282" s="2">
        <v>17584</v>
      </c>
      <c r="U282" s="2">
        <v>21016</v>
      </c>
      <c r="V282">
        <v>3</v>
      </c>
      <c r="W282" t="s">
        <v>32</v>
      </c>
      <c r="X282">
        <v>16</v>
      </c>
      <c r="Y282">
        <v>3</v>
      </c>
      <c r="Z282">
        <v>4</v>
      </c>
      <c r="AA282">
        <v>80</v>
      </c>
      <c r="AB282">
        <v>3</v>
      </c>
      <c r="AC282">
        <v>21</v>
      </c>
      <c r="AD282">
        <v>5</v>
      </c>
      <c r="AE282">
        <v>2</v>
      </c>
      <c r="AF282">
        <v>5</v>
      </c>
      <c r="AG282">
        <v>3</v>
      </c>
      <c r="AH282">
        <v>1</v>
      </c>
      <c r="AI282">
        <v>3</v>
      </c>
    </row>
    <row r="283" spans="1:35" x14ac:dyDescent="0.25">
      <c r="A283">
        <v>42</v>
      </c>
      <c r="B283" t="str">
        <f t="shared" si="8"/>
        <v>35-44</v>
      </c>
      <c r="C283" s="1" t="s">
        <v>38</v>
      </c>
      <c r="D283" s="17">
        <f>IF(Table1[[#This Row],[Attrition]]="Yes",1,0)</f>
        <v>0</v>
      </c>
      <c r="E283" t="s">
        <v>57</v>
      </c>
      <c r="F283" s="2">
        <v>635</v>
      </c>
      <c r="G283" t="s">
        <v>33</v>
      </c>
      <c r="H283">
        <v>1</v>
      </c>
      <c r="I283">
        <v>1</v>
      </c>
      <c r="J283" t="str">
        <f t="shared" si="9"/>
        <v>Below College</v>
      </c>
      <c r="K283" t="s">
        <v>34</v>
      </c>
      <c r="L283">
        <v>2</v>
      </c>
      <c r="M283" t="s">
        <v>40</v>
      </c>
      <c r="N283" s="2">
        <v>99</v>
      </c>
      <c r="O283">
        <v>3</v>
      </c>
      <c r="P283">
        <v>2</v>
      </c>
      <c r="Q283" t="s">
        <v>36</v>
      </c>
      <c r="R283">
        <v>3</v>
      </c>
      <c r="S283" t="s">
        <v>42</v>
      </c>
      <c r="T283" s="2">
        <v>4907</v>
      </c>
      <c r="U283" s="2">
        <v>24532</v>
      </c>
      <c r="V283">
        <v>1</v>
      </c>
      <c r="W283" t="s">
        <v>38</v>
      </c>
      <c r="X283">
        <v>25</v>
      </c>
      <c r="Y283">
        <v>4</v>
      </c>
      <c r="Z283">
        <v>3</v>
      </c>
      <c r="AA283">
        <v>80</v>
      </c>
      <c r="AB283">
        <v>0</v>
      </c>
      <c r="AC283">
        <v>20</v>
      </c>
      <c r="AD283">
        <v>3</v>
      </c>
      <c r="AE283">
        <v>3</v>
      </c>
      <c r="AF283">
        <v>20</v>
      </c>
      <c r="AG283">
        <v>16</v>
      </c>
      <c r="AH283">
        <v>11</v>
      </c>
      <c r="AI283">
        <v>6</v>
      </c>
    </row>
    <row r="284" spans="1:35" x14ac:dyDescent="0.25">
      <c r="A284">
        <v>29</v>
      </c>
      <c r="B284" t="str">
        <f t="shared" si="8"/>
        <v>25-34</v>
      </c>
      <c r="C284" s="1" t="s">
        <v>38</v>
      </c>
      <c r="D284" s="17">
        <f>IF(Table1[[#This Row],[Attrition]]="Yes",1,0)</f>
        <v>0</v>
      </c>
      <c r="E284" t="s">
        <v>58</v>
      </c>
      <c r="F284" s="2">
        <v>442</v>
      </c>
      <c r="G284" t="s">
        <v>33</v>
      </c>
      <c r="H284">
        <v>2</v>
      </c>
      <c r="I284">
        <v>2</v>
      </c>
      <c r="J284" t="str">
        <f t="shared" si="9"/>
        <v>College</v>
      </c>
      <c r="K284" t="s">
        <v>34</v>
      </c>
      <c r="L284">
        <v>2</v>
      </c>
      <c r="M284" t="s">
        <v>40</v>
      </c>
      <c r="N284" s="2">
        <v>44</v>
      </c>
      <c r="O284">
        <v>3</v>
      </c>
      <c r="P284">
        <v>2</v>
      </c>
      <c r="Q284" t="s">
        <v>36</v>
      </c>
      <c r="R284">
        <v>4</v>
      </c>
      <c r="S284" t="s">
        <v>37</v>
      </c>
      <c r="T284" s="2">
        <v>4554</v>
      </c>
      <c r="U284" s="2">
        <v>20260</v>
      </c>
      <c r="V284">
        <v>1</v>
      </c>
      <c r="W284" t="s">
        <v>38</v>
      </c>
      <c r="X284">
        <v>18</v>
      </c>
      <c r="Y284">
        <v>3</v>
      </c>
      <c r="Z284">
        <v>1</v>
      </c>
      <c r="AA284">
        <v>80</v>
      </c>
      <c r="AB284">
        <v>0</v>
      </c>
      <c r="AC284">
        <v>10</v>
      </c>
      <c r="AD284">
        <v>3</v>
      </c>
      <c r="AE284">
        <v>2</v>
      </c>
      <c r="AF284">
        <v>10</v>
      </c>
      <c r="AG284">
        <v>7</v>
      </c>
      <c r="AH284">
        <v>0</v>
      </c>
      <c r="AI284">
        <v>9</v>
      </c>
    </row>
    <row r="285" spans="1:35" x14ac:dyDescent="0.25">
      <c r="A285">
        <v>55</v>
      </c>
      <c r="B285" t="str">
        <f t="shared" si="8"/>
        <v>55-64</v>
      </c>
      <c r="C285" s="1" t="s">
        <v>38</v>
      </c>
      <c r="D285" s="17">
        <f>IF(Table1[[#This Row],[Attrition]]="Yes",1,0)</f>
        <v>0</v>
      </c>
      <c r="E285" t="s">
        <v>57</v>
      </c>
      <c r="F285" s="2">
        <v>147</v>
      </c>
      <c r="G285" t="s">
        <v>39</v>
      </c>
      <c r="H285">
        <v>20</v>
      </c>
      <c r="I285">
        <v>2</v>
      </c>
      <c r="J285" t="str">
        <f t="shared" si="9"/>
        <v>College</v>
      </c>
      <c r="K285" t="s">
        <v>54</v>
      </c>
      <c r="L285">
        <v>2</v>
      </c>
      <c r="M285" t="s">
        <v>40</v>
      </c>
      <c r="N285" s="2">
        <v>37</v>
      </c>
      <c r="O285">
        <v>3</v>
      </c>
      <c r="P285">
        <v>2</v>
      </c>
      <c r="Q285" t="s">
        <v>44</v>
      </c>
      <c r="R285">
        <v>4</v>
      </c>
      <c r="S285" t="s">
        <v>42</v>
      </c>
      <c r="T285" s="2">
        <v>5415</v>
      </c>
      <c r="U285" s="2">
        <v>15972</v>
      </c>
      <c r="V285">
        <v>3</v>
      </c>
      <c r="W285" t="s">
        <v>32</v>
      </c>
      <c r="X285">
        <v>19</v>
      </c>
      <c r="Y285">
        <v>3</v>
      </c>
      <c r="Z285">
        <v>4</v>
      </c>
      <c r="AA285">
        <v>80</v>
      </c>
      <c r="AB285">
        <v>1</v>
      </c>
      <c r="AC285">
        <v>12</v>
      </c>
      <c r="AD285">
        <v>4</v>
      </c>
      <c r="AE285">
        <v>3</v>
      </c>
      <c r="AF285">
        <v>10</v>
      </c>
      <c r="AG285">
        <v>7</v>
      </c>
      <c r="AH285">
        <v>0</v>
      </c>
      <c r="AI285">
        <v>8</v>
      </c>
    </row>
    <row r="286" spans="1:35" x14ac:dyDescent="0.25">
      <c r="A286">
        <v>26</v>
      </c>
      <c r="B286" t="str">
        <f t="shared" si="8"/>
        <v>25-34</v>
      </c>
      <c r="C286" s="1" t="s">
        <v>38</v>
      </c>
      <c r="D286" s="17">
        <f>IF(Table1[[#This Row],[Attrition]]="Yes",1,0)</f>
        <v>0</v>
      </c>
      <c r="E286" t="s">
        <v>58</v>
      </c>
      <c r="F286" s="2">
        <v>496</v>
      </c>
      <c r="G286" t="s">
        <v>39</v>
      </c>
      <c r="H286">
        <v>11</v>
      </c>
      <c r="I286">
        <v>2</v>
      </c>
      <c r="J286" t="str">
        <f t="shared" si="9"/>
        <v>College</v>
      </c>
      <c r="K286" t="s">
        <v>45</v>
      </c>
      <c r="L286">
        <v>1</v>
      </c>
      <c r="M286" t="s">
        <v>40</v>
      </c>
      <c r="N286" s="2">
        <v>60</v>
      </c>
      <c r="O286">
        <v>3</v>
      </c>
      <c r="P286">
        <v>2</v>
      </c>
      <c r="Q286" t="s">
        <v>48</v>
      </c>
      <c r="R286">
        <v>1</v>
      </c>
      <c r="S286" t="s">
        <v>42</v>
      </c>
      <c r="T286" s="2">
        <v>4741</v>
      </c>
      <c r="U286" s="2">
        <v>22722</v>
      </c>
      <c r="V286">
        <v>1</v>
      </c>
      <c r="W286" t="s">
        <v>32</v>
      </c>
      <c r="X286">
        <v>13</v>
      </c>
      <c r="Y286">
        <v>3</v>
      </c>
      <c r="Z286">
        <v>3</v>
      </c>
      <c r="AA286">
        <v>80</v>
      </c>
      <c r="AB286">
        <v>1</v>
      </c>
      <c r="AC286">
        <v>5</v>
      </c>
      <c r="AD286">
        <v>3</v>
      </c>
      <c r="AE286">
        <v>3</v>
      </c>
      <c r="AF286">
        <v>5</v>
      </c>
      <c r="AG286">
        <v>3</v>
      </c>
      <c r="AH286">
        <v>3</v>
      </c>
      <c r="AI286">
        <v>3</v>
      </c>
    </row>
    <row r="287" spans="1:35" x14ac:dyDescent="0.25">
      <c r="A287">
        <v>37</v>
      </c>
      <c r="B287" t="str">
        <f t="shared" si="8"/>
        <v>35-44</v>
      </c>
      <c r="C287" s="1" t="s">
        <v>38</v>
      </c>
      <c r="D287" s="17">
        <f>IF(Table1[[#This Row],[Attrition]]="Yes",1,0)</f>
        <v>0</v>
      </c>
      <c r="E287" t="s">
        <v>57</v>
      </c>
      <c r="F287" s="2">
        <v>1372</v>
      </c>
      <c r="G287" t="s">
        <v>39</v>
      </c>
      <c r="H287">
        <v>1</v>
      </c>
      <c r="I287">
        <v>3</v>
      </c>
      <c r="J287" t="str">
        <f t="shared" si="9"/>
        <v>Bachelor</v>
      </c>
      <c r="K287" t="s">
        <v>34</v>
      </c>
      <c r="L287">
        <v>4</v>
      </c>
      <c r="M287" t="s">
        <v>35</v>
      </c>
      <c r="N287" s="2">
        <v>42</v>
      </c>
      <c r="O287">
        <v>3</v>
      </c>
      <c r="P287">
        <v>1</v>
      </c>
      <c r="Q287" t="s">
        <v>41</v>
      </c>
      <c r="R287">
        <v>4</v>
      </c>
      <c r="S287" t="s">
        <v>37</v>
      </c>
      <c r="T287" s="2">
        <v>2115</v>
      </c>
      <c r="U287" s="2">
        <v>15881</v>
      </c>
      <c r="V287">
        <v>1</v>
      </c>
      <c r="W287" t="s">
        <v>38</v>
      </c>
      <c r="X287">
        <v>12</v>
      </c>
      <c r="Y287">
        <v>3</v>
      </c>
      <c r="Z287">
        <v>2</v>
      </c>
      <c r="AA287">
        <v>80</v>
      </c>
      <c r="AB287">
        <v>0</v>
      </c>
      <c r="AC287">
        <v>17</v>
      </c>
      <c r="AD287">
        <v>3</v>
      </c>
      <c r="AE287">
        <v>3</v>
      </c>
      <c r="AF287">
        <v>17</v>
      </c>
      <c r="AG287">
        <v>12</v>
      </c>
      <c r="AH287">
        <v>5</v>
      </c>
      <c r="AI287">
        <v>7</v>
      </c>
    </row>
    <row r="288" spans="1:35" x14ac:dyDescent="0.25">
      <c r="A288">
        <v>44</v>
      </c>
      <c r="B288" t="str">
        <f t="shared" si="8"/>
        <v>35-44</v>
      </c>
      <c r="C288" s="1" t="s">
        <v>32</v>
      </c>
      <c r="D288" s="17">
        <f>IF(Table1[[#This Row],[Attrition]]="Yes",1,0)</f>
        <v>1</v>
      </c>
      <c r="E288" t="s">
        <v>58</v>
      </c>
      <c r="F288" s="2">
        <v>920</v>
      </c>
      <c r="G288" t="s">
        <v>39</v>
      </c>
      <c r="H288">
        <v>24</v>
      </c>
      <c r="I288">
        <v>3</v>
      </c>
      <c r="J288" t="str">
        <f t="shared" si="9"/>
        <v>Bachelor</v>
      </c>
      <c r="K288" t="s">
        <v>34</v>
      </c>
      <c r="L288">
        <v>4</v>
      </c>
      <c r="M288" t="s">
        <v>40</v>
      </c>
      <c r="N288" s="2">
        <v>43</v>
      </c>
      <c r="O288">
        <v>3</v>
      </c>
      <c r="P288">
        <v>1</v>
      </c>
      <c r="Q288" t="s">
        <v>44</v>
      </c>
      <c r="R288">
        <v>3</v>
      </c>
      <c r="S288" t="s">
        <v>46</v>
      </c>
      <c r="T288" s="2">
        <v>3161</v>
      </c>
      <c r="U288" s="2">
        <v>19920</v>
      </c>
      <c r="V288">
        <v>3</v>
      </c>
      <c r="W288" t="s">
        <v>32</v>
      </c>
      <c r="X288">
        <v>22</v>
      </c>
      <c r="Y288">
        <v>4</v>
      </c>
      <c r="Z288">
        <v>4</v>
      </c>
      <c r="AA288">
        <v>80</v>
      </c>
      <c r="AB288">
        <v>1</v>
      </c>
      <c r="AC288">
        <v>19</v>
      </c>
      <c r="AD288">
        <v>0</v>
      </c>
      <c r="AE288">
        <v>1</v>
      </c>
      <c r="AF288">
        <v>1</v>
      </c>
      <c r="AG288">
        <v>0</v>
      </c>
      <c r="AH288">
        <v>0</v>
      </c>
      <c r="AI288">
        <v>0</v>
      </c>
    </row>
    <row r="289" spans="1:35" x14ac:dyDescent="0.25">
      <c r="A289">
        <v>38</v>
      </c>
      <c r="B289" t="str">
        <f t="shared" si="8"/>
        <v>35-44</v>
      </c>
      <c r="C289" s="1" t="s">
        <v>38</v>
      </c>
      <c r="D289" s="17">
        <f>IF(Table1[[#This Row],[Attrition]]="Yes",1,0)</f>
        <v>0</v>
      </c>
      <c r="E289" t="s">
        <v>57</v>
      </c>
      <c r="F289" s="2">
        <v>688</v>
      </c>
      <c r="G289" t="s">
        <v>39</v>
      </c>
      <c r="H289">
        <v>23</v>
      </c>
      <c r="I289">
        <v>4</v>
      </c>
      <c r="J289" t="str">
        <f t="shared" si="9"/>
        <v>Master</v>
      </c>
      <c r="K289" t="s">
        <v>34</v>
      </c>
      <c r="L289">
        <v>4</v>
      </c>
      <c r="M289" t="s">
        <v>40</v>
      </c>
      <c r="N289" s="2">
        <v>82</v>
      </c>
      <c r="O289">
        <v>3</v>
      </c>
      <c r="P289">
        <v>2</v>
      </c>
      <c r="Q289" t="s">
        <v>48</v>
      </c>
      <c r="R289">
        <v>4</v>
      </c>
      <c r="S289" t="s">
        <v>46</v>
      </c>
      <c r="T289" s="2">
        <v>5745</v>
      </c>
      <c r="U289" s="2">
        <v>18899</v>
      </c>
      <c r="V289">
        <v>9</v>
      </c>
      <c r="W289" t="s">
        <v>38</v>
      </c>
      <c r="X289">
        <v>14</v>
      </c>
      <c r="Y289">
        <v>3</v>
      </c>
      <c r="Z289">
        <v>2</v>
      </c>
      <c r="AA289">
        <v>80</v>
      </c>
      <c r="AB289">
        <v>1</v>
      </c>
      <c r="AC289">
        <v>10</v>
      </c>
      <c r="AD289">
        <v>2</v>
      </c>
      <c r="AE289">
        <v>3</v>
      </c>
      <c r="AF289">
        <v>2</v>
      </c>
      <c r="AG289">
        <v>2</v>
      </c>
      <c r="AH289">
        <v>1</v>
      </c>
      <c r="AI289">
        <v>2</v>
      </c>
    </row>
    <row r="290" spans="1:35" x14ac:dyDescent="0.25">
      <c r="A290">
        <v>26</v>
      </c>
      <c r="B290" t="str">
        <f t="shared" si="8"/>
        <v>25-34</v>
      </c>
      <c r="C290" s="1" t="s">
        <v>32</v>
      </c>
      <c r="D290" s="17">
        <f>IF(Table1[[#This Row],[Attrition]]="Yes",1,0)</f>
        <v>1</v>
      </c>
      <c r="E290" t="s">
        <v>57</v>
      </c>
      <c r="F290" s="2">
        <v>1449</v>
      </c>
      <c r="G290" t="s">
        <v>39</v>
      </c>
      <c r="H290">
        <v>16</v>
      </c>
      <c r="I290">
        <v>4</v>
      </c>
      <c r="J290" t="str">
        <f t="shared" si="9"/>
        <v>Master</v>
      </c>
      <c r="K290" t="s">
        <v>45</v>
      </c>
      <c r="L290">
        <v>1</v>
      </c>
      <c r="M290" t="s">
        <v>40</v>
      </c>
      <c r="N290" s="2">
        <v>45</v>
      </c>
      <c r="O290">
        <v>3</v>
      </c>
      <c r="P290">
        <v>1</v>
      </c>
      <c r="Q290" t="s">
        <v>44</v>
      </c>
      <c r="R290">
        <v>2</v>
      </c>
      <c r="S290" t="s">
        <v>46</v>
      </c>
      <c r="T290" s="2">
        <v>2373</v>
      </c>
      <c r="U290" s="2">
        <v>14180</v>
      </c>
      <c r="V290">
        <v>2</v>
      </c>
      <c r="W290" t="s">
        <v>32</v>
      </c>
      <c r="X290">
        <v>13</v>
      </c>
      <c r="Y290">
        <v>3</v>
      </c>
      <c r="Z290">
        <v>4</v>
      </c>
      <c r="AA290">
        <v>80</v>
      </c>
      <c r="AB290">
        <v>1</v>
      </c>
      <c r="AC290">
        <v>5</v>
      </c>
      <c r="AD290">
        <v>2</v>
      </c>
      <c r="AE290">
        <v>3</v>
      </c>
      <c r="AF290">
        <v>3</v>
      </c>
      <c r="AG290">
        <v>2</v>
      </c>
      <c r="AH290">
        <v>0</v>
      </c>
      <c r="AI290">
        <v>2</v>
      </c>
    </row>
    <row r="291" spans="1:35" x14ac:dyDescent="0.25">
      <c r="A291">
        <v>28</v>
      </c>
      <c r="B291" t="str">
        <f t="shared" si="8"/>
        <v>25-34</v>
      </c>
      <c r="C291" s="1" t="s">
        <v>38</v>
      </c>
      <c r="D291" s="17">
        <f>IF(Table1[[#This Row],[Attrition]]="Yes",1,0)</f>
        <v>0</v>
      </c>
      <c r="E291" t="s">
        <v>57</v>
      </c>
      <c r="F291" s="2">
        <v>1117</v>
      </c>
      <c r="G291" t="s">
        <v>39</v>
      </c>
      <c r="H291">
        <v>8</v>
      </c>
      <c r="I291">
        <v>2</v>
      </c>
      <c r="J291" t="str">
        <f t="shared" si="9"/>
        <v>College</v>
      </c>
      <c r="K291" t="s">
        <v>34</v>
      </c>
      <c r="L291">
        <v>4</v>
      </c>
      <c r="M291" t="s">
        <v>35</v>
      </c>
      <c r="N291" s="2">
        <v>66</v>
      </c>
      <c r="O291">
        <v>3</v>
      </c>
      <c r="P291">
        <v>1</v>
      </c>
      <c r="Q291" t="s">
        <v>41</v>
      </c>
      <c r="R291">
        <v>4</v>
      </c>
      <c r="S291" t="s">
        <v>37</v>
      </c>
      <c r="T291" s="2">
        <v>3310</v>
      </c>
      <c r="U291" s="2">
        <v>4488</v>
      </c>
      <c r="V291">
        <v>1</v>
      </c>
      <c r="W291" t="s">
        <v>38</v>
      </c>
      <c r="X291">
        <v>21</v>
      </c>
      <c r="Y291">
        <v>4</v>
      </c>
      <c r="Z291">
        <v>4</v>
      </c>
      <c r="AA291">
        <v>80</v>
      </c>
      <c r="AB291">
        <v>0</v>
      </c>
      <c r="AC291">
        <v>5</v>
      </c>
      <c r="AD291">
        <v>3</v>
      </c>
      <c r="AE291">
        <v>3</v>
      </c>
      <c r="AF291">
        <v>5</v>
      </c>
      <c r="AG291">
        <v>3</v>
      </c>
      <c r="AH291">
        <v>0</v>
      </c>
      <c r="AI291">
        <v>2</v>
      </c>
    </row>
    <row r="292" spans="1:35" x14ac:dyDescent="0.25">
      <c r="A292">
        <v>49</v>
      </c>
      <c r="B292" t="str">
        <f t="shared" si="8"/>
        <v>45-54</v>
      </c>
      <c r="C292" s="1" t="s">
        <v>38</v>
      </c>
      <c r="D292" s="17">
        <f>IF(Table1[[#This Row],[Attrition]]="Yes",1,0)</f>
        <v>0</v>
      </c>
      <c r="E292" t="s">
        <v>58</v>
      </c>
      <c r="F292" s="2">
        <v>636</v>
      </c>
      <c r="G292" t="s">
        <v>39</v>
      </c>
      <c r="H292">
        <v>10</v>
      </c>
      <c r="I292">
        <v>4</v>
      </c>
      <c r="J292" t="str">
        <f t="shared" si="9"/>
        <v>Master</v>
      </c>
      <c r="K292" t="s">
        <v>34</v>
      </c>
      <c r="L292">
        <v>3</v>
      </c>
      <c r="M292" t="s">
        <v>35</v>
      </c>
      <c r="N292" s="2">
        <v>35</v>
      </c>
      <c r="O292">
        <v>3</v>
      </c>
      <c r="P292">
        <v>5</v>
      </c>
      <c r="Q292" t="s">
        <v>52</v>
      </c>
      <c r="R292">
        <v>1</v>
      </c>
      <c r="S292" t="s">
        <v>37</v>
      </c>
      <c r="T292" s="2">
        <v>18665</v>
      </c>
      <c r="U292" s="2">
        <v>25594</v>
      </c>
      <c r="V292">
        <v>9</v>
      </c>
      <c r="W292" t="s">
        <v>32</v>
      </c>
      <c r="X292">
        <v>11</v>
      </c>
      <c r="Y292">
        <v>3</v>
      </c>
      <c r="Z292">
        <v>4</v>
      </c>
      <c r="AA292">
        <v>80</v>
      </c>
      <c r="AB292">
        <v>0</v>
      </c>
      <c r="AC292">
        <v>22</v>
      </c>
      <c r="AD292">
        <v>4</v>
      </c>
      <c r="AE292">
        <v>3</v>
      </c>
      <c r="AF292">
        <v>3</v>
      </c>
      <c r="AG292">
        <v>2</v>
      </c>
      <c r="AH292">
        <v>1</v>
      </c>
      <c r="AI292">
        <v>2</v>
      </c>
    </row>
    <row r="293" spans="1:35" x14ac:dyDescent="0.25">
      <c r="A293">
        <v>36</v>
      </c>
      <c r="B293" t="str">
        <f t="shared" si="8"/>
        <v>35-44</v>
      </c>
      <c r="C293" s="1" t="s">
        <v>38</v>
      </c>
      <c r="D293" s="17">
        <f>IF(Table1[[#This Row],[Attrition]]="Yes",1,0)</f>
        <v>0</v>
      </c>
      <c r="E293" t="s">
        <v>57</v>
      </c>
      <c r="F293" s="2">
        <v>506</v>
      </c>
      <c r="G293" t="s">
        <v>39</v>
      </c>
      <c r="H293">
        <v>3</v>
      </c>
      <c r="I293">
        <v>3</v>
      </c>
      <c r="J293" t="str">
        <f t="shared" si="9"/>
        <v>Bachelor</v>
      </c>
      <c r="K293" t="s">
        <v>54</v>
      </c>
      <c r="L293">
        <v>3</v>
      </c>
      <c r="M293" t="s">
        <v>40</v>
      </c>
      <c r="N293" s="2">
        <v>30</v>
      </c>
      <c r="O293">
        <v>3</v>
      </c>
      <c r="P293">
        <v>2</v>
      </c>
      <c r="Q293" t="s">
        <v>41</v>
      </c>
      <c r="R293">
        <v>2</v>
      </c>
      <c r="S293" t="s">
        <v>37</v>
      </c>
      <c r="T293" s="2">
        <v>4485</v>
      </c>
      <c r="U293" s="2">
        <v>26285</v>
      </c>
      <c r="V293">
        <v>4</v>
      </c>
      <c r="W293" t="s">
        <v>38</v>
      </c>
      <c r="X293">
        <v>12</v>
      </c>
      <c r="Y293">
        <v>3</v>
      </c>
      <c r="Z293">
        <v>4</v>
      </c>
      <c r="AA293">
        <v>80</v>
      </c>
      <c r="AB293">
        <v>0</v>
      </c>
      <c r="AC293">
        <v>10</v>
      </c>
      <c r="AD293">
        <v>2</v>
      </c>
      <c r="AE293">
        <v>3</v>
      </c>
      <c r="AF293">
        <v>8</v>
      </c>
      <c r="AG293">
        <v>0</v>
      </c>
      <c r="AH293">
        <v>7</v>
      </c>
      <c r="AI293">
        <v>7</v>
      </c>
    </row>
    <row r="294" spans="1:35" x14ac:dyDescent="0.25">
      <c r="A294">
        <v>31</v>
      </c>
      <c r="B294" t="str">
        <f t="shared" si="8"/>
        <v>25-34</v>
      </c>
      <c r="C294" s="1" t="s">
        <v>38</v>
      </c>
      <c r="D294" s="17">
        <f>IF(Table1[[#This Row],[Attrition]]="Yes",1,0)</f>
        <v>0</v>
      </c>
      <c r="E294" t="s">
        <v>58</v>
      </c>
      <c r="F294" s="2">
        <v>444</v>
      </c>
      <c r="G294" t="s">
        <v>33</v>
      </c>
      <c r="H294">
        <v>5</v>
      </c>
      <c r="I294">
        <v>3</v>
      </c>
      <c r="J294" t="str">
        <f t="shared" si="9"/>
        <v>Bachelor</v>
      </c>
      <c r="K294" t="s">
        <v>53</v>
      </c>
      <c r="L294">
        <v>4</v>
      </c>
      <c r="M294" t="s">
        <v>35</v>
      </c>
      <c r="N294" s="2">
        <v>84</v>
      </c>
      <c r="O294">
        <v>3</v>
      </c>
      <c r="P294">
        <v>1</v>
      </c>
      <c r="Q294" t="s">
        <v>51</v>
      </c>
      <c r="R294">
        <v>2</v>
      </c>
      <c r="S294" t="s">
        <v>46</v>
      </c>
      <c r="T294" s="2">
        <v>2789</v>
      </c>
      <c r="U294" s="2">
        <v>3909</v>
      </c>
      <c r="V294">
        <v>1</v>
      </c>
      <c r="W294" t="s">
        <v>38</v>
      </c>
      <c r="X294">
        <v>11</v>
      </c>
      <c r="Y294">
        <v>3</v>
      </c>
      <c r="Z294">
        <v>3</v>
      </c>
      <c r="AA294">
        <v>80</v>
      </c>
      <c r="AB294">
        <v>1</v>
      </c>
      <c r="AC294">
        <v>2</v>
      </c>
      <c r="AD294">
        <v>5</v>
      </c>
      <c r="AE294">
        <v>2</v>
      </c>
      <c r="AF294">
        <v>2</v>
      </c>
      <c r="AG294">
        <v>2</v>
      </c>
      <c r="AH294">
        <v>2</v>
      </c>
      <c r="AI294">
        <v>2</v>
      </c>
    </row>
    <row r="295" spans="1:35" x14ac:dyDescent="0.25">
      <c r="A295">
        <v>26</v>
      </c>
      <c r="B295" t="str">
        <f t="shared" si="8"/>
        <v>25-34</v>
      </c>
      <c r="C295" s="1" t="s">
        <v>32</v>
      </c>
      <c r="D295" s="17">
        <f>IF(Table1[[#This Row],[Attrition]]="Yes",1,0)</f>
        <v>1</v>
      </c>
      <c r="E295" t="s">
        <v>57</v>
      </c>
      <c r="F295" s="2">
        <v>950</v>
      </c>
      <c r="G295" t="s">
        <v>33</v>
      </c>
      <c r="H295">
        <v>4</v>
      </c>
      <c r="I295">
        <v>4</v>
      </c>
      <c r="J295" t="str">
        <f t="shared" si="9"/>
        <v>Master</v>
      </c>
      <c r="K295" t="s">
        <v>53</v>
      </c>
      <c r="L295">
        <v>4</v>
      </c>
      <c r="M295" t="s">
        <v>40</v>
      </c>
      <c r="N295" s="2">
        <v>48</v>
      </c>
      <c r="O295">
        <v>2</v>
      </c>
      <c r="P295">
        <v>2</v>
      </c>
      <c r="Q295" t="s">
        <v>36</v>
      </c>
      <c r="R295">
        <v>4</v>
      </c>
      <c r="S295" t="s">
        <v>37</v>
      </c>
      <c r="T295" s="2">
        <v>5828</v>
      </c>
      <c r="U295" s="2">
        <v>8450</v>
      </c>
      <c r="V295">
        <v>1</v>
      </c>
      <c r="W295" t="s">
        <v>32</v>
      </c>
      <c r="X295">
        <v>12</v>
      </c>
      <c r="Y295">
        <v>3</v>
      </c>
      <c r="Z295">
        <v>2</v>
      </c>
      <c r="AA295">
        <v>80</v>
      </c>
      <c r="AB295">
        <v>0</v>
      </c>
      <c r="AC295">
        <v>8</v>
      </c>
      <c r="AD295">
        <v>0</v>
      </c>
      <c r="AE295">
        <v>3</v>
      </c>
      <c r="AF295">
        <v>8</v>
      </c>
      <c r="AG295">
        <v>7</v>
      </c>
      <c r="AH295">
        <v>7</v>
      </c>
      <c r="AI295">
        <v>4</v>
      </c>
    </row>
    <row r="296" spans="1:35" x14ac:dyDescent="0.25">
      <c r="A296">
        <v>37</v>
      </c>
      <c r="B296" t="str">
        <f t="shared" si="8"/>
        <v>35-44</v>
      </c>
      <c r="C296" s="1" t="s">
        <v>38</v>
      </c>
      <c r="D296" s="17">
        <f>IF(Table1[[#This Row],[Attrition]]="Yes",1,0)</f>
        <v>0</v>
      </c>
      <c r="E296" t="s">
        <v>58</v>
      </c>
      <c r="F296" s="2">
        <v>889</v>
      </c>
      <c r="G296" t="s">
        <v>39</v>
      </c>
      <c r="H296">
        <v>9</v>
      </c>
      <c r="I296">
        <v>3</v>
      </c>
      <c r="J296" t="str">
        <f t="shared" si="9"/>
        <v>Bachelor</v>
      </c>
      <c r="K296" t="s">
        <v>45</v>
      </c>
      <c r="L296">
        <v>2</v>
      </c>
      <c r="M296" t="s">
        <v>40</v>
      </c>
      <c r="N296" s="2">
        <v>53</v>
      </c>
      <c r="O296">
        <v>3</v>
      </c>
      <c r="P296">
        <v>1</v>
      </c>
      <c r="Q296" t="s">
        <v>41</v>
      </c>
      <c r="R296">
        <v>4</v>
      </c>
      <c r="S296" t="s">
        <v>42</v>
      </c>
      <c r="T296" s="2">
        <v>2326</v>
      </c>
      <c r="U296" s="2">
        <v>11411</v>
      </c>
      <c r="V296">
        <v>1</v>
      </c>
      <c r="W296" t="s">
        <v>32</v>
      </c>
      <c r="X296">
        <v>12</v>
      </c>
      <c r="Y296">
        <v>3</v>
      </c>
      <c r="Z296">
        <v>3</v>
      </c>
      <c r="AA296">
        <v>80</v>
      </c>
      <c r="AB296">
        <v>3</v>
      </c>
      <c r="AC296">
        <v>4</v>
      </c>
      <c r="AD296">
        <v>3</v>
      </c>
      <c r="AE296">
        <v>2</v>
      </c>
      <c r="AF296">
        <v>4</v>
      </c>
      <c r="AG296">
        <v>2</v>
      </c>
      <c r="AH296">
        <v>1</v>
      </c>
      <c r="AI296">
        <v>2</v>
      </c>
    </row>
    <row r="297" spans="1:35" x14ac:dyDescent="0.25">
      <c r="A297">
        <v>42</v>
      </c>
      <c r="B297" t="str">
        <f t="shared" si="8"/>
        <v>35-44</v>
      </c>
      <c r="C297" s="1" t="s">
        <v>38</v>
      </c>
      <c r="D297" s="17">
        <f>IF(Table1[[#This Row],[Attrition]]="Yes",1,0)</f>
        <v>0</v>
      </c>
      <c r="E297" t="s">
        <v>58</v>
      </c>
      <c r="F297" s="2">
        <v>555</v>
      </c>
      <c r="G297" t="s">
        <v>33</v>
      </c>
      <c r="H297">
        <v>26</v>
      </c>
      <c r="I297">
        <v>3</v>
      </c>
      <c r="J297" t="str">
        <f t="shared" si="9"/>
        <v>Bachelor</v>
      </c>
      <c r="K297" t="s">
        <v>53</v>
      </c>
      <c r="L297">
        <v>3</v>
      </c>
      <c r="M297" t="s">
        <v>35</v>
      </c>
      <c r="N297" s="2">
        <v>77</v>
      </c>
      <c r="O297">
        <v>3</v>
      </c>
      <c r="P297">
        <v>4</v>
      </c>
      <c r="Q297" t="s">
        <v>36</v>
      </c>
      <c r="R297">
        <v>2</v>
      </c>
      <c r="S297" t="s">
        <v>42</v>
      </c>
      <c r="T297" s="2">
        <v>13525</v>
      </c>
      <c r="U297" s="2">
        <v>14864</v>
      </c>
      <c r="V297">
        <v>5</v>
      </c>
      <c r="W297" t="s">
        <v>38</v>
      </c>
      <c r="X297">
        <v>14</v>
      </c>
      <c r="Y297">
        <v>3</v>
      </c>
      <c r="Z297">
        <v>4</v>
      </c>
      <c r="AA297">
        <v>80</v>
      </c>
      <c r="AB297">
        <v>1</v>
      </c>
      <c r="AC297">
        <v>23</v>
      </c>
      <c r="AD297">
        <v>2</v>
      </c>
      <c r="AE297">
        <v>4</v>
      </c>
      <c r="AF297">
        <v>20</v>
      </c>
      <c r="AG297">
        <v>4</v>
      </c>
      <c r="AH297">
        <v>4</v>
      </c>
      <c r="AI297">
        <v>8</v>
      </c>
    </row>
    <row r="298" spans="1:35" x14ac:dyDescent="0.25">
      <c r="A298">
        <v>18</v>
      </c>
      <c r="B298" t="str">
        <f t="shared" si="8"/>
        <v>18-24</v>
      </c>
      <c r="C298" s="1" t="s">
        <v>32</v>
      </c>
      <c r="D298" s="17">
        <f>IF(Table1[[#This Row],[Attrition]]="Yes",1,0)</f>
        <v>1</v>
      </c>
      <c r="E298" t="s">
        <v>57</v>
      </c>
      <c r="F298" s="2">
        <v>230</v>
      </c>
      <c r="G298" t="s">
        <v>39</v>
      </c>
      <c r="H298">
        <v>3</v>
      </c>
      <c r="I298">
        <v>3</v>
      </c>
      <c r="J298" t="str">
        <f t="shared" si="9"/>
        <v>Bachelor</v>
      </c>
      <c r="K298" t="s">
        <v>34</v>
      </c>
      <c r="L298">
        <v>3</v>
      </c>
      <c r="M298" t="s">
        <v>40</v>
      </c>
      <c r="N298" s="2">
        <v>54</v>
      </c>
      <c r="O298">
        <v>3</v>
      </c>
      <c r="P298">
        <v>1</v>
      </c>
      <c r="Q298" t="s">
        <v>44</v>
      </c>
      <c r="R298">
        <v>3</v>
      </c>
      <c r="S298" t="s">
        <v>37</v>
      </c>
      <c r="T298" s="2">
        <v>1420</v>
      </c>
      <c r="U298" s="2">
        <v>25233</v>
      </c>
      <c r="V298">
        <v>1</v>
      </c>
      <c r="W298" t="s">
        <v>38</v>
      </c>
      <c r="X298">
        <v>13</v>
      </c>
      <c r="Y298">
        <v>3</v>
      </c>
      <c r="Z298">
        <v>3</v>
      </c>
      <c r="AA298">
        <v>80</v>
      </c>
      <c r="AB298">
        <v>0</v>
      </c>
      <c r="AC298">
        <v>0</v>
      </c>
      <c r="AD298">
        <v>2</v>
      </c>
      <c r="AE298">
        <v>3</v>
      </c>
      <c r="AF298">
        <v>0</v>
      </c>
      <c r="AG298">
        <v>0</v>
      </c>
      <c r="AH298">
        <v>0</v>
      </c>
      <c r="AI298">
        <v>0</v>
      </c>
    </row>
    <row r="299" spans="1:35" x14ac:dyDescent="0.25">
      <c r="A299">
        <v>35</v>
      </c>
      <c r="B299" t="str">
        <f t="shared" si="8"/>
        <v>35-44</v>
      </c>
      <c r="C299" s="1" t="s">
        <v>38</v>
      </c>
      <c r="D299" s="17">
        <f>IF(Table1[[#This Row],[Attrition]]="Yes",1,0)</f>
        <v>0</v>
      </c>
      <c r="E299" t="s">
        <v>57</v>
      </c>
      <c r="F299" s="2">
        <v>1232</v>
      </c>
      <c r="G299" t="s">
        <v>33</v>
      </c>
      <c r="H299">
        <v>16</v>
      </c>
      <c r="I299">
        <v>3</v>
      </c>
      <c r="J299" t="str">
        <f t="shared" si="9"/>
        <v>Bachelor</v>
      </c>
      <c r="K299" t="s">
        <v>53</v>
      </c>
      <c r="L299">
        <v>3</v>
      </c>
      <c r="M299" t="s">
        <v>40</v>
      </c>
      <c r="N299" s="2">
        <v>96</v>
      </c>
      <c r="O299">
        <v>3</v>
      </c>
      <c r="P299">
        <v>3</v>
      </c>
      <c r="Q299" t="s">
        <v>36</v>
      </c>
      <c r="R299">
        <v>2</v>
      </c>
      <c r="S299" t="s">
        <v>42</v>
      </c>
      <c r="T299" s="2">
        <v>8020</v>
      </c>
      <c r="U299" s="2">
        <v>5100</v>
      </c>
      <c r="V299">
        <v>0</v>
      </c>
      <c r="W299" t="s">
        <v>38</v>
      </c>
      <c r="X299">
        <v>15</v>
      </c>
      <c r="Y299">
        <v>3</v>
      </c>
      <c r="Z299">
        <v>3</v>
      </c>
      <c r="AA299">
        <v>80</v>
      </c>
      <c r="AB299">
        <v>2</v>
      </c>
      <c r="AC299">
        <v>12</v>
      </c>
      <c r="AD299">
        <v>3</v>
      </c>
      <c r="AE299">
        <v>2</v>
      </c>
      <c r="AF299">
        <v>11</v>
      </c>
      <c r="AG299">
        <v>9</v>
      </c>
      <c r="AH299">
        <v>6</v>
      </c>
      <c r="AI299">
        <v>9</v>
      </c>
    </row>
    <row r="300" spans="1:35" x14ac:dyDescent="0.25">
      <c r="A300">
        <v>36</v>
      </c>
      <c r="B300" t="str">
        <f t="shared" si="8"/>
        <v>35-44</v>
      </c>
      <c r="C300" s="1" t="s">
        <v>38</v>
      </c>
      <c r="D300" s="17">
        <f>IF(Table1[[#This Row],[Attrition]]="Yes",1,0)</f>
        <v>0</v>
      </c>
      <c r="E300" t="s">
        <v>58</v>
      </c>
      <c r="F300" s="2">
        <v>566</v>
      </c>
      <c r="G300" t="s">
        <v>39</v>
      </c>
      <c r="H300">
        <v>18</v>
      </c>
      <c r="I300">
        <v>4</v>
      </c>
      <c r="J300" t="str">
        <f t="shared" si="9"/>
        <v>Master</v>
      </c>
      <c r="K300" t="s">
        <v>34</v>
      </c>
      <c r="L300">
        <v>3</v>
      </c>
      <c r="M300" t="s">
        <v>40</v>
      </c>
      <c r="N300" s="2">
        <v>81</v>
      </c>
      <c r="O300">
        <v>4</v>
      </c>
      <c r="P300">
        <v>1</v>
      </c>
      <c r="Q300" t="s">
        <v>44</v>
      </c>
      <c r="R300">
        <v>4</v>
      </c>
      <c r="S300" t="s">
        <v>42</v>
      </c>
      <c r="T300" s="2">
        <v>3688</v>
      </c>
      <c r="U300" s="2">
        <v>7122</v>
      </c>
      <c r="V300">
        <v>4</v>
      </c>
      <c r="W300" t="s">
        <v>38</v>
      </c>
      <c r="X300">
        <v>18</v>
      </c>
      <c r="Y300">
        <v>3</v>
      </c>
      <c r="Z300">
        <v>4</v>
      </c>
      <c r="AA300">
        <v>80</v>
      </c>
      <c r="AB300">
        <v>2</v>
      </c>
      <c r="AC300">
        <v>4</v>
      </c>
      <c r="AD300">
        <v>2</v>
      </c>
      <c r="AE300">
        <v>3</v>
      </c>
      <c r="AF300">
        <v>1</v>
      </c>
      <c r="AG300">
        <v>0</v>
      </c>
      <c r="AH300">
        <v>0</v>
      </c>
      <c r="AI300">
        <v>0</v>
      </c>
    </row>
    <row r="301" spans="1:35" x14ac:dyDescent="0.25">
      <c r="A301">
        <v>51</v>
      </c>
      <c r="B301" t="str">
        <f t="shared" si="8"/>
        <v>45-54</v>
      </c>
      <c r="C301" s="1" t="s">
        <v>38</v>
      </c>
      <c r="D301" s="17">
        <f>IF(Table1[[#This Row],[Attrition]]="Yes",1,0)</f>
        <v>0</v>
      </c>
      <c r="E301" t="s">
        <v>57</v>
      </c>
      <c r="F301" s="2">
        <v>1302</v>
      </c>
      <c r="G301" t="s">
        <v>39</v>
      </c>
      <c r="H301">
        <v>2</v>
      </c>
      <c r="I301">
        <v>3</v>
      </c>
      <c r="J301" t="str">
        <f t="shared" si="9"/>
        <v>Bachelor</v>
      </c>
      <c r="K301" t="s">
        <v>45</v>
      </c>
      <c r="L301">
        <v>4</v>
      </c>
      <c r="M301" t="s">
        <v>40</v>
      </c>
      <c r="N301" s="2">
        <v>84</v>
      </c>
      <c r="O301">
        <v>1</v>
      </c>
      <c r="P301">
        <v>2</v>
      </c>
      <c r="Q301" t="s">
        <v>47</v>
      </c>
      <c r="R301">
        <v>2</v>
      </c>
      <c r="S301" t="s">
        <v>46</v>
      </c>
      <c r="T301" s="2">
        <v>5482</v>
      </c>
      <c r="U301" s="2">
        <v>16321</v>
      </c>
      <c r="V301">
        <v>5</v>
      </c>
      <c r="W301" t="s">
        <v>38</v>
      </c>
      <c r="X301">
        <v>18</v>
      </c>
      <c r="Y301">
        <v>3</v>
      </c>
      <c r="Z301">
        <v>4</v>
      </c>
      <c r="AA301">
        <v>80</v>
      </c>
      <c r="AB301">
        <v>1</v>
      </c>
      <c r="AC301">
        <v>13</v>
      </c>
      <c r="AD301">
        <v>3</v>
      </c>
      <c r="AE301">
        <v>3</v>
      </c>
      <c r="AF301">
        <v>4</v>
      </c>
      <c r="AG301">
        <v>1</v>
      </c>
      <c r="AH301">
        <v>1</v>
      </c>
      <c r="AI301">
        <v>2</v>
      </c>
    </row>
    <row r="302" spans="1:35" x14ac:dyDescent="0.25">
      <c r="A302">
        <v>41</v>
      </c>
      <c r="B302" t="str">
        <f t="shared" si="8"/>
        <v>35-44</v>
      </c>
      <c r="C302" s="1" t="s">
        <v>38</v>
      </c>
      <c r="D302" s="17">
        <f>IF(Table1[[#This Row],[Attrition]]="Yes",1,0)</f>
        <v>0</v>
      </c>
      <c r="E302" t="s">
        <v>57</v>
      </c>
      <c r="F302" s="2">
        <v>334</v>
      </c>
      <c r="G302" t="s">
        <v>33</v>
      </c>
      <c r="H302">
        <v>2</v>
      </c>
      <c r="I302">
        <v>4</v>
      </c>
      <c r="J302" t="str">
        <f t="shared" si="9"/>
        <v>Master</v>
      </c>
      <c r="K302" t="s">
        <v>34</v>
      </c>
      <c r="L302">
        <v>4</v>
      </c>
      <c r="M302" t="s">
        <v>40</v>
      </c>
      <c r="N302" s="2">
        <v>88</v>
      </c>
      <c r="O302">
        <v>3</v>
      </c>
      <c r="P302">
        <v>4</v>
      </c>
      <c r="Q302" t="s">
        <v>50</v>
      </c>
      <c r="R302">
        <v>2</v>
      </c>
      <c r="S302" t="s">
        <v>37</v>
      </c>
      <c r="T302" s="2">
        <v>16015</v>
      </c>
      <c r="U302" s="2">
        <v>15896</v>
      </c>
      <c r="V302">
        <v>1</v>
      </c>
      <c r="W302" t="s">
        <v>38</v>
      </c>
      <c r="X302">
        <v>19</v>
      </c>
      <c r="Y302">
        <v>3</v>
      </c>
      <c r="Z302">
        <v>2</v>
      </c>
      <c r="AA302">
        <v>80</v>
      </c>
      <c r="AB302">
        <v>0</v>
      </c>
      <c r="AC302">
        <v>22</v>
      </c>
      <c r="AD302">
        <v>2</v>
      </c>
      <c r="AE302">
        <v>3</v>
      </c>
      <c r="AF302">
        <v>22</v>
      </c>
      <c r="AG302">
        <v>10</v>
      </c>
      <c r="AH302">
        <v>0</v>
      </c>
      <c r="AI302">
        <v>4</v>
      </c>
    </row>
    <row r="303" spans="1:35" x14ac:dyDescent="0.25">
      <c r="A303">
        <v>18</v>
      </c>
      <c r="B303" t="str">
        <f t="shared" si="8"/>
        <v>18-24</v>
      </c>
      <c r="C303" s="1" t="s">
        <v>38</v>
      </c>
      <c r="D303" s="17">
        <f>IF(Table1[[#This Row],[Attrition]]="Yes",1,0)</f>
        <v>0</v>
      </c>
      <c r="E303" t="s">
        <v>57</v>
      </c>
      <c r="F303" s="2">
        <v>812</v>
      </c>
      <c r="G303" t="s">
        <v>33</v>
      </c>
      <c r="H303">
        <v>10</v>
      </c>
      <c r="I303">
        <v>3</v>
      </c>
      <c r="J303" t="str">
        <f t="shared" si="9"/>
        <v>Bachelor</v>
      </c>
      <c r="K303" t="s">
        <v>45</v>
      </c>
      <c r="L303">
        <v>4</v>
      </c>
      <c r="M303" t="s">
        <v>35</v>
      </c>
      <c r="N303" s="2">
        <v>69</v>
      </c>
      <c r="O303">
        <v>2</v>
      </c>
      <c r="P303">
        <v>1</v>
      </c>
      <c r="Q303" t="s">
        <v>51</v>
      </c>
      <c r="R303">
        <v>3</v>
      </c>
      <c r="S303" t="s">
        <v>37</v>
      </c>
      <c r="T303" s="2">
        <v>1200</v>
      </c>
      <c r="U303" s="2">
        <v>9724</v>
      </c>
      <c r="V303">
        <v>1</v>
      </c>
      <c r="W303" t="s">
        <v>38</v>
      </c>
      <c r="X303">
        <v>12</v>
      </c>
      <c r="Y303">
        <v>3</v>
      </c>
      <c r="Z303">
        <v>1</v>
      </c>
      <c r="AA303">
        <v>80</v>
      </c>
      <c r="AB303">
        <v>0</v>
      </c>
      <c r="AC303">
        <v>0</v>
      </c>
      <c r="AD303">
        <v>2</v>
      </c>
      <c r="AE303">
        <v>3</v>
      </c>
      <c r="AF303">
        <v>0</v>
      </c>
      <c r="AG303">
        <v>0</v>
      </c>
      <c r="AH303">
        <v>0</v>
      </c>
      <c r="AI303">
        <v>0</v>
      </c>
    </row>
    <row r="304" spans="1:35" x14ac:dyDescent="0.25">
      <c r="A304">
        <v>28</v>
      </c>
      <c r="B304" t="str">
        <f t="shared" si="8"/>
        <v>25-34</v>
      </c>
      <c r="C304" s="1" t="s">
        <v>38</v>
      </c>
      <c r="D304" s="17">
        <f>IF(Table1[[#This Row],[Attrition]]="Yes",1,0)</f>
        <v>0</v>
      </c>
      <c r="E304" t="s">
        <v>57</v>
      </c>
      <c r="F304" s="2">
        <v>1476</v>
      </c>
      <c r="G304" t="s">
        <v>39</v>
      </c>
      <c r="H304">
        <v>16</v>
      </c>
      <c r="I304">
        <v>2</v>
      </c>
      <c r="J304" t="str">
        <f t="shared" si="9"/>
        <v>College</v>
      </c>
      <c r="K304" t="s">
        <v>45</v>
      </c>
      <c r="L304">
        <v>2</v>
      </c>
      <c r="M304" t="s">
        <v>40</v>
      </c>
      <c r="N304" s="2">
        <v>68</v>
      </c>
      <c r="O304">
        <v>4</v>
      </c>
      <c r="P304">
        <v>2</v>
      </c>
      <c r="Q304" t="s">
        <v>48</v>
      </c>
      <c r="R304">
        <v>1</v>
      </c>
      <c r="S304" t="s">
        <v>37</v>
      </c>
      <c r="T304" s="2">
        <v>5661</v>
      </c>
      <c r="U304" s="2">
        <v>4824</v>
      </c>
      <c r="V304">
        <v>0</v>
      </c>
      <c r="W304" t="s">
        <v>38</v>
      </c>
      <c r="X304">
        <v>19</v>
      </c>
      <c r="Y304">
        <v>3</v>
      </c>
      <c r="Z304">
        <v>3</v>
      </c>
      <c r="AA304">
        <v>80</v>
      </c>
      <c r="AB304">
        <v>0</v>
      </c>
      <c r="AC304">
        <v>9</v>
      </c>
      <c r="AD304">
        <v>2</v>
      </c>
      <c r="AE304">
        <v>3</v>
      </c>
      <c r="AF304">
        <v>8</v>
      </c>
      <c r="AG304">
        <v>3</v>
      </c>
      <c r="AH304">
        <v>0</v>
      </c>
      <c r="AI304">
        <v>7</v>
      </c>
    </row>
    <row r="305" spans="1:35" x14ac:dyDescent="0.25">
      <c r="A305">
        <v>31</v>
      </c>
      <c r="B305" t="str">
        <f t="shared" si="8"/>
        <v>25-34</v>
      </c>
      <c r="C305" s="1" t="s">
        <v>38</v>
      </c>
      <c r="D305" s="17">
        <f>IF(Table1[[#This Row],[Attrition]]="Yes",1,0)</f>
        <v>0</v>
      </c>
      <c r="E305" t="s">
        <v>57</v>
      </c>
      <c r="F305" s="2">
        <v>218</v>
      </c>
      <c r="G305" t="s">
        <v>33</v>
      </c>
      <c r="H305">
        <v>7</v>
      </c>
      <c r="I305">
        <v>3</v>
      </c>
      <c r="J305" t="str">
        <f t="shared" si="9"/>
        <v>Bachelor</v>
      </c>
      <c r="K305" t="s">
        <v>54</v>
      </c>
      <c r="L305">
        <v>2</v>
      </c>
      <c r="M305" t="s">
        <v>40</v>
      </c>
      <c r="N305" s="2">
        <v>100</v>
      </c>
      <c r="O305">
        <v>4</v>
      </c>
      <c r="P305">
        <v>2</v>
      </c>
      <c r="Q305" t="s">
        <v>36</v>
      </c>
      <c r="R305">
        <v>4</v>
      </c>
      <c r="S305" t="s">
        <v>42</v>
      </c>
      <c r="T305" s="2">
        <v>6929</v>
      </c>
      <c r="U305" s="2">
        <v>12241</v>
      </c>
      <c r="V305">
        <v>4</v>
      </c>
      <c r="W305" t="s">
        <v>38</v>
      </c>
      <c r="X305">
        <v>11</v>
      </c>
      <c r="Y305">
        <v>3</v>
      </c>
      <c r="Z305">
        <v>2</v>
      </c>
      <c r="AA305">
        <v>80</v>
      </c>
      <c r="AB305">
        <v>1</v>
      </c>
      <c r="AC305">
        <v>10</v>
      </c>
      <c r="AD305">
        <v>3</v>
      </c>
      <c r="AE305">
        <v>2</v>
      </c>
      <c r="AF305">
        <v>8</v>
      </c>
      <c r="AG305">
        <v>7</v>
      </c>
      <c r="AH305">
        <v>7</v>
      </c>
      <c r="AI305">
        <v>7</v>
      </c>
    </row>
    <row r="306" spans="1:35" x14ac:dyDescent="0.25">
      <c r="A306">
        <v>39</v>
      </c>
      <c r="B306" t="str">
        <f t="shared" si="8"/>
        <v>35-44</v>
      </c>
      <c r="C306" s="1" t="s">
        <v>38</v>
      </c>
      <c r="D306" s="17">
        <f>IF(Table1[[#This Row],[Attrition]]="Yes",1,0)</f>
        <v>0</v>
      </c>
      <c r="E306" t="s">
        <v>57</v>
      </c>
      <c r="F306" s="2">
        <v>1132</v>
      </c>
      <c r="G306" t="s">
        <v>39</v>
      </c>
      <c r="H306">
        <v>1</v>
      </c>
      <c r="I306">
        <v>3</v>
      </c>
      <c r="J306" t="str">
        <f t="shared" si="9"/>
        <v>Bachelor</v>
      </c>
      <c r="K306" t="s">
        <v>45</v>
      </c>
      <c r="L306">
        <v>3</v>
      </c>
      <c r="M306" t="s">
        <v>40</v>
      </c>
      <c r="N306" s="2">
        <v>48</v>
      </c>
      <c r="O306">
        <v>4</v>
      </c>
      <c r="P306">
        <v>3</v>
      </c>
      <c r="Q306" t="s">
        <v>48</v>
      </c>
      <c r="R306">
        <v>4</v>
      </c>
      <c r="S306" t="s">
        <v>46</v>
      </c>
      <c r="T306" s="2">
        <v>9613</v>
      </c>
      <c r="U306" s="2">
        <v>10942</v>
      </c>
      <c r="V306">
        <v>0</v>
      </c>
      <c r="W306" t="s">
        <v>38</v>
      </c>
      <c r="X306">
        <v>17</v>
      </c>
      <c r="Y306">
        <v>3</v>
      </c>
      <c r="Z306">
        <v>1</v>
      </c>
      <c r="AA306">
        <v>80</v>
      </c>
      <c r="AB306">
        <v>3</v>
      </c>
      <c r="AC306">
        <v>19</v>
      </c>
      <c r="AD306">
        <v>5</v>
      </c>
      <c r="AE306">
        <v>2</v>
      </c>
      <c r="AF306">
        <v>18</v>
      </c>
      <c r="AG306">
        <v>10</v>
      </c>
      <c r="AH306">
        <v>3</v>
      </c>
      <c r="AI306">
        <v>7</v>
      </c>
    </row>
    <row r="307" spans="1:35" x14ac:dyDescent="0.25">
      <c r="A307">
        <v>36</v>
      </c>
      <c r="B307" t="str">
        <f t="shared" si="8"/>
        <v>35-44</v>
      </c>
      <c r="C307" s="1" t="s">
        <v>38</v>
      </c>
      <c r="D307" s="17">
        <f>IF(Table1[[#This Row],[Attrition]]="Yes",1,0)</f>
        <v>0</v>
      </c>
      <c r="E307" t="s">
        <v>49</v>
      </c>
      <c r="F307" s="2">
        <v>1105</v>
      </c>
      <c r="G307" t="s">
        <v>39</v>
      </c>
      <c r="H307">
        <v>24</v>
      </c>
      <c r="I307">
        <v>4</v>
      </c>
      <c r="J307" t="str">
        <f t="shared" si="9"/>
        <v>Master</v>
      </c>
      <c r="K307" t="s">
        <v>34</v>
      </c>
      <c r="L307">
        <v>2</v>
      </c>
      <c r="M307" t="s">
        <v>35</v>
      </c>
      <c r="N307" s="2">
        <v>47</v>
      </c>
      <c r="O307">
        <v>3</v>
      </c>
      <c r="P307">
        <v>2</v>
      </c>
      <c r="Q307" t="s">
        <v>44</v>
      </c>
      <c r="R307">
        <v>2</v>
      </c>
      <c r="S307" t="s">
        <v>42</v>
      </c>
      <c r="T307" s="2">
        <v>5674</v>
      </c>
      <c r="U307" s="2">
        <v>6927</v>
      </c>
      <c r="V307">
        <v>7</v>
      </c>
      <c r="W307" t="s">
        <v>38</v>
      </c>
      <c r="X307">
        <v>15</v>
      </c>
      <c r="Y307">
        <v>3</v>
      </c>
      <c r="Z307">
        <v>3</v>
      </c>
      <c r="AA307">
        <v>80</v>
      </c>
      <c r="AB307">
        <v>1</v>
      </c>
      <c r="AC307">
        <v>11</v>
      </c>
      <c r="AD307">
        <v>3</v>
      </c>
      <c r="AE307">
        <v>3</v>
      </c>
      <c r="AF307">
        <v>9</v>
      </c>
      <c r="AG307">
        <v>8</v>
      </c>
      <c r="AH307">
        <v>0</v>
      </c>
      <c r="AI307">
        <v>8</v>
      </c>
    </row>
    <row r="308" spans="1:35" x14ac:dyDescent="0.25">
      <c r="A308">
        <v>32</v>
      </c>
      <c r="B308" t="str">
        <f t="shared" si="8"/>
        <v>25-34</v>
      </c>
      <c r="C308" s="1" t="s">
        <v>38</v>
      </c>
      <c r="D308" s="17">
        <f>IF(Table1[[#This Row],[Attrition]]="Yes",1,0)</f>
        <v>0</v>
      </c>
      <c r="E308" t="s">
        <v>57</v>
      </c>
      <c r="F308" s="2">
        <v>906</v>
      </c>
      <c r="G308" t="s">
        <v>33</v>
      </c>
      <c r="H308">
        <v>7</v>
      </c>
      <c r="I308">
        <v>3</v>
      </c>
      <c r="J308" t="str">
        <f t="shared" si="9"/>
        <v>Bachelor</v>
      </c>
      <c r="K308" t="s">
        <v>34</v>
      </c>
      <c r="L308">
        <v>4</v>
      </c>
      <c r="M308" t="s">
        <v>40</v>
      </c>
      <c r="N308" s="2">
        <v>91</v>
      </c>
      <c r="O308">
        <v>2</v>
      </c>
      <c r="P308">
        <v>2</v>
      </c>
      <c r="Q308" t="s">
        <v>36</v>
      </c>
      <c r="R308">
        <v>3</v>
      </c>
      <c r="S308" t="s">
        <v>42</v>
      </c>
      <c r="T308" s="2">
        <v>5484</v>
      </c>
      <c r="U308" s="2">
        <v>16985</v>
      </c>
      <c r="V308">
        <v>1</v>
      </c>
      <c r="W308" t="s">
        <v>38</v>
      </c>
      <c r="X308">
        <v>14</v>
      </c>
      <c r="Y308">
        <v>3</v>
      </c>
      <c r="Z308">
        <v>3</v>
      </c>
      <c r="AA308">
        <v>80</v>
      </c>
      <c r="AB308">
        <v>1</v>
      </c>
      <c r="AC308">
        <v>13</v>
      </c>
      <c r="AD308">
        <v>3</v>
      </c>
      <c r="AE308">
        <v>2</v>
      </c>
      <c r="AF308">
        <v>13</v>
      </c>
      <c r="AG308">
        <v>8</v>
      </c>
      <c r="AH308">
        <v>4</v>
      </c>
      <c r="AI308">
        <v>8</v>
      </c>
    </row>
    <row r="309" spans="1:35" x14ac:dyDescent="0.25">
      <c r="A309">
        <v>38</v>
      </c>
      <c r="B309" t="str">
        <f t="shared" si="8"/>
        <v>35-44</v>
      </c>
      <c r="C309" s="1" t="s">
        <v>38</v>
      </c>
      <c r="D309" s="17">
        <f>IF(Table1[[#This Row],[Attrition]]="Yes",1,0)</f>
        <v>0</v>
      </c>
      <c r="E309" t="s">
        <v>57</v>
      </c>
      <c r="F309" s="2">
        <v>849</v>
      </c>
      <c r="G309" t="s">
        <v>39</v>
      </c>
      <c r="H309">
        <v>25</v>
      </c>
      <c r="I309">
        <v>2</v>
      </c>
      <c r="J309" t="str">
        <f t="shared" si="9"/>
        <v>College</v>
      </c>
      <c r="K309" t="s">
        <v>34</v>
      </c>
      <c r="L309">
        <v>1</v>
      </c>
      <c r="M309" t="s">
        <v>35</v>
      </c>
      <c r="N309" s="2">
        <v>81</v>
      </c>
      <c r="O309">
        <v>2</v>
      </c>
      <c r="P309">
        <v>3</v>
      </c>
      <c r="Q309" t="s">
        <v>52</v>
      </c>
      <c r="R309">
        <v>2</v>
      </c>
      <c r="S309" t="s">
        <v>42</v>
      </c>
      <c r="T309" s="2">
        <v>12061</v>
      </c>
      <c r="U309" s="2">
        <v>26707</v>
      </c>
      <c r="V309">
        <v>3</v>
      </c>
      <c r="W309" t="s">
        <v>38</v>
      </c>
      <c r="X309">
        <v>17</v>
      </c>
      <c r="Y309">
        <v>3</v>
      </c>
      <c r="Z309">
        <v>3</v>
      </c>
      <c r="AA309">
        <v>80</v>
      </c>
      <c r="AB309">
        <v>1</v>
      </c>
      <c r="AC309">
        <v>19</v>
      </c>
      <c r="AD309">
        <v>2</v>
      </c>
      <c r="AE309">
        <v>3</v>
      </c>
      <c r="AF309">
        <v>10</v>
      </c>
      <c r="AG309">
        <v>8</v>
      </c>
      <c r="AH309">
        <v>0</v>
      </c>
      <c r="AI309">
        <v>1</v>
      </c>
    </row>
    <row r="310" spans="1:35" x14ac:dyDescent="0.25">
      <c r="A310">
        <v>58</v>
      </c>
      <c r="B310" t="str">
        <f t="shared" si="8"/>
        <v>55-64</v>
      </c>
      <c r="C310" s="1" t="s">
        <v>38</v>
      </c>
      <c r="D310" s="17">
        <f>IF(Table1[[#This Row],[Attrition]]="Yes",1,0)</f>
        <v>0</v>
      </c>
      <c r="E310" t="s">
        <v>49</v>
      </c>
      <c r="F310" s="2">
        <v>390</v>
      </c>
      <c r="G310" t="s">
        <v>39</v>
      </c>
      <c r="H310">
        <v>1</v>
      </c>
      <c r="I310">
        <v>4</v>
      </c>
      <c r="J310" t="str">
        <f t="shared" si="9"/>
        <v>Master</v>
      </c>
      <c r="K310" t="s">
        <v>34</v>
      </c>
      <c r="L310">
        <v>4</v>
      </c>
      <c r="M310" t="s">
        <v>40</v>
      </c>
      <c r="N310" s="2">
        <v>32</v>
      </c>
      <c r="O310">
        <v>1</v>
      </c>
      <c r="P310">
        <v>2</v>
      </c>
      <c r="Q310" t="s">
        <v>48</v>
      </c>
      <c r="R310">
        <v>3</v>
      </c>
      <c r="S310" t="s">
        <v>46</v>
      </c>
      <c r="T310" s="2">
        <v>5660</v>
      </c>
      <c r="U310" s="2">
        <v>17056</v>
      </c>
      <c r="V310">
        <v>2</v>
      </c>
      <c r="W310" t="s">
        <v>32</v>
      </c>
      <c r="X310">
        <v>13</v>
      </c>
      <c r="Y310">
        <v>3</v>
      </c>
      <c r="Z310">
        <v>4</v>
      </c>
      <c r="AA310">
        <v>80</v>
      </c>
      <c r="AB310">
        <v>1</v>
      </c>
      <c r="AC310">
        <v>12</v>
      </c>
      <c r="AD310">
        <v>2</v>
      </c>
      <c r="AE310">
        <v>3</v>
      </c>
      <c r="AF310">
        <v>5</v>
      </c>
      <c r="AG310">
        <v>3</v>
      </c>
      <c r="AH310">
        <v>1</v>
      </c>
      <c r="AI310">
        <v>2</v>
      </c>
    </row>
    <row r="311" spans="1:35" x14ac:dyDescent="0.25">
      <c r="A311">
        <v>31</v>
      </c>
      <c r="B311" t="str">
        <f t="shared" si="8"/>
        <v>25-34</v>
      </c>
      <c r="C311" s="1" t="s">
        <v>38</v>
      </c>
      <c r="D311" s="17">
        <f>IF(Table1[[#This Row],[Attrition]]="Yes",1,0)</f>
        <v>0</v>
      </c>
      <c r="E311" t="s">
        <v>57</v>
      </c>
      <c r="F311" s="2">
        <v>691</v>
      </c>
      <c r="G311" t="s">
        <v>39</v>
      </c>
      <c r="H311">
        <v>5</v>
      </c>
      <c r="I311">
        <v>4</v>
      </c>
      <c r="J311" t="str">
        <f t="shared" si="9"/>
        <v>Master</v>
      </c>
      <c r="K311" t="s">
        <v>54</v>
      </c>
      <c r="L311">
        <v>3</v>
      </c>
      <c r="M311" t="s">
        <v>40</v>
      </c>
      <c r="N311" s="2">
        <v>86</v>
      </c>
      <c r="O311">
        <v>3</v>
      </c>
      <c r="P311">
        <v>1</v>
      </c>
      <c r="Q311" t="s">
        <v>41</v>
      </c>
      <c r="R311">
        <v>4</v>
      </c>
      <c r="S311" t="s">
        <v>42</v>
      </c>
      <c r="T311" s="2">
        <v>4821</v>
      </c>
      <c r="U311" s="2">
        <v>10077</v>
      </c>
      <c r="V311">
        <v>0</v>
      </c>
      <c r="W311" t="s">
        <v>32</v>
      </c>
      <c r="X311">
        <v>12</v>
      </c>
      <c r="Y311">
        <v>3</v>
      </c>
      <c r="Z311">
        <v>3</v>
      </c>
      <c r="AA311">
        <v>80</v>
      </c>
      <c r="AB311">
        <v>1</v>
      </c>
      <c r="AC311">
        <v>6</v>
      </c>
      <c r="AD311">
        <v>4</v>
      </c>
      <c r="AE311">
        <v>3</v>
      </c>
      <c r="AF311">
        <v>5</v>
      </c>
      <c r="AG311">
        <v>2</v>
      </c>
      <c r="AH311">
        <v>0</v>
      </c>
      <c r="AI311">
        <v>3</v>
      </c>
    </row>
    <row r="312" spans="1:35" x14ac:dyDescent="0.25">
      <c r="A312">
        <v>31</v>
      </c>
      <c r="B312" t="str">
        <f t="shared" si="8"/>
        <v>25-34</v>
      </c>
      <c r="C312" s="1" t="s">
        <v>38</v>
      </c>
      <c r="D312" s="17">
        <f>IF(Table1[[#This Row],[Attrition]]="Yes",1,0)</f>
        <v>0</v>
      </c>
      <c r="E312" t="s">
        <v>57</v>
      </c>
      <c r="F312" s="2">
        <v>106</v>
      </c>
      <c r="G312" t="s">
        <v>55</v>
      </c>
      <c r="H312">
        <v>2</v>
      </c>
      <c r="I312">
        <v>3</v>
      </c>
      <c r="J312" t="str">
        <f t="shared" si="9"/>
        <v>Bachelor</v>
      </c>
      <c r="K312" t="s">
        <v>55</v>
      </c>
      <c r="L312">
        <v>1</v>
      </c>
      <c r="M312" t="s">
        <v>40</v>
      </c>
      <c r="N312" s="2">
        <v>62</v>
      </c>
      <c r="O312">
        <v>2</v>
      </c>
      <c r="P312">
        <v>2</v>
      </c>
      <c r="Q312" t="s">
        <v>55</v>
      </c>
      <c r="R312">
        <v>1</v>
      </c>
      <c r="S312" t="s">
        <v>42</v>
      </c>
      <c r="T312" s="2">
        <v>6410</v>
      </c>
      <c r="U312" s="2">
        <v>17822</v>
      </c>
      <c r="V312">
        <v>3</v>
      </c>
      <c r="W312" t="s">
        <v>38</v>
      </c>
      <c r="X312">
        <v>12</v>
      </c>
      <c r="Y312">
        <v>3</v>
      </c>
      <c r="Z312">
        <v>4</v>
      </c>
      <c r="AA312">
        <v>80</v>
      </c>
      <c r="AB312">
        <v>0</v>
      </c>
      <c r="AC312">
        <v>9</v>
      </c>
      <c r="AD312">
        <v>1</v>
      </c>
      <c r="AE312">
        <v>3</v>
      </c>
      <c r="AF312">
        <v>2</v>
      </c>
      <c r="AG312">
        <v>2</v>
      </c>
      <c r="AH312">
        <v>1</v>
      </c>
      <c r="AI312">
        <v>0</v>
      </c>
    </row>
    <row r="313" spans="1:35" x14ac:dyDescent="0.25">
      <c r="A313">
        <v>45</v>
      </c>
      <c r="B313" t="str">
        <f t="shared" si="8"/>
        <v>45-54</v>
      </c>
      <c r="C313" s="1" t="s">
        <v>38</v>
      </c>
      <c r="D313" s="17">
        <f>IF(Table1[[#This Row],[Attrition]]="Yes",1,0)</f>
        <v>0</v>
      </c>
      <c r="E313" t="s">
        <v>58</v>
      </c>
      <c r="F313" s="2">
        <v>1249</v>
      </c>
      <c r="G313" t="s">
        <v>39</v>
      </c>
      <c r="H313">
        <v>7</v>
      </c>
      <c r="I313">
        <v>3</v>
      </c>
      <c r="J313" t="str">
        <f t="shared" si="9"/>
        <v>Bachelor</v>
      </c>
      <c r="K313" t="s">
        <v>34</v>
      </c>
      <c r="L313">
        <v>1</v>
      </c>
      <c r="M313" t="s">
        <v>40</v>
      </c>
      <c r="N313" s="2">
        <v>97</v>
      </c>
      <c r="O313">
        <v>3</v>
      </c>
      <c r="P313">
        <v>3</v>
      </c>
      <c r="Q313" t="s">
        <v>44</v>
      </c>
      <c r="R313">
        <v>1</v>
      </c>
      <c r="S313" t="s">
        <v>46</v>
      </c>
      <c r="T313" s="2">
        <v>5210</v>
      </c>
      <c r="U313" s="2">
        <v>20308</v>
      </c>
      <c r="V313">
        <v>1</v>
      </c>
      <c r="W313" t="s">
        <v>38</v>
      </c>
      <c r="X313">
        <v>18</v>
      </c>
      <c r="Y313">
        <v>3</v>
      </c>
      <c r="Z313">
        <v>1</v>
      </c>
      <c r="AA313">
        <v>80</v>
      </c>
      <c r="AB313">
        <v>1</v>
      </c>
      <c r="AC313">
        <v>24</v>
      </c>
      <c r="AD313">
        <v>2</v>
      </c>
      <c r="AE313">
        <v>3</v>
      </c>
      <c r="AF313">
        <v>24</v>
      </c>
      <c r="AG313">
        <v>9</v>
      </c>
      <c r="AH313">
        <v>9</v>
      </c>
      <c r="AI313">
        <v>11</v>
      </c>
    </row>
    <row r="314" spans="1:35" x14ac:dyDescent="0.25">
      <c r="A314">
        <v>31</v>
      </c>
      <c r="B314" t="str">
        <f t="shared" si="8"/>
        <v>25-34</v>
      </c>
      <c r="C314" s="1" t="s">
        <v>38</v>
      </c>
      <c r="D314" s="17">
        <f>IF(Table1[[#This Row],[Attrition]]="Yes",1,0)</f>
        <v>0</v>
      </c>
      <c r="E314" t="s">
        <v>57</v>
      </c>
      <c r="F314" s="2">
        <v>192</v>
      </c>
      <c r="G314" t="s">
        <v>39</v>
      </c>
      <c r="H314">
        <v>2</v>
      </c>
      <c r="I314">
        <v>4</v>
      </c>
      <c r="J314" t="str">
        <f t="shared" si="9"/>
        <v>Master</v>
      </c>
      <c r="K314" t="s">
        <v>34</v>
      </c>
      <c r="L314">
        <v>3</v>
      </c>
      <c r="M314" t="s">
        <v>40</v>
      </c>
      <c r="N314" s="2">
        <v>32</v>
      </c>
      <c r="O314">
        <v>3</v>
      </c>
      <c r="P314">
        <v>1</v>
      </c>
      <c r="Q314" t="s">
        <v>41</v>
      </c>
      <c r="R314">
        <v>4</v>
      </c>
      <c r="S314" t="s">
        <v>46</v>
      </c>
      <c r="T314" s="2">
        <v>2695</v>
      </c>
      <c r="U314" s="2">
        <v>7747</v>
      </c>
      <c r="V314">
        <v>0</v>
      </c>
      <c r="W314" t="s">
        <v>32</v>
      </c>
      <c r="X314">
        <v>18</v>
      </c>
      <c r="Y314">
        <v>3</v>
      </c>
      <c r="Z314">
        <v>2</v>
      </c>
      <c r="AA314">
        <v>80</v>
      </c>
      <c r="AB314">
        <v>1</v>
      </c>
      <c r="AC314">
        <v>3</v>
      </c>
      <c r="AD314">
        <v>2</v>
      </c>
      <c r="AE314">
        <v>1</v>
      </c>
      <c r="AF314">
        <v>2</v>
      </c>
      <c r="AG314">
        <v>2</v>
      </c>
      <c r="AH314">
        <v>2</v>
      </c>
      <c r="AI314">
        <v>2</v>
      </c>
    </row>
    <row r="315" spans="1:35" x14ac:dyDescent="0.25">
      <c r="A315">
        <v>33</v>
      </c>
      <c r="B315" t="str">
        <f t="shared" si="8"/>
        <v>25-34</v>
      </c>
      <c r="C315" s="1" t="s">
        <v>38</v>
      </c>
      <c r="D315" s="17">
        <f>IF(Table1[[#This Row],[Attrition]]="Yes",1,0)</f>
        <v>0</v>
      </c>
      <c r="E315" t="s">
        <v>58</v>
      </c>
      <c r="F315" s="2">
        <v>553</v>
      </c>
      <c r="G315" t="s">
        <v>39</v>
      </c>
      <c r="H315">
        <v>5</v>
      </c>
      <c r="I315">
        <v>4</v>
      </c>
      <c r="J315" t="str">
        <f t="shared" si="9"/>
        <v>Master</v>
      </c>
      <c r="K315" t="s">
        <v>34</v>
      </c>
      <c r="L315">
        <v>4</v>
      </c>
      <c r="M315" t="s">
        <v>35</v>
      </c>
      <c r="N315" s="2">
        <v>74</v>
      </c>
      <c r="O315">
        <v>3</v>
      </c>
      <c r="P315">
        <v>3</v>
      </c>
      <c r="Q315" t="s">
        <v>50</v>
      </c>
      <c r="R315">
        <v>2</v>
      </c>
      <c r="S315" t="s">
        <v>42</v>
      </c>
      <c r="T315" s="2">
        <v>11878</v>
      </c>
      <c r="U315" s="2">
        <v>23364</v>
      </c>
      <c r="V315">
        <v>6</v>
      </c>
      <c r="W315" t="s">
        <v>38</v>
      </c>
      <c r="X315">
        <v>11</v>
      </c>
      <c r="Y315">
        <v>3</v>
      </c>
      <c r="Z315">
        <v>2</v>
      </c>
      <c r="AA315">
        <v>80</v>
      </c>
      <c r="AB315">
        <v>2</v>
      </c>
      <c r="AC315">
        <v>12</v>
      </c>
      <c r="AD315">
        <v>2</v>
      </c>
      <c r="AE315">
        <v>3</v>
      </c>
      <c r="AF315">
        <v>10</v>
      </c>
      <c r="AG315">
        <v>6</v>
      </c>
      <c r="AH315">
        <v>8</v>
      </c>
      <c r="AI315">
        <v>8</v>
      </c>
    </row>
    <row r="316" spans="1:35" x14ac:dyDescent="0.25">
      <c r="A316">
        <v>39</v>
      </c>
      <c r="B316" t="str">
        <f t="shared" si="8"/>
        <v>35-44</v>
      </c>
      <c r="C316" s="1" t="s">
        <v>38</v>
      </c>
      <c r="D316" s="17">
        <f>IF(Table1[[#This Row],[Attrition]]="Yes",1,0)</f>
        <v>0</v>
      </c>
      <c r="E316" t="s">
        <v>57</v>
      </c>
      <c r="F316" s="2">
        <v>117</v>
      </c>
      <c r="G316" t="s">
        <v>39</v>
      </c>
      <c r="H316">
        <v>10</v>
      </c>
      <c r="I316">
        <v>1</v>
      </c>
      <c r="J316" t="str">
        <f t="shared" si="9"/>
        <v>Below College</v>
      </c>
      <c r="K316" t="s">
        <v>45</v>
      </c>
      <c r="L316">
        <v>3</v>
      </c>
      <c r="M316" t="s">
        <v>40</v>
      </c>
      <c r="N316" s="2">
        <v>99</v>
      </c>
      <c r="O316">
        <v>3</v>
      </c>
      <c r="P316">
        <v>4</v>
      </c>
      <c r="Q316" t="s">
        <v>50</v>
      </c>
      <c r="R316">
        <v>1</v>
      </c>
      <c r="S316" t="s">
        <v>42</v>
      </c>
      <c r="T316" s="2">
        <v>17068</v>
      </c>
      <c r="U316" s="2">
        <v>5355</v>
      </c>
      <c r="V316">
        <v>1</v>
      </c>
      <c r="W316" t="s">
        <v>32</v>
      </c>
      <c r="X316">
        <v>14</v>
      </c>
      <c r="Y316">
        <v>3</v>
      </c>
      <c r="Z316">
        <v>4</v>
      </c>
      <c r="AA316">
        <v>80</v>
      </c>
      <c r="AB316">
        <v>0</v>
      </c>
      <c r="AC316">
        <v>21</v>
      </c>
      <c r="AD316">
        <v>3</v>
      </c>
      <c r="AE316">
        <v>3</v>
      </c>
      <c r="AF316">
        <v>21</v>
      </c>
      <c r="AG316">
        <v>9</v>
      </c>
      <c r="AH316">
        <v>11</v>
      </c>
      <c r="AI316">
        <v>10</v>
      </c>
    </row>
    <row r="317" spans="1:35" x14ac:dyDescent="0.25">
      <c r="A317">
        <v>43</v>
      </c>
      <c r="B317" t="str">
        <f t="shared" si="8"/>
        <v>35-44</v>
      </c>
      <c r="C317" s="1" t="s">
        <v>38</v>
      </c>
      <c r="D317" s="17">
        <f>IF(Table1[[#This Row],[Attrition]]="Yes",1,0)</f>
        <v>0</v>
      </c>
      <c r="E317" t="s">
        <v>58</v>
      </c>
      <c r="F317" s="2">
        <v>185</v>
      </c>
      <c r="G317" t="s">
        <v>39</v>
      </c>
      <c r="H317">
        <v>10</v>
      </c>
      <c r="I317">
        <v>4</v>
      </c>
      <c r="J317" t="str">
        <f t="shared" si="9"/>
        <v>Master</v>
      </c>
      <c r="K317" t="s">
        <v>34</v>
      </c>
      <c r="L317">
        <v>3</v>
      </c>
      <c r="M317" t="s">
        <v>35</v>
      </c>
      <c r="N317" s="2">
        <v>33</v>
      </c>
      <c r="O317">
        <v>3</v>
      </c>
      <c r="P317">
        <v>1</v>
      </c>
      <c r="Q317" t="s">
        <v>44</v>
      </c>
      <c r="R317">
        <v>4</v>
      </c>
      <c r="S317" t="s">
        <v>37</v>
      </c>
      <c r="T317" s="2">
        <v>2455</v>
      </c>
      <c r="U317" s="2">
        <v>10675</v>
      </c>
      <c r="V317">
        <v>0</v>
      </c>
      <c r="W317" t="s">
        <v>38</v>
      </c>
      <c r="X317">
        <v>19</v>
      </c>
      <c r="Y317">
        <v>3</v>
      </c>
      <c r="Z317">
        <v>1</v>
      </c>
      <c r="AA317">
        <v>80</v>
      </c>
      <c r="AB317">
        <v>0</v>
      </c>
      <c r="AC317">
        <v>9</v>
      </c>
      <c r="AD317">
        <v>5</v>
      </c>
      <c r="AE317">
        <v>3</v>
      </c>
      <c r="AF317">
        <v>8</v>
      </c>
      <c r="AG317">
        <v>7</v>
      </c>
      <c r="AH317">
        <v>1</v>
      </c>
      <c r="AI317">
        <v>7</v>
      </c>
    </row>
    <row r="318" spans="1:35" x14ac:dyDescent="0.25">
      <c r="A318">
        <v>49</v>
      </c>
      <c r="B318" t="str">
        <f t="shared" si="8"/>
        <v>45-54</v>
      </c>
      <c r="C318" s="1" t="s">
        <v>38</v>
      </c>
      <c r="D318" s="17">
        <f>IF(Table1[[#This Row],[Attrition]]="Yes",1,0)</f>
        <v>0</v>
      </c>
      <c r="E318" t="s">
        <v>57</v>
      </c>
      <c r="F318" s="2">
        <v>1091</v>
      </c>
      <c r="G318" t="s">
        <v>39</v>
      </c>
      <c r="H318">
        <v>1</v>
      </c>
      <c r="I318">
        <v>2</v>
      </c>
      <c r="J318" t="str">
        <f t="shared" si="9"/>
        <v>College</v>
      </c>
      <c r="K318" t="s">
        <v>54</v>
      </c>
      <c r="L318">
        <v>3</v>
      </c>
      <c r="M318" t="s">
        <v>35</v>
      </c>
      <c r="N318" s="2">
        <v>90</v>
      </c>
      <c r="O318">
        <v>2</v>
      </c>
      <c r="P318">
        <v>4</v>
      </c>
      <c r="Q318" t="s">
        <v>48</v>
      </c>
      <c r="R318">
        <v>3</v>
      </c>
      <c r="S318" t="s">
        <v>37</v>
      </c>
      <c r="T318" s="2">
        <v>13964</v>
      </c>
      <c r="U318" s="2">
        <v>17810</v>
      </c>
      <c r="V318">
        <v>7</v>
      </c>
      <c r="W318" t="s">
        <v>32</v>
      </c>
      <c r="X318">
        <v>12</v>
      </c>
      <c r="Y318">
        <v>3</v>
      </c>
      <c r="Z318">
        <v>4</v>
      </c>
      <c r="AA318">
        <v>80</v>
      </c>
      <c r="AB318">
        <v>0</v>
      </c>
      <c r="AC318">
        <v>25</v>
      </c>
      <c r="AD318">
        <v>2</v>
      </c>
      <c r="AE318">
        <v>3</v>
      </c>
      <c r="AF318">
        <v>7</v>
      </c>
      <c r="AG318">
        <v>1</v>
      </c>
      <c r="AH318">
        <v>0</v>
      </c>
      <c r="AI318">
        <v>7</v>
      </c>
    </row>
    <row r="319" spans="1:35" x14ac:dyDescent="0.25">
      <c r="A319">
        <v>52</v>
      </c>
      <c r="B319" t="str">
        <f t="shared" si="8"/>
        <v>45-54</v>
      </c>
      <c r="C319" s="1" t="s">
        <v>32</v>
      </c>
      <c r="D319" s="17">
        <f>IF(Table1[[#This Row],[Attrition]]="Yes",1,0)</f>
        <v>1</v>
      </c>
      <c r="E319" t="s">
        <v>57</v>
      </c>
      <c r="F319" s="2">
        <v>723</v>
      </c>
      <c r="G319" t="s">
        <v>39</v>
      </c>
      <c r="H319">
        <v>8</v>
      </c>
      <c r="I319">
        <v>4</v>
      </c>
      <c r="J319" t="str">
        <f t="shared" si="9"/>
        <v>Master</v>
      </c>
      <c r="K319" t="s">
        <v>45</v>
      </c>
      <c r="L319">
        <v>3</v>
      </c>
      <c r="M319" t="s">
        <v>40</v>
      </c>
      <c r="N319" s="2">
        <v>85</v>
      </c>
      <c r="O319">
        <v>2</v>
      </c>
      <c r="P319">
        <v>2</v>
      </c>
      <c r="Q319" t="s">
        <v>41</v>
      </c>
      <c r="R319">
        <v>2</v>
      </c>
      <c r="S319" t="s">
        <v>42</v>
      </c>
      <c r="T319" s="2">
        <v>4941</v>
      </c>
      <c r="U319" s="2">
        <v>17747</v>
      </c>
      <c r="V319">
        <v>2</v>
      </c>
      <c r="W319" t="s">
        <v>38</v>
      </c>
      <c r="X319">
        <v>15</v>
      </c>
      <c r="Y319">
        <v>3</v>
      </c>
      <c r="Z319">
        <v>1</v>
      </c>
      <c r="AA319">
        <v>80</v>
      </c>
      <c r="AB319">
        <v>0</v>
      </c>
      <c r="AC319">
        <v>11</v>
      </c>
      <c r="AD319">
        <v>3</v>
      </c>
      <c r="AE319">
        <v>2</v>
      </c>
      <c r="AF319">
        <v>8</v>
      </c>
      <c r="AG319">
        <v>2</v>
      </c>
      <c r="AH319">
        <v>7</v>
      </c>
      <c r="AI319">
        <v>7</v>
      </c>
    </row>
    <row r="320" spans="1:35" x14ac:dyDescent="0.25">
      <c r="A320">
        <v>27</v>
      </c>
      <c r="B320" t="str">
        <f t="shared" si="8"/>
        <v>25-34</v>
      </c>
      <c r="C320" s="1" t="s">
        <v>38</v>
      </c>
      <c r="D320" s="17">
        <f>IF(Table1[[#This Row],[Attrition]]="Yes",1,0)</f>
        <v>0</v>
      </c>
      <c r="E320" t="s">
        <v>57</v>
      </c>
      <c r="F320" s="2">
        <v>1220</v>
      </c>
      <c r="G320" t="s">
        <v>39</v>
      </c>
      <c r="H320">
        <v>5</v>
      </c>
      <c r="I320">
        <v>3</v>
      </c>
      <c r="J320" t="str">
        <f t="shared" si="9"/>
        <v>Bachelor</v>
      </c>
      <c r="K320" t="s">
        <v>34</v>
      </c>
      <c r="L320">
        <v>3</v>
      </c>
      <c r="M320" t="s">
        <v>35</v>
      </c>
      <c r="N320" s="2">
        <v>85</v>
      </c>
      <c r="O320">
        <v>3</v>
      </c>
      <c r="P320">
        <v>1</v>
      </c>
      <c r="Q320" t="s">
        <v>41</v>
      </c>
      <c r="R320">
        <v>2</v>
      </c>
      <c r="S320" t="s">
        <v>37</v>
      </c>
      <c r="T320" s="2">
        <v>2478</v>
      </c>
      <c r="U320" s="2">
        <v>20938</v>
      </c>
      <c r="V320">
        <v>1</v>
      </c>
      <c r="W320" t="s">
        <v>32</v>
      </c>
      <c r="X320">
        <v>12</v>
      </c>
      <c r="Y320">
        <v>3</v>
      </c>
      <c r="Z320">
        <v>2</v>
      </c>
      <c r="AA320">
        <v>80</v>
      </c>
      <c r="AB320">
        <v>0</v>
      </c>
      <c r="AC320">
        <v>4</v>
      </c>
      <c r="AD320">
        <v>2</v>
      </c>
      <c r="AE320">
        <v>2</v>
      </c>
      <c r="AF320">
        <v>4</v>
      </c>
      <c r="AG320">
        <v>3</v>
      </c>
      <c r="AH320">
        <v>1</v>
      </c>
      <c r="AI320">
        <v>2</v>
      </c>
    </row>
    <row r="321" spans="1:35" x14ac:dyDescent="0.25">
      <c r="A321">
        <v>32</v>
      </c>
      <c r="B321" t="str">
        <f t="shared" si="8"/>
        <v>25-34</v>
      </c>
      <c r="C321" s="1" t="s">
        <v>38</v>
      </c>
      <c r="D321" s="17">
        <f>IF(Table1[[#This Row],[Attrition]]="Yes",1,0)</f>
        <v>0</v>
      </c>
      <c r="E321" t="s">
        <v>57</v>
      </c>
      <c r="F321" s="2">
        <v>588</v>
      </c>
      <c r="G321" t="s">
        <v>33</v>
      </c>
      <c r="H321">
        <v>8</v>
      </c>
      <c r="I321">
        <v>2</v>
      </c>
      <c r="J321" t="str">
        <f t="shared" si="9"/>
        <v>College</v>
      </c>
      <c r="K321" t="s">
        <v>54</v>
      </c>
      <c r="L321">
        <v>3</v>
      </c>
      <c r="M321" t="s">
        <v>35</v>
      </c>
      <c r="N321" s="2">
        <v>65</v>
      </c>
      <c r="O321">
        <v>2</v>
      </c>
      <c r="P321">
        <v>2</v>
      </c>
      <c r="Q321" t="s">
        <v>36</v>
      </c>
      <c r="R321">
        <v>2</v>
      </c>
      <c r="S321" t="s">
        <v>42</v>
      </c>
      <c r="T321" s="2">
        <v>5228</v>
      </c>
      <c r="U321" s="2">
        <v>24624</v>
      </c>
      <c r="V321">
        <v>1</v>
      </c>
      <c r="W321" t="s">
        <v>32</v>
      </c>
      <c r="X321">
        <v>11</v>
      </c>
      <c r="Y321">
        <v>3</v>
      </c>
      <c r="Z321">
        <v>4</v>
      </c>
      <c r="AA321">
        <v>80</v>
      </c>
      <c r="AB321">
        <v>0</v>
      </c>
      <c r="AC321">
        <v>13</v>
      </c>
      <c r="AD321">
        <v>2</v>
      </c>
      <c r="AE321">
        <v>3</v>
      </c>
      <c r="AF321">
        <v>13</v>
      </c>
      <c r="AG321">
        <v>12</v>
      </c>
      <c r="AH321">
        <v>11</v>
      </c>
      <c r="AI321">
        <v>9</v>
      </c>
    </row>
    <row r="322" spans="1:35" x14ac:dyDescent="0.25">
      <c r="A322">
        <v>27</v>
      </c>
      <c r="B322" t="str">
        <f t="shared" ref="B322:B385" si="10">IF(A322="","",IF(A322&lt;25,"18-24",
 IF(A322&lt;35,"25-34",
 IF(A322&lt;45,"35-44",
 IF(A322&lt;55,"45-54",
 IF(A322&lt;65,"55-64","65+"))))))</f>
        <v>25-34</v>
      </c>
      <c r="C322" s="1" t="s">
        <v>38</v>
      </c>
      <c r="D322" s="17">
        <f>IF(Table1[[#This Row],[Attrition]]="Yes",1,0)</f>
        <v>0</v>
      </c>
      <c r="E322" t="s">
        <v>57</v>
      </c>
      <c r="F322" s="2">
        <v>1377</v>
      </c>
      <c r="G322" t="s">
        <v>33</v>
      </c>
      <c r="H322">
        <v>2</v>
      </c>
      <c r="I322">
        <v>3</v>
      </c>
      <c r="J322" t="str">
        <f t="shared" ref="J322:J385" si="11">CHOOSE(I322,"Below College","College","Bachelor","Master","Doctor")</f>
        <v>Bachelor</v>
      </c>
      <c r="K322" t="s">
        <v>34</v>
      </c>
      <c r="L322">
        <v>4</v>
      </c>
      <c r="M322" t="s">
        <v>40</v>
      </c>
      <c r="N322" s="2">
        <v>74</v>
      </c>
      <c r="O322">
        <v>3</v>
      </c>
      <c r="P322">
        <v>2</v>
      </c>
      <c r="Q322" t="s">
        <v>36</v>
      </c>
      <c r="R322">
        <v>3</v>
      </c>
      <c r="S322" t="s">
        <v>37</v>
      </c>
      <c r="T322" s="2">
        <v>4478</v>
      </c>
      <c r="U322" s="2">
        <v>5242</v>
      </c>
      <c r="V322">
        <v>1</v>
      </c>
      <c r="W322" t="s">
        <v>32</v>
      </c>
      <c r="X322">
        <v>11</v>
      </c>
      <c r="Y322">
        <v>3</v>
      </c>
      <c r="Z322">
        <v>1</v>
      </c>
      <c r="AA322">
        <v>80</v>
      </c>
      <c r="AB322">
        <v>0</v>
      </c>
      <c r="AC322">
        <v>5</v>
      </c>
      <c r="AD322">
        <v>3</v>
      </c>
      <c r="AE322">
        <v>3</v>
      </c>
      <c r="AF322">
        <v>5</v>
      </c>
      <c r="AG322">
        <v>4</v>
      </c>
      <c r="AH322">
        <v>0</v>
      </c>
      <c r="AI322">
        <v>4</v>
      </c>
    </row>
    <row r="323" spans="1:35" x14ac:dyDescent="0.25">
      <c r="A323">
        <v>31</v>
      </c>
      <c r="B323" t="str">
        <f t="shared" si="10"/>
        <v>25-34</v>
      </c>
      <c r="C323" s="1" t="s">
        <v>38</v>
      </c>
      <c r="D323" s="17">
        <f>IF(Table1[[#This Row],[Attrition]]="Yes",1,0)</f>
        <v>0</v>
      </c>
      <c r="E323" t="s">
        <v>57</v>
      </c>
      <c r="F323" s="2">
        <v>691</v>
      </c>
      <c r="G323" t="s">
        <v>33</v>
      </c>
      <c r="H323">
        <v>7</v>
      </c>
      <c r="I323">
        <v>3</v>
      </c>
      <c r="J323" t="str">
        <f t="shared" si="11"/>
        <v>Bachelor</v>
      </c>
      <c r="K323" t="s">
        <v>53</v>
      </c>
      <c r="L323">
        <v>4</v>
      </c>
      <c r="M323" t="s">
        <v>40</v>
      </c>
      <c r="N323" s="2">
        <v>73</v>
      </c>
      <c r="O323">
        <v>3</v>
      </c>
      <c r="P323">
        <v>2</v>
      </c>
      <c r="Q323" t="s">
        <v>36</v>
      </c>
      <c r="R323">
        <v>4</v>
      </c>
      <c r="S323" t="s">
        <v>46</v>
      </c>
      <c r="T323" s="2">
        <v>7547</v>
      </c>
      <c r="U323" s="2">
        <v>7143</v>
      </c>
      <c r="V323">
        <v>4</v>
      </c>
      <c r="W323" t="s">
        <v>38</v>
      </c>
      <c r="X323">
        <v>12</v>
      </c>
      <c r="Y323">
        <v>3</v>
      </c>
      <c r="Z323">
        <v>4</v>
      </c>
      <c r="AA323">
        <v>80</v>
      </c>
      <c r="AB323">
        <v>3</v>
      </c>
      <c r="AC323">
        <v>13</v>
      </c>
      <c r="AD323">
        <v>3</v>
      </c>
      <c r="AE323">
        <v>3</v>
      </c>
      <c r="AF323">
        <v>7</v>
      </c>
      <c r="AG323">
        <v>7</v>
      </c>
      <c r="AH323">
        <v>1</v>
      </c>
      <c r="AI323">
        <v>7</v>
      </c>
    </row>
    <row r="324" spans="1:35" x14ac:dyDescent="0.25">
      <c r="A324">
        <v>32</v>
      </c>
      <c r="B324" t="str">
        <f t="shared" si="10"/>
        <v>25-34</v>
      </c>
      <c r="C324" s="1" t="s">
        <v>38</v>
      </c>
      <c r="D324" s="17">
        <f>IF(Table1[[#This Row],[Attrition]]="Yes",1,0)</f>
        <v>0</v>
      </c>
      <c r="E324" t="s">
        <v>57</v>
      </c>
      <c r="F324" s="2">
        <v>1018</v>
      </c>
      <c r="G324" t="s">
        <v>39</v>
      </c>
      <c r="H324">
        <v>2</v>
      </c>
      <c r="I324">
        <v>4</v>
      </c>
      <c r="J324" t="str">
        <f t="shared" si="11"/>
        <v>Master</v>
      </c>
      <c r="K324" t="s">
        <v>45</v>
      </c>
      <c r="L324">
        <v>1</v>
      </c>
      <c r="M324" t="s">
        <v>35</v>
      </c>
      <c r="N324" s="2">
        <v>74</v>
      </c>
      <c r="O324">
        <v>4</v>
      </c>
      <c r="P324">
        <v>2</v>
      </c>
      <c r="Q324" t="s">
        <v>41</v>
      </c>
      <c r="R324">
        <v>4</v>
      </c>
      <c r="S324" t="s">
        <v>37</v>
      </c>
      <c r="T324" s="2">
        <v>5055</v>
      </c>
      <c r="U324" s="2">
        <v>10557</v>
      </c>
      <c r="V324">
        <v>7</v>
      </c>
      <c r="W324" t="s">
        <v>38</v>
      </c>
      <c r="X324">
        <v>16</v>
      </c>
      <c r="Y324">
        <v>3</v>
      </c>
      <c r="Z324">
        <v>3</v>
      </c>
      <c r="AA324">
        <v>80</v>
      </c>
      <c r="AB324">
        <v>0</v>
      </c>
      <c r="AC324">
        <v>10</v>
      </c>
      <c r="AD324">
        <v>0</v>
      </c>
      <c r="AE324">
        <v>2</v>
      </c>
      <c r="AF324">
        <v>7</v>
      </c>
      <c r="AG324">
        <v>7</v>
      </c>
      <c r="AH324">
        <v>0</v>
      </c>
      <c r="AI324">
        <v>7</v>
      </c>
    </row>
    <row r="325" spans="1:35" x14ac:dyDescent="0.25">
      <c r="A325">
        <v>28</v>
      </c>
      <c r="B325" t="str">
        <f t="shared" si="10"/>
        <v>25-34</v>
      </c>
      <c r="C325" s="1" t="s">
        <v>32</v>
      </c>
      <c r="D325" s="17">
        <f>IF(Table1[[#This Row],[Attrition]]="Yes",1,0)</f>
        <v>1</v>
      </c>
      <c r="E325" t="s">
        <v>57</v>
      </c>
      <c r="F325" s="2">
        <v>1157</v>
      </c>
      <c r="G325" t="s">
        <v>39</v>
      </c>
      <c r="H325">
        <v>2</v>
      </c>
      <c r="I325">
        <v>4</v>
      </c>
      <c r="J325" t="str">
        <f t="shared" si="11"/>
        <v>Master</v>
      </c>
      <c r="K325" t="s">
        <v>45</v>
      </c>
      <c r="L325">
        <v>1</v>
      </c>
      <c r="M325" t="s">
        <v>40</v>
      </c>
      <c r="N325" s="2">
        <v>84</v>
      </c>
      <c r="O325">
        <v>1</v>
      </c>
      <c r="P325">
        <v>1</v>
      </c>
      <c r="Q325" t="s">
        <v>41</v>
      </c>
      <c r="R325">
        <v>4</v>
      </c>
      <c r="S325" t="s">
        <v>42</v>
      </c>
      <c r="T325" s="2">
        <v>3464</v>
      </c>
      <c r="U325" s="2">
        <v>24737</v>
      </c>
      <c r="V325">
        <v>5</v>
      </c>
      <c r="W325" t="s">
        <v>32</v>
      </c>
      <c r="X325">
        <v>13</v>
      </c>
      <c r="Y325">
        <v>3</v>
      </c>
      <c r="Z325">
        <v>4</v>
      </c>
      <c r="AA325">
        <v>80</v>
      </c>
      <c r="AB325">
        <v>0</v>
      </c>
      <c r="AC325">
        <v>5</v>
      </c>
      <c r="AD325">
        <v>4</v>
      </c>
      <c r="AE325">
        <v>2</v>
      </c>
      <c r="AF325">
        <v>3</v>
      </c>
      <c r="AG325">
        <v>2</v>
      </c>
      <c r="AH325">
        <v>2</v>
      </c>
      <c r="AI325">
        <v>2</v>
      </c>
    </row>
    <row r="326" spans="1:35" x14ac:dyDescent="0.25">
      <c r="A326">
        <v>30</v>
      </c>
      <c r="B326" t="str">
        <f t="shared" si="10"/>
        <v>25-34</v>
      </c>
      <c r="C326" s="1" t="s">
        <v>38</v>
      </c>
      <c r="D326" s="17">
        <f>IF(Table1[[#This Row],[Attrition]]="Yes",1,0)</f>
        <v>0</v>
      </c>
      <c r="E326" t="s">
        <v>57</v>
      </c>
      <c r="F326" s="2">
        <v>1275</v>
      </c>
      <c r="G326" t="s">
        <v>39</v>
      </c>
      <c r="H326">
        <v>28</v>
      </c>
      <c r="I326">
        <v>2</v>
      </c>
      <c r="J326" t="str">
        <f t="shared" si="11"/>
        <v>College</v>
      </c>
      <c r="K326" t="s">
        <v>45</v>
      </c>
      <c r="L326">
        <v>4</v>
      </c>
      <c r="M326" t="s">
        <v>35</v>
      </c>
      <c r="N326" s="2">
        <v>64</v>
      </c>
      <c r="O326">
        <v>3</v>
      </c>
      <c r="P326">
        <v>2</v>
      </c>
      <c r="Q326" t="s">
        <v>41</v>
      </c>
      <c r="R326">
        <v>4</v>
      </c>
      <c r="S326" t="s">
        <v>42</v>
      </c>
      <c r="T326" s="2">
        <v>5775</v>
      </c>
      <c r="U326" s="2">
        <v>11934</v>
      </c>
      <c r="V326">
        <v>1</v>
      </c>
      <c r="W326" t="s">
        <v>38</v>
      </c>
      <c r="X326">
        <v>13</v>
      </c>
      <c r="Y326">
        <v>3</v>
      </c>
      <c r="Z326">
        <v>4</v>
      </c>
      <c r="AA326">
        <v>80</v>
      </c>
      <c r="AB326">
        <v>2</v>
      </c>
      <c r="AC326">
        <v>11</v>
      </c>
      <c r="AD326">
        <v>2</v>
      </c>
      <c r="AE326">
        <v>3</v>
      </c>
      <c r="AF326">
        <v>10</v>
      </c>
      <c r="AG326">
        <v>8</v>
      </c>
      <c r="AH326">
        <v>1</v>
      </c>
      <c r="AI326">
        <v>9</v>
      </c>
    </row>
    <row r="327" spans="1:35" x14ac:dyDescent="0.25">
      <c r="A327">
        <v>31</v>
      </c>
      <c r="B327" t="str">
        <f t="shared" si="10"/>
        <v>25-34</v>
      </c>
      <c r="C327" s="1" t="s">
        <v>38</v>
      </c>
      <c r="D327" s="17">
        <f>IF(Table1[[#This Row],[Attrition]]="Yes",1,0)</f>
        <v>0</v>
      </c>
      <c r="E327" t="s">
        <v>58</v>
      </c>
      <c r="F327" s="2">
        <v>798</v>
      </c>
      <c r="G327" t="s">
        <v>39</v>
      </c>
      <c r="H327">
        <v>7</v>
      </c>
      <c r="I327">
        <v>2</v>
      </c>
      <c r="J327" t="str">
        <f t="shared" si="11"/>
        <v>College</v>
      </c>
      <c r="K327" t="s">
        <v>34</v>
      </c>
      <c r="L327">
        <v>3</v>
      </c>
      <c r="M327" t="s">
        <v>35</v>
      </c>
      <c r="N327" s="2">
        <v>48</v>
      </c>
      <c r="O327">
        <v>2</v>
      </c>
      <c r="P327">
        <v>3</v>
      </c>
      <c r="Q327" t="s">
        <v>47</v>
      </c>
      <c r="R327">
        <v>3</v>
      </c>
      <c r="S327" t="s">
        <v>42</v>
      </c>
      <c r="T327" s="2">
        <v>8943</v>
      </c>
      <c r="U327" s="2">
        <v>14034</v>
      </c>
      <c r="V327">
        <v>1</v>
      </c>
      <c r="W327" t="s">
        <v>38</v>
      </c>
      <c r="X327">
        <v>24</v>
      </c>
      <c r="Y327">
        <v>4</v>
      </c>
      <c r="Z327">
        <v>1</v>
      </c>
      <c r="AA327">
        <v>80</v>
      </c>
      <c r="AB327">
        <v>1</v>
      </c>
      <c r="AC327">
        <v>10</v>
      </c>
      <c r="AD327">
        <v>2</v>
      </c>
      <c r="AE327">
        <v>3</v>
      </c>
      <c r="AF327">
        <v>10</v>
      </c>
      <c r="AG327">
        <v>9</v>
      </c>
      <c r="AH327">
        <v>8</v>
      </c>
      <c r="AI327">
        <v>9</v>
      </c>
    </row>
    <row r="328" spans="1:35" x14ac:dyDescent="0.25">
      <c r="A328">
        <v>39</v>
      </c>
      <c r="B328" t="str">
        <f t="shared" si="10"/>
        <v>35-44</v>
      </c>
      <c r="C328" s="1" t="s">
        <v>38</v>
      </c>
      <c r="D328" s="17">
        <f>IF(Table1[[#This Row],[Attrition]]="Yes",1,0)</f>
        <v>0</v>
      </c>
      <c r="E328" t="s">
        <v>58</v>
      </c>
      <c r="F328" s="2">
        <v>672</v>
      </c>
      <c r="G328" t="s">
        <v>39</v>
      </c>
      <c r="H328">
        <v>7</v>
      </c>
      <c r="I328">
        <v>2</v>
      </c>
      <c r="J328" t="str">
        <f t="shared" si="11"/>
        <v>College</v>
      </c>
      <c r="K328" t="s">
        <v>45</v>
      </c>
      <c r="L328">
        <v>3</v>
      </c>
      <c r="M328" t="s">
        <v>40</v>
      </c>
      <c r="N328" s="2">
        <v>54</v>
      </c>
      <c r="O328">
        <v>2</v>
      </c>
      <c r="P328">
        <v>5</v>
      </c>
      <c r="Q328" t="s">
        <v>50</v>
      </c>
      <c r="R328">
        <v>4</v>
      </c>
      <c r="S328" t="s">
        <v>42</v>
      </c>
      <c r="T328" s="2">
        <v>19272</v>
      </c>
      <c r="U328" s="2">
        <v>21141</v>
      </c>
      <c r="V328">
        <v>1</v>
      </c>
      <c r="W328" t="s">
        <v>38</v>
      </c>
      <c r="X328">
        <v>15</v>
      </c>
      <c r="Y328">
        <v>3</v>
      </c>
      <c r="Z328">
        <v>1</v>
      </c>
      <c r="AA328">
        <v>80</v>
      </c>
      <c r="AB328">
        <v>1</v>
      </c>
      <c r="AC328">
        <v>21</v>
      </c>
      <c r="AD328">
        <v>2</v>
      </c>
      <c r="AE328">
        <v>3</v>
      </c>
      <c r="AF328">
        <v>21</v>
      </c>
      <c r="AG328">
        <v>9</v>
      </c>
      <c r="AH328">
        <v>13</v>
      </c>
      <c r="AI328">
        <v>3</v>
      </c>
    </row>
    <row r="329" spans="1:35" x14ac:dyDescent="0.25">
      <c r="A329">
        <v>39</v>
      </c>
      <c r="B329" t="str">
        <f t="shared" si="10"/>
        <v>35-44</v>
      </c>
      <c r="C329" s="1" t="s">
        <v>32</v>
      </c>
      <c r="D329" s="17">
        <f>IF(Table1[[#This Row],[Attrition]]="Yes",1,0)</f>
        <v>1</v>
      </c>
      <c r="E329" t="s">
        <v>57</v>
      </c>
      <c r="F329" s="2">
        <v>1162</v>
      </c>
      <c r="G329" t="s">
        <v>33</v>
      </c>
      <c r="H329">
        <v>3</v>
      </c>
      <c r="I329">
        <v>2</v>
      </c>
      <c r="J329" t="str">
        <f t="shared" si="11"/>
        <v>College</v>
      </c>
      <c r="K329" t="s">
        <v>45</v>
      </c>
      <c r="L329">
        <v>4</v>
      </c>
      <c r="M329" t="s">
        <v>35</v>
      </c>
      <c r="N329" s="2">
        <v>41</v>
      </c>
      <c r="O329">
        <v>3</v>
      </c>
      <c r="P329">
        <v>2</v>
      </c>
      <c r="Q329" t="s">
        <v>36</v>
      </c>
      <c r="R329">
        <v>3</v>
      </c>
      <c r="S329" t="s">
        <v>42</v>
      </c>
      <c r="T329" s="2">
        <v>5238</v>
      </c>
      <c r="U329" s="2">
        <v>17778</v>
      </c>
      <c r="V329">
        <v>4</v>
      </c>
      <c r="W329" t="s">
        <v>32</v>
      </c>
      <c r="X329">
        <v>18</v>
      </c>
      <c r="Y329">
        <v>3</v>
      </c>
      <c r="Z329">
        <v>1</v>
      </c>
      <c r="AA329">
        <v>80</v>
      </c>
      <c r="AB329">
        <v>0</v>
      </c>
      <c r="AC329">
        <v>12</v>
      </c>
      <c r="AD329">
        <v>3</v>
      </c>
      <c r="AE329">
        <v>2</v>
      </c>
      <c r="AF329">
        <v>1</v>
      </c>
      <c r="AG329">
        <v>0</v>
      </c>
      <c r="AH329">
        <v>0</v>
      </c>
      <c r="AI329">
        <v>0</v>
      </c>
    </row>
    <row r="330" spans="1:35" x14ac:dyDescent="0.25">
      <c r="A330">
        <v>33</v>
      </c>
      <c r="B330" t="str">
        <f t="shared" si="10"/>
        <v>25-34</v>
      </c>
      <c r="C330" s="1" t="s">
        <v>38</v>
      </c>
      <c r="D330" s="17">
        <f>IF(Table1[[#This Row],[Attrition]]="Yes",1,0)</f>
        <v>0</v>
      </c>
      <c r="E330" t="s">
        <v>58</v>
      </c>
      <c r="F330" s="2">
        <v>508</v>
      </c>
      <c r="G330" t="s">
        <v>33</v>
      </c>
      <c r="H330">
        <v>10</v>
      </c>
      <c r="I330">
        <v>3</v>
      </c>
      <c r="J330" t="str">
        <f t="shared" si="11"/>
        <v>Bachelor</v>
      </c>
      <c r="K330" t="s">
        <v>53</v>
      </c>
      <c r="L330">
        <v>2</v>
      </c>
      <c r="M330" t="s">
        <v>40</v>
      </c>
      <c r="N330" s="2">
        <v>46</v>
      </c>
      <c r="O330">
        <v>2</v>
      </c>
      <c r="P330">
        <v>2</v>
      </c>
      <c r="Q330" t="s">
        <v>36</v>
      </c>
      <c r="R330">
        <v>4</v>
      </c>
      <c r="S330" t="s">
        <v>37</v>
      </c>
      <c r="T330" s="2">
        <v>4682</v>
      </c>
      <c r="U330" s="2">
        <v>4317</v>
      </c>
      <c r="V330">
        <v>3</v>
      </c>
      <c r="W330" t="s">
        <v>38</v>
      </c>
      <c r="X330">
        <v>14</v>
      </c>
      <c r="Y330">
        <v>3</v>
      </c>
      <c r="Z330">
        <v>3</v>
      </c>
      <c r="AA330">
        <v>80</v>
      </c>
      <c r="AB330">
        <v>0</v>
      </c>
      <c r="AC330">
        <v>9</v>
      </c>
      <c r="AD330">
        <v>6</v>
      </c>
      <c r="AE330">
        <v>2</v>
      </c>
      <c r="AF330">
        <v>7</v>
      </c>
      <c r="AG330">
        <v>7</v>
      </c>
      <c r="AH330">
        <v>0</v>
      </c>
      <c r="AI330">
        <v>1</v>
      </c>
    </row>
    <row r="331" spans="1:35" x14ac:dyDescent="0.25">
      <c r="A331">
        <v>47</v>
      </c>
      <c r="B331" t="str">
        <f t="shared" si="10"/>
        <v>45-54</v>
      </c>
      <c r="C331" s="1" t="s">
        <v>38</v>
      </c>
      <c r="D331" s="17">
        <f>IF(Table1[[#This Row],[Attrition]]="Yes",1,0)</f>
        <v>0</v>
      </c>
      <c r="E331" t="s">
        <v>57</v>
      </c>
      <c r="F331" s="2">
        <v>1482</v>
      </c>
      <c r="G331" t="s">
        <v>39</v>
      </c>
      <c r="H331">
        <v>5</v>
      </c>
      <c r="I331">
        <v>5</v>
      </c>
      <c r="J331" t="str">
        <f t="shared" si="11"/>
        <v>Doctor</v>
      </c>
      <c r="K331" t="s">
        <v>34</v>
      </c>
      <c r="L331">
        <v>4</v>
      </c>
      <c r="M331" t="s">
        <v>40</v>
      </c>
      <c r="N331" s="2">
        <v>42</v>
      </c>
      <c r="O331">
        <v>3</v>
      </c>
      <c r="P331">
        <v>5</v>
      </c>
      <c r="Q331" t="s">
        <v>52</v>
      </c>
      <c r="R331">
        <v>3</v>
      </c>
      <c r="S331" t="s">
        <v>42</v>
      </c>
      <c r="T331" s="2">
        <v>18300</v>
      </c>
      <c r="U331" s="2">
        <v>16375</v>
      </c>
      <c r="V331">
        <v>4</v>
      </c>
      <c r="W331" t="s">
        <v>38</v>
      </c>
      <c r="X331">
        <v>11</v>
      </c>
      <c r="Y331">
        <v>3</v>
      </c>
      <c r="Z331">
        <v>2</v>
      </c>
      <c r="AA331">
        <v>80</v>
      </c>
      <c r="AB331">
        <v>1</v>
      </c>
      <c r="AC331">
        <v>21</v>
      </c>
      <c r="AD331">
        <v>2</v>
      </c>
      <c r="AE331">
        <v>3</v>
      </c>
      <c r="AF331">
        <v>3</v>
      </c>
      <c r="AG331">
        <v>2</v>
      </c>
      <c r="AH331">
        <v>1</v>
      </c>
      <c r="AI331">
        <v>1</v>
      </c>
    </row>
    <row r="332" spans="1:35" x14ac:dyDescent="0.25">
      <c r="A332">
        <v>43</v>
      </c>
      <c r="B332" t="str">
        <f t="shared" si="10"/>
        <v>35-44</v>
      </c>
      <c r="C332" s="1" t="s">
        <v>38</v>
      </c>
      <c r="D332" s="17">
        <f>IF(Table1[[#This Row],[Attrition]]="Yes",1,0)</f>
        <v>0</v>
      </c>
      <c r="E332" t="s">
        <v>58</v>
      </c>
      <c r="F332" s="2">
        <v>559</v>
      </c>
      <c r="G332" t="s">
        <v>39</v>
      </c>
      <c r="H332">
        <v>10</v>
      </c>
      <c r="I332">
        <v>4</v>
      </c>
      <c r="J332" t="str">
        <f t="shared" si="11"/>
        <v>Master</v>
      </c>
      <c r="K332" t="s">
        <v>34</v>
      </c>
      <c r="L332">
        <v>3</v>
      </c>
      <c r="M332" t="s">
        <v>35</v>
      </c>
      <c r="N332" s="2">
        <v>82</v>
      </c>
      <c r="O332">
        <v>2</v>
      </c>
      <c r="P332">
        <v>2</v>
      </c>
      <c r="Q332" t="s">
        <v>44</v>
      </c>
      <c r="R332">
        <v>3</v>
      </c>
      <c r="S332" t="s">
        <v>46</v>
      </c>
      <c r="T332" s="2">
        <v>5257</v>
      </c>
      <c r="U332" s="2">
        <v>6227</v>
      </c>
      <c r="V332">
        <v>1</v>
      </c>
      <c r="W332" t="s">
        <v>38</v>
      </c>
      <c r="X332">
        <v>11</v>
      </c>
      <c r="Y332">
        <v>3</v>
      </c>
      <c r="Z332">
        <v>2</v>
      </c>
      <c r="AA332">
        <v>80</v>
      </c>
      <c r="AB332">
        <v>1</v>
      </c>
      <c r="AC332">
        <v>9</v>
      </c>
      <c r="AD332">
        <v>3</v>
      </c>
      <c r="AE332">
        <v>4</v>
      </c>
      <c r="AF332">
        <v>9</v>
      </c>
      <c r="AG332">
        <v>7</v>
      </c>
      <c r="AH332">
        <v>0</v>
      </c>
      <c r="AI332">
        <v>0</v>
      </c>
    </row>
    <row r="333" spans="1:35" x14ac:dyDescent="0.25">
      <c r="A333">
        <v>27</v>
      </c>
      <c r="B333" t="str">
        <f t="shared" si="10"/>
        <v>25-34</v>
      </c>
      <c r="C333" s="1" t="s">
        <v>38</v>
      </c>
      <c r="D333" s="17">
        <f>IF(Table1[[#This Row],[Attrition]]="Yes",1,0)</f>
        <v>0</v>
      </c>
      <c r="E333" t="s">
        <v>49</v>
      </c>
      <c r="F333" s="2">
        <v>210</v>
      </c>
      <c r="G333" t="s">
        <v>33</v>
      </c>
      <c r="H333">
        <v>1</v>
      </c>
      <c r="I333">
        <v>1</v>
      </c>
      <c r="J333" t="str">
        <f t="shared" si="11"/>
        <v>Below College</v>
      </c>
      <c r="K333" t="s">
        <v>53</v>
      </c>
      <c r="L333">
        <v>3</v>
      </c>
      <c r="M333" t="s">
        <v>40</v>
      </c>
      <c r="N333" s="2">
        <v>73</v>
      </c>
      <c r="O333">
        <v>3</v>
      </c>
      <c r="P333">
        <v>2</v>
      </c>
      <c r="Q333" t="s">
        <v>36</v>
      </c>
      <c r="R333">
        <v>2</v>
      </c>
      <c r="S333" t="s">
        <v>42</v>
      </c>
      <c r="T333" s="2">
        <v>6349</v>
      </c>
      <c r="U333" s="2">
        <v>22107</v>
      </c>
      <c r="V333">
        <v>0</v>
      </c>
      <c r="W333" t="s">
        <v>32</v>
      </c>
      <c r="X333">
        <v>13</v>
      </c>
      <c r="Y333">
        <v>3</v>
      </c>
      <c r="Z333">
        <v>4</v>
      </c>
      <c r="AA333">
        <v>80</v>
      </c>
      <c r="AB333">
        <v>1</v>
      </c>
      <c r="AC333">
        <v>6</v>
      </c>
      <c r="AD333">
        <v>0</v>
      </c>
      <c r="AE333">
        <v>3</v>
      </c>
      <c r="AF333">
        <v>5</v>
      </c>
      <c r="AG333">
        <v>4</v>
      </c>
      <c r="AH333">
        <v>1</v>
      </c>
      <c r="AI333">
        <v>4</v>
      </c>
    </row>
    <row r="334" spans="1:35" x14ac:dyDescent="0.25">
      <c r="A334">
        <v>54</v>
      </c>
      <c r="B334" t="str">
        <f t="shared" si="10"/>
        <v>45-54</v>
      </c>
      <c r="C334" s="1" t="s">
        <v>38</v>
      </c>
      <c r="D334" s="17">
        <f>IF(Table1[[#This Row],[Attrition]]="Yes",1,0)</f>
        <v>0</v>
      </c>
      <c r="E334" t="s">
        <v>58</v>
      </c>
      <c r="F334" s="2">
        <v>928</v>
      </c>
      <c r="G334" t="s">
        <v>39</v>
      </c>
      <c r="H334">
        <v>20</v>
      </c>
      <c r="I334">
        <v>4</v>
      </c>
      <c r="J334" t="str">
        <f t="shared" si="11"/>
        <v>Master</v>
      </c>
      <c r="K334" t="s">
        <v>34</v>
      </c>
      <c r="L334">
        <v>4</v>
      </c>
      <c r="M334" t="s">
        <v>35</v>
      </c>
      <c r="N334" s="2">
        <v>31</v>
      </c>
      <c r="O334">
        <v>3</v>
      </c>
      <c r="P334">
        <v>2</v>
      </c>
      <c r="Q334" t="s">
        <v>41</v>
      </c>
      <c r="R334">
        <v>3</v>
      </c>
      <c r="S334" t="s">
        <v>37</v>
      </c>
      <c r="T334" s="2">
        <v>4869</v>
      </c>
      <c r="U334" s="2">
        <v>16885</v>
      </c>
      <c r="V334">
        <v>3</v>
      </c>
      <c r="W334" t="s">
        <v>38</v>
      </c>
      <c r="X334">
        <v>12</v>
      </c>
      <c r="Y334">
        <v>3</v>
      </c>
      <c r="Z334">
        <v>4</v>
      </c>
      <c r="AA334">
        <v>80</v>
      </c>
      <c r="AB334">
        <v>0</v>
      </c>
      <c r="AC334">
        <v>20</v>
      </c>
      <c r="AD334">
        <v>4</v>
      </c>
      <c r="AE334">
        <v>2</v>
      </c>
      <c r="AF334">
        <v>4</v>
      </c>
      <c r="AG334">
        <v>3</v>
      </c>
      <c r="AH334">
        <v>0</v>
      </c>
      <c r="AI334">
        <v>3</v>
      </c>
    </row>
    <row r="335" spans="1:35" x14ac:dyDescent="0.25">
      <c r="A335">
        <v>43</v>
      </c>
      <c r="B335" t="str">
        <f t="shared" si="10"/>
        <v>35-44</v>
      </c>
      <c r="C335" s="1" t="s">
        <v>38</v>
      </c>
      <c r="D335" s="17">
        <f>IF(Table1[[#This Row],[Attrition]]="Yes",1,0)</f>
        <v>0</v>
      </c>
      <c r="E335" t="s">
        <v>57</v>
      </c>
      <c r="F335" s="2">
        <v>1001</v>
      </c>
      <c r="G335" t="s">
        <v>39</v>
      </c>
      <c r="H335">
        <v>7</v>
      </c>
      <c r="I335">
        <v>3</v>
      </c>
      <c r="J335" t="str">
        <f t="shared" si="11"/>
        <v>Bachelor</v>
      </c>
      <c r="K335" t="s">
        <v>34</v>
      </c>
      <c r="L335">
        <v>3</v>
      </c>
      <c r="M335" t="s">
        <v>35</v>
      </c>
      <c r="N335" s="2">
        <v>43</v>
      </c>
      <c r="O335">
        <v>3</v>
      </c>
      <c r="P335">
        <v>3</v>
      </c>
      <c r="Q335" t="s">
        <v>48</v>
      </c>
      <c r="R335">
        <v>1</v>
      </c>
      <c r="S335" t="s">
        <v>42</v>
      </c>
      <c r="T335" s="2">
        <v>9985</v>
      </c>
      <c r="U335" s="2">
        <v>9262</v>
      </c>
      <c r="V335">
        <v>8</v>
      </c>
      <c r="W335" t="s">
        <v>38</v>
      </c>
      <c r="X335">
        <v>16</v>
      </c>
      <c r="Y335">
        <v>3</v>
      </c>
      <c r="Z335">
        <v>1</v>
      </c>
      <c r="AA335">
        <v>80</v>
      </c>
      <c r="AB335">
        <v>1</v>
      </c>
      <c r="AC335">
        <v>10</v>
      </c>
      <c r="AD335">
        <v>1</v>
      </c>
      <c r="AE335">
        <v>2</v>
      </c>
      <c r="AF335">
        <v>1</v>
      </c>
      <c r="AG335">
        <v>0</v>
      </c>
      <c r="AH335">
        <v>0</v>
      </c>
      <c r="AI335">
        <v>0</v>
      </c>
    </row>
    <row r="336" spans="1:35" x14ac:dyDescent="0.25">
      <c r="A336">
        <v>45</v>
      </c>
      <c r="B336" t="str">
        <f t="shared" si="10"/>
        <v>45-54</v>
      </c>
      <c r="C336" s="1" t="s">
        <v>38</v>
      </c>
      <c r="D336" s="17">
        <f>IF(Table1[[#This Row],[Attrition]]="Yes",1,0)</f>
        <v>0</v>
      </c>
      <c r="E336" t="s">
        <v>57</v>
      </c>
      <c r="F336" s="2">
        <v>549</v>
      </c>
      <c r="G336" t="s">
        <v>39</v>
      </c>
      <c r="H336">
        <v>8</v>
      </c>
      <c r="I336">
        <v>4</v>
      </c>
      <c r="J336" t="str">
        <f t="shared" si="11"/>
        <v>Master</v>
      </c>
      <c r="K336" t="s">
        <v>43</v>
      </c>
      <c r="L336">
        <v>4</v>
      </c>
      <c r="M336" t="s">
        <v>40</v>
      </c>
      <c r="N336" s="2">
        <v>75</v>
      </c>
      <c r="O336">
        <v>3</v>
      </c>
      <c r="P336">
        <v>2</v>
      </c>
      <c r="Q336" t="s">
        <v>41</v>
      </c>
      <c r="R336">
        <v>4</v>
      </c>
      <c r="S336" t="s">
        <v>42</v>
      </c>
      <c r="T336" s="2">
        <v>3697</v>
      </c>
      <c r="U336" s="2">
        <v>9278</v>
      </c>
      <c r="V336">
        <v>9</v>
      </c>
      <c r="W336" t="s">
        <v>38</v>
      </c>
      <c r="X336">
        <v>14</v>
      </c>
      <c r="Y336">
        <v>3</v>
      </c>
      <c r="Z336">
        <v>1</v>
      </c>
      <c r="AA336">
        <v>80</v>
      </c>
      <c r="AB336">
        <v>2</v>
      </c>
      <c r="AC336">
        <v>12</v>
      </c>
      <c r="AD336">
        <v>3</v>
      </c>
      <c r="AE336">
        <v>3</v>
      </c>
      <c r="AF336">
        <v>10</v>
      </c>
      <c r="AG336">
        <v>9</v>
      </c>
      <c r="AH336">
        <v>9</v>
      </c>
      <c r="AI336">
        <v>8</v>
      </c>
    </row>
    <row r="337" spans="1:35" x14ac:dyDescent="0.25">
      <c r="A337">
        <v>40</v>
      </c>
      <c r="B337" t="str">
        <f t="shared" si="10"/>
        <v>35-44</v>
      </c>
      <c r="C337" s="1" t="s">
        <v>38</v>
      </c>
      <c r="D337" s="17">
        <f>IF(Table1[[#This Row],[Attrition]]="Yes",1,0)</f>
        <v>0</v>
      </c>
      <c r="E337" t="s">
        <v>57</v>
      </c>
      <c r="F337" s="2">
        <v>1124</v>
      </c>
      <c r="G337" t="s">
        <v>33</v>
      </c>
      <c r="H337">
        <v>1</v>
      </c>
      <c r="I337">
        <v>2</v>
      </c>
      <c r="J337" t="str">
        <f t="shared" si="11"/>
        <v>College</v>
      </c>
      <c r="K337" t="s">
        <v>45</v>
      </c>
      <c r="L337">
        <v>2</v>
      </c>
      <c r="M337" t="s">
        <v>40</v>
      </c>
      <c r="N337" s="2">
        <v>57</v>
      </c>
      <c r="O337">
        <v>1</v>
      </c>
      <c r="P337">
        <v>2</v>
      </c>
      <c r="Q337" t="s">
        <v>36</v>
      </c>
      <c r="R337">
        <v>4</v>
      </c>
      <c r="S337" t="s">
        <v>42</v>
      </c>
      <c r="T337" s="2">
        <v>7457</v>
      </c>
      <c r="U337" s="2">
        <v>13273</v>
      </c>
      <c r="V337">
        <v>2</v>
      </c>
      <c r="W337" t="s">
        <v>32</v>
      </c>
      <c r="X337">
        <v>22</v>
      </c>
      <c r="Y337">
        <v>4</v>
      </c>
      <c r="Z337">
        <v>3</v>
      </c>
      <c r="AA337">
        <v>80</v>
      </c>
      <c r="AB337">
        <v>3</v>
      </c>
      <c r="AC337">
        <v>6</v>
      </c>
      <c r="AD337">
        <v>2</v>
      </c>
      <c r="AE337">
        <v>2</v>
      </c>
      <c r="AF337">
        <v>4</v>
      </c>
      <c r="AG337">
        <v>3</v>
      </c>
      <c r="AH337">
        <v>0</v>
      </c>
      <c r="AI337">
        <v>2</v>
      </c>
    </row>
    <row r="338" spans="1:35" x14ac:dyDescent="0.25">
      <c r="A338">
        <v>29</v>
      </c>
      <c r="B338" t="str">
        <f t="shared" si="10"/>
        <v>25-34</v>
      </c>
      <c r="C338" s="1" t="s">
        <v>32</v>
      </c>
      <c r="D338" s="17">
        <f>IF(Table1[[#This Row],[Attrition]]="Yes",1,0)</f>
        <v>1</v>
      </c>
      <c r="E338" t="s">
        <v>57</v>
      </c>
      <c r="F338" s="2">
        <v>318</v>
      </c>
      <c r="G338" t="s">
        <v>39</v>
      </c>
      <c r="H338">
        <v>8</v>
      </c>
      <c r="I338">
        <v>4</v>
      </c>
      <c r="J338" t="str">
        <f t="shared" si="11"/>
        <v>Master</v>
      </c>
      <c r="K338" t="s">
        <v>43</v>
      </c>
      <c r="L338">
        <v>2</v>
      </c>
      <c r="M338" t="s">
        <v>40</v>
      </c>
      <c r="N338" s="2">
        <v>77</v>
      </c>
      <c r="O338">
        <v>1</v>
      </c>
      <c r="P338">
        <v>1</v>
      </c>
      <c r="Q338" t="s">
        <v>44</v>
      </c>
      <c r="R338">
        <v>1</v>
      </c>
      <c r="S338" t="s">
        <v>42</v>
      </c>
      <c r="T338" s="2">
        <v>2119</v>
      </c>
      <c r="U338" s="2">
        <v>4759</v>
      </c>
      <c r="V338">
        <v>1</v>
      </c>
      <c r="W338" t="s">
        <v>32</v>
      </c>
      <c r="X338">
        <v>11</v>
      </c>
      <c r="Y338">
        <v>3</v>
      </c>
      <c r="Z338">
        <v>4</v>
      </c>
      <c r="AA338">
        <v>80</v>
      </c>
      <c r="AB338">
        <v>0</v>
      </c>
      <c r="AC338">
        <v>7</v>
      </c>
      <c r="AD338">
        <v>4</v>
      </c>
      <c r="AE338">
        <v>2</v>
      </c>
      <c r="AF338">
        <v>7</v>
      </c>
      <c r="AG338">
        <v>7</v>
      </c>
      <c r="AH338">
        <v>0</v>
      </c>
      <c r="AI338">
        <v>7</v>
      </c>
    </row>
    <row r="339" spans="1:35" x14ac:dyDescent="0.25">
      <c r="A339">
        <v>29</v>
      </c>
      <c r="B339" t="str">
        <f t="shared" si="10"/>
        <v>25-34</v>
      </c>
      <c r="C339" s="1" t="s">
        <v>38</v>
      </c>
      <c r="D339" s="17">
        <f>IF(Table1[[#This Row],[Attrition]]="Yes",1,0)</f>
        <v>0</v>
      </c>
      <c r="E339" t="s">
        <v>57</v>
      </c>
      <c r="F339" s="2">
        <v>738</v>
      </c>
      <c r="G339" t="s">
        <v>39</v>
      </c>
      <c r="H339">
        <v>9</v>
      </c>
      <c r="I339">
        <v>5</v>
      </c>
      <c r="J339" t="str">
        <f t="shared" si="11"/>
        <v>Doctor</v>
      </c>
      <c r="K339" t="s">
        <v>43</v>
      </c>
      <c r="L339">
        <v>2</v>
      </c>
      <c r="M339" t="s">
        <v>40</v>
      </c>
      <c r="N339" s="2">
        <v>30</v>
      </c>
      <c r="O339">
        <v>2</v>
      </c>
      <c r="P339">
        <v>1</v>
      </c>
      <c r="Q339" t="s">
        <v>44</v>
      </c>
      <c r="R339">
        <v>4</v>
      </c>
      <c r="S339" t="s">
        <v>37</v>
      </c>
      <c r="T339" s="2">
        <v>3983</v>
      </c>
      <c r="U339" s="2">
        <v>7621</v>
      </c>
      <c r="V339">
        <v>0</v>
      </c>
      <c r="W339" t="s">
        <v>38</v>
      </c>
      <c r="X339">
        <v>17</v>
      </c>
      <c r="Y339">
        <v>3</v>
      </c>
      <c r="Z339">
        <v>3</v>
      </c>
      <c r="AA339">
        <v>80</v>
      </c>
      <c r="AB339">
        <v>0</v>
      </c>
      <c r="AC339">
        <v>4</v>
      </c>
      <c r="AD339">
        <v>2</v>
      </c>
      <c r="AE339">
        <v>3</v>
      </c>
      <c r="AF339">
        <v>3</v>
      </c>
      <c r="AG339">
        <v>2</v>
      </c>
      <c r="AH339">
        <v>2</v>
      </c>
      <c r="AI339">
        <v>2</v>
      </c>
    </row>
    <row r="340" spans="1:35" x14ac:dyDescent="0.25">
      <c r="A340">
        <v>30</v>
      </c>
      <c r="B340" t="str">
        <f t="shared" si="10"/>
        <v>25-34</v>
      </c>
      <c r="C340" s="1" t="s">
        <v>38</v>
      </c>
      <c r="D340" s="17">
        <f>IF(Table1[[#This Row],[Attrition]]="Yes",1,0)</f>
        <v>0</v>
      </c>
      <c r="E340" t="s">
        <v>57</v>
      </c>
      <c r="F340" s="2">
        <v>570</v>
      </c>
      <c r="G340" t="s">
        <v>33</v>
      </c>
      <c r="H340">
        <v>5</v>
      </c>
      <c r="I340">
        <v>3</v>
      </c>
      <c r="J340" t="str">
        <f t="shared" si="11"/>
        <v>Bachelor</v>
      </c>
      <c r="K340" t="s">
        <v>53</v>
      </c>
      <c r="L340">
        <v>4</v>
      </c>
      <c r="M340" t="s">
        <v>35</v>
      </c>
      <c r="N340" s="2">
        <v>30</v>
      </c>
      <c r="O340">
        <v>2</v>
      </c>
      <c r="P340">
        <v>2</v>
      </c>
      <c r="Q340" t="s">
        <v>36</v>
      </c>
      <c r="R340">
        <v>3</v>
      </c>
      <c r="S340" t="s">
        <v>46</v>
      </c>
      <c r="T340" s="2">
        <v>6118</v>
      </c>
      <c r="U340" s="2">
        <v>5431</v>
      </c>
      <c r="V340">
        <v>1</v>
      </c>
      <c r="W340" t="s">
        <v>38</v>
      </c>
      <c r="X340">
        <v>13</v>
      </c>
      <c r="Y340">
        <v>3</v>
      </c>
      <c r="Z340">
        <v>3</v>
      </c>
      <c r="AA340">
        <v>80</v>
      </c>
      <c r="AB340">
        <v>3</v>
      </c>
      <c r="AC340">
        <v>10</v>
      </c>
      <c r="AD340">
        <v>2</v>
      </c>
      <c r="AE340">
        <v>3</v>
      </c>
      <c r="AF340">
        <v>10</v>
      </c>
      <c r="AG340">
        <v>9</v>
      </c>
      <c r="AH340">
        <v>1</v>
      </c>
      <c r="AI340">
        <v>2</v>
      </c>
    </row>
    <row r="341" spans="1:35" x14ac:dyDescent="0.25">
      <c r="A341">
        <v>27</v>
      </c>
      <c r="B341" t="str">
        <f t="shared" si="10"/>
        <v>25-34</v>
      </c>
      <c r="C341" s="1" t="s">
        <v>38</v>
      </c>
      <c r="D341" s="17">
        <f>IF(Table1[[#This Row],[Attrition]]="Yes",1,0)</f>
        <v>0</v>
      </c>
      <c r="E341" t="s">
        <v>57</v>
      </c>
      <c r="F341" s="2">
        <v>1130</v>
      </c>
      <c r="G341" t="s">
        <v>33</v>
      </c>
      <c r="H341">
        <v>8</v>
      </c>
      <c r="I341">
        <v>4</v>
      </c>
      <c r="J341" t="str">
        <f t="shared" si="11"/>
        <v>Master</v>
      </c>
      <c r="K341" t="s">
        <v>53</v>
      </c>
      <c r="L341">
        <v>2</v>
      </c>
      <c r="M341" t="s">
        <v>35</v>
      </c>
      <c r="N341" s="2">
        <v>56</v>
      </c>
      <c r="O341">
        <v>3</v>
      </c>
      <c r="P341">
        <v>2</v>
      </c>
      <c r="Q341" t="s">
        <v>36</v>
      </c>
      <c r="R341">
        <v>2</v>
      </c>
      <c r="S341" t="s">
        <v>42</v>
      </c>
      <c r="T341" s="2">
        <v>6214</v>
      </c>
      <c r="U341" s="2">
        <v>3415</v>
      </c>
      <c r="V341">
        <v>1</v>
      </c>
      <c r="W341" t="s">
        <v>38</v>
      </c>
      <c r="X341">
        <v>18</v>
      </c>
      <c r="Y341">
        <v>3</v>
      </c>
      <c r="Z341">
        <v>1</v>
      </c>
      <c r="AA341">
        <v>80</v>
      </c>
      <c r="AB341">
        <v>1</v>
      </c>
      <c r="AC341">
        <v>8</v>
      </c>
      <c r="AD341">
        <v>3</v>
      </c>
      <c r="AE341">
        <v>3</v>
      </c>
      <c r="AF341">
        <v>8</v>
      </c>
      <c r="AG341">
        <v>7</v>
      </c>
      <c r="AH341">
        <v>0</v>
      </c>
      <c r="AI341">
        <v>7</v>
      </c>
    </row>
    <row r="342" spans="1:35" x14ac:dyDescent="0.25">
      <c r="A342">
        <v>37</v>
      </c>
      <c r="B342" t="str">
        <f t="shared" si="10"/>
        <v>35-44</v>
      </c>
      <c r="C342" s="1" t="s">
        <v>38</v>
      </c>
      <c r="D342" s="17">
        <f>IF(Table1[[#This Row],[Attrition]]="Yes",1,0)</f>
        <v>0</v>
      </c>
      <c r="E342" t="s">
        <v>57</v>
      </c>
      <c r="F342" s="2">
        <v>1192</v>
      </c>
      <c r="G342" t="s">
        <v>39</v>
      </c>
      <c r="H342">
        <v>5</v>
      </c>
      <c r="I342">
        <v>2</v>
      </c>
      <c r="J342" t="str">
        <f t="shared" si="11"/>
        <v>College</v>
      </c>
      <c r="K342" t="s">
        <v>45</v>
      </c>
      <c r="L342">
        <v>4</v>
      </c>
      <c r="M342" t="s">
        <v>40</v>
      </c>
      <c r="N342" s="2">
        <v>61</v>
      </c>
      <c r="O342">
        <v>3</v>
      </c>
      <c r="P342">
        <v>2</v>
      </c>
      <c r="Q342" t="s">
        <v>47</v>
      </c>
      <c r="R342">
        <v>4</v>
      </c>
      <c r="S342" t="s">
        <v>46</v>
      </c>
      <c r="T342" s="2">
        <v>6347</v>
      </c>
      <c r="U342" s="2">
        <v>23177</v>
      </c>
      <c r="V342">
        <v>7</v>
      </c>
      <c r="W342" t="s">
        <v>38</v>
      </c>
      <c r="X342">
        <v>16</v>
      </c>
      <c r="Y342">
        <v>3</v>
      </c>
      <c r="Z342">
        <v>3</v>
      </c>
      <c r="AA342">
        <v>80</v>
      </c>
      <c r="AB342">
        <v>2</v>
      </c>
      <c r="AC342">
        <v>8</v>
      </c>
      <c r="AD342">
        <v>2</v>
      </c>
      <c r="AE342">
        <v>2</v>
      </c>
      <c r="AF342">
        <v>6</v>
      </c>
      <c r="AG342">
        <v>2</v>
      </c>
      <c r="AH342">
        <v>0</v>
      </c>
      <c r="AI342">
        <v>4</v>
      </c>
    </row>
    <row r="343" spans="1:35" x14ac:dyDescent="0.25">
      <c r="A343">
        <v>38</v>
      </c>
      <c r="B343" t="str">
        <f t="shared" si="10"/>
        <v>35-44</v>
      </c>
      <c r="C343" s="1" t="s">
        <v>38</v>
      </c>
      <c r="D343" s="17">
        <f>IF(Table1[[#This Row],[Attrition]]="Yes",1,0)</f>
        <v>0</v>
      </c>
      <c r="E343" t="s">
        <v>57</v>
      </c>
      <c r="F343" s="2">
        <v>343</v>
      </c>
      <c r="G343" t="s">
        <v>39</v>
      </c>
      <c r="H343">
        <v>15</v>
      </c>
      <c r="I343">
        <v>2</v>
      </c>
      <c r="J343" t="str">
        <f t="shared" si="11"/>
        <v>College</v>
      </c>
      <c r="K343" t="s">
        <v>34</v>
      </c>
      <c r="L343">
        <v>3</v>
      </c>
      <c r="M343" t="s">
        <v>40</v>
      </c>
      <c r="N343" s="2">
        <v>92</v>
      </c>
      <c r="O343">
        <v>2</v>
      </c>
      <c r="P343">
        <v>3</v>
      </c>
      <c r="Q343" t="s">
        <v>52</v>
      </c>
      <c r="R343">
        <v>4</v>
      </c>
      <c r="S343" t="s">
        <v>46</v>
      </c>
      <c r="T343" s="2">
        <v>11510</v>
      </c>
      <c r="U343" s="2">
        <v>15682</v>
      </c>
      <c r="V343">
        <v>0</v>
      </c>
      <c r="W343" t="s">
        <v>32</v>
      </c>
      <c r="X343">
        <v>14</v>
      </c>
      <c r="Y343">
        <v>3</v>
      </c>
      <c r="Z343">
        <v>2</v>
      </c>
      <c r="AA343">
        <v>80</v>
      </c>
      <c r="AB343">
        <v>1</v>
      </c>
      <c r="AC343">
        <v>12</v>
      </c>
      <c r="AD343">
        <v>3</v>
      </c>
      <c r="AE343">
        <v>3</v>
      </c>
      <c r="AF343">
        <v>11</v>
      </c>
      <c r="AG343">
        <v>10</v>
      </c>
      <c r="AH343">
        <v>2</v>
      </c>
      <c r="AI343">
        <v>9</v>
      </c>
    </row>
    <row r="344" spans="1:35" x14ac:dyDescent="0.25">
      <c r="A344">
        <v>31</v>
      </c>
      <c r="B344" t="str">
        <f t="shared" si="10"/>
        <v>25-34</v>
      </c>
      <c r="C344" s="1" t="s">
        <v>38</v>
      </c>
      <c r="D344" s="17">
        <f>IF(Table1[[#This Row],[Attrition]]="Yes",1,0)</f>
        <v>0</v>
      </c>
      <c r="E344" t="s">
        <v>57</v>
      </c>
      <c r="F344" s="2">
        <v>1232</v>
      </c>
      <c r="G344" t="s">
        <v>39</v>
      </c>
      <c r="H344">
        <v>7</v>
      </c>
      <c r="I344">
        <v>4</v>
      </c>
      <c r="J344" t="str">
        <f t="shared" si="11"/>
        <v>Master</v>
      </c>
      <c r="K344" t="s">
        <v>45</v>
      </c>
      <c r="L344">
        <v>3</v>
      </c>
      <c r="M344" t="s">
        <v>35</v>
      </c>
      <c r="N344" s="2">
        <v>39</v>
      </c>
      <c r="O344">
        <v>3</v>
      </c>
      <c r="P344">
        <v>3</v>
      </c>
      <c r="Q344" t="s">
        <v>47</v>
      </c>
      <c r="R344">
        <v>4</v>
      </c>
      <c r="S344" t="s">
        <v>37</v>
      </c>
      <c r="T344" s="2">
        <v>7143</v>
      </c>
      <c r="U344" s="2">
        <v>25713</v>
      </c>
      <c r="V344">
        <v>1</v>
      </c>
      <c r="W344" t="s">
        <v>32</v>
      </c>
      <c r="X344">
        <v>14</v>
      </c>
      <c r="Y344">
        <v>3</v>
      </c>
      <c r="Z344">
        <v>3</v>
      </c>
      <c r="AA344">
        <v>80</v>
      </c>
      <c r="AB344">
        <v>0</v>
      </c>
      <c r="AC344">
        <v>11</v>
      </c>
      <c r="AD344">
        <v>2</v>
      </c>
      <c r="AE344">
        <v>2</v>
      </c>
      <c r="AF344">
        <v>11</v>
      </c>
      <c r="AG344">
        <v>9</v>
      </c>
      <c r="AH344">
        <v>4</v>
      </c>
      <c r="AI344">
        <v>10</v>
      </c>
    </row>
    <row r="345" spans="1:35" x14ac:dyDescent="0.25">
      <c r="A345">
        <v>29</v>
      </c>
      <c r="B345" t="str">
        <f t="shared" si="10"/>
        <v>25-34</v>
      </c>
      <c r="C345" s="1" t="s">
        <v>38</v>
      </c>
      <c r="D345" s="17">
        <f>IF(Table1[[#This Row],[Attrition]]="Yes",1,0)</f>
        <v>0</v>
      </c>
      <c r="E345" t="s">
        <v>57</v>
      </c>
      <c r="F345" s="2">
        <v>144</v>
      </c>
      <c r="G345" t="s">
        <v>33</v>
      </c>
      <c r="H345">
        <v>10</v>
      </c>
      <c r="I345">
        <v>1</v>
      </c>
      <c r="J345" t="str">
        <f t="shared" si="11"/>
        <v>Below College</v>
      </c>
      <c r="K345" t="s">
        <v>53</v>
      </c>
      <c r="L345">
        <v>4</v>
      </c>
      <c r="M345" t="s">
        <v>35</v>
      </c>
      <c r="N345" s="2">
        <v>39</v>
      </c>
      <c r="O345">
        <v>2</v>
      </c>
      <c r="P345">
        <v>2</v>
      </c>
      <c r="Q345" t="s">
        <v>36</v>
      </c>
      <c r="R345">
        <v>2</v>
      </c>
      <c r="S345" t="s">
        <v>46</v>
      </c>
      <c r="T345" s="2">
        <v>8268</v>
      </c>
      <c r="U345" s="2">
        <v>11866</v>
      </c>
      <c r="V345">
        <v>1</v>
      </c>
      <c r="W345" t="s">
        <v>32</v>
      </c>
      <c r="X345">
        <v>14</v>
      </c>
      <c r="Y345">
        <v>3</v>
      </c>
      <c r="Z345">
        <v>1</v>
      </c>
      <c r="AA345">
        <v>80</v>
      </c>
      <c r="AB345">
        <v>2</v>
      </c>
      <c r="AC345">
        <v>7</v>
      </c>
      <c r="AD345">
        <v>2</v>
      </c>
      <c r="AE345">
        <v>3</v>
      </c>
      <c r="AF345">
        <v>7</v>
      </c>
      <c r="AG345">
        <v>7</v>
      </c>
      <c r="AH345">
        <v>1</v>
      </c>
      <c r="AI345">
        <v>7</v>
      </c>
    </row>
    <row r="346" spans="1:35" x14ac:dyDescent="0.25">
      <c r="A346">
        <v>35</v>
      </c>
      <c r="B346" t="str">
        <f t="shared" si="10"/>
        <v>35-44</v>
      </c>
      <c r="C346" s="1" t="s">
        <v>38</v>
      </c>
      <c r="D346" s="17">
        <f>IF(Table1[[#This Row],[Attrition]]="Yes",1,0)</f>
        <v>0</v>
      </c>
      <c r="E346" t="s">
        <v>57</v>
      </c>
      <c r="F346" s="2">
        <v>1296</v>
      </c>
      <c r="G346" t="s">
        <v>39</v>
      </c>
      <c r="H346">
        <v>5</v>
      </c>
      <c r="I346">
        <v>4</v>
      </c>
      <c r="J346" t="str">
        <f t="shared" si="11"/>
        <v>Master</v>
      </c>
      <c r="K346" t="s">
        <v>54</v>
      </c>
      <c r="L346">
        <v>3</v>
      </c>
      <c r="M346" t="s">
        <v>40</v>
      </c>
      <c r="N346" s="2">
        <v>62</v>
      </c>
      <c r="O346">
        <v>3</v>
      </c>
      <c r="P346">
        <v>3</v>
      </c>
      <c r="Q346" t="s">
        <v>47</v>
      </c>
      <c r="R346">
        <v>2</v>
      </c>
      <c r="S346" t="s">
        <v>37</v>
      </c>
      <c r="T346" s="2">
        <v>8095</v>
      </c>
      <c r="U346" s="2">
        <v>18264</v>
      </c>
      <c r="V346">
        <v>0</v>
      </c>
      <c r="W346" t="s">
        <v>38</v>
      </c>
      <c r="X346">
        <v>13</v>
      </c>
      <c r="Y346">
        <v>3</v>
      </c>
      <c r="Z346">
        <v>4</v>
      </c>
      <c r="AA346">
        <v>80</v>
      </c>
      <c r="AB346">
        <v>0</v>
      </c>
      <c r="AC346">
        <v>17</v>
      </c>
      <c r="AD346">
        <v>5</v>
      </c>
      <c r="AE346">
        <v>3</v>
      </c>
      <c r="AF346">
        <v>16</v>
      </c>
      <c r="AG346">
        <v>6</v>
      </c>
      <c r="AH346">
        <v>0</v>
      </c>
      <c r="AI346">
        <v>13</v>
      </c>
    </row>
    <row r="347" spans="1:35" x14ac:dyDescent="0.25">
      <c r="A347">
        <v>23</v>
      </c>
      <c r="B347" t="str">
        <f t="shared" si="10"/>
        <v>18-24</v>
      </c>
      <c r="C347" s="1" t="s">
        <v>38</v>
      </c>
      <c r="D347" s="17">
        <f>IF(Table1[[#This Row],[Attrition]]="Yes",1,0)</f>
        <v>0</v>
      </c>
      <c r="E347" t="s">
        <v>57</v>
      </c>
      <c r="F347" s="2">
        <v>1309</v>
      </c>
      <c r="G347" t="s">
        <v>39</v>
      </c>
      <c r="H347">
        <v>26</v>
      </c>
      <c r="I347">
        <v>1</v>
      </c>
      <c r="J347" t="str">
        <f t="shared" si="11"/>
        <v>Below College</v>
      </c>
      <c r="K347" t="s">
        <v>34</v>
      </c>
      <c r="L347">
        <v>3</v>
      </c>
      <c r="M347" t="s">
        <v>40</v>
      </c>
      <c r="N347" s="2">
        <v>83</v>
      </c>
      <c r="O347">
        <v>3</v>
      </c>
      <c r="P347">
        <v>1</v>
      </c>
      <c r="Q347" t="s">
        <v>41</v>
      </c>
      <c r="R347">
        <v>4</v>
      </c>
      <c r="S347" t="s">
        <v>46</v>
      </c>
      <c r="T347" s="2">
        <v>2904</v>
      </c>
      <c r="U347" s="2">
        <v>16092</v>
      </c>
      <c r="V347">
        <v>1</v>
      </c>
      <c r="W347" t="s">
        <v>38</v>
      </c>
      <c r="X347">
        <v>12</v>
      </c>
      <c r="Y347">
        <v>3</v>
      </c>
      <c r="Z347">
        <v>3</v>
      </c>
      <c r="AA347">
        <v>80</v>
      </c>
      <c r="AB347">
        <v>2</v>
      </c>
      <c r="AC347">
        <v>4</v>
      </c>
      <c r="AD347">
        <v>2</v>
      </c>
      <c r="AE347">
        <v>2</v>
      </c>
      <c r="AF347">
        <v>4</v>
      </c>
      <c r="AG347">
        <v>2</v>
      </c>
      <c r="AH347">
        <v>0</v>
      </c>
      <c r="AI347">
        <v>2</v>
      </c>
    </row>
    <row r="348" spans="1:35" x14ac:dyDescent="0.25">
      <c r="A348">
        <v>41</v>
      </c>
      <c r="B348" t="str">
        <f t="shared" si="10"/>
        <v>35-44</v>
      </c>
      <c r="C348" s="1" t="s">
        <v>38</v>
      </c>
      <c r="D348" s="17">
        <f>IF(Table1[[#This Row],[Attrition]]="Yes",1,0)</f>
        <v>0</v>
      </c>
      <c r="E348" t="s">
        <v>57</v>
      </c>
      <c r="F348" s="2">
        <v>483</v>
      </c>
      <c r="G348" t="s">
        <v>39</v>
      </c>
      <c r="H348">
        <v>6</v>
      </c>
      <c r="I348">
        <v>3</v>
      </c>
      <c r="J348" t="str">
        <f t="shared" si="11"/>
        <v>Bachelor</v>
      </c>
      <c r="K348" t="s">
        <v>45</v>
      </c>
      <c r="L348">
        <v>4</v>
      </c>
      <c r="M348" t="s">
        <v>40</v>
      </c>
      <c r="N348" s="2">
        <v>95</v>
      </c>
      <c r="O348">
        <v>2</v>
      </c>
      <c r="P348">
        <v>2</v>
      </c>
      <c r="Q348" t="s">
        <v>47</v>
      </c>
      <c r="R348">
        <v>2</v>
      </c>
      <c r="S348" t="s">
        <v>37</v>
      </c>
      <c r="T348" s="2">
        <v>6032</v>
      </c>
      <c r="U348" s="2">
        <v>10110</v>
      </c>
      <c r="V348">
        <v>6</v>
      </c>
      <c r="W348" t="s">
        <v>32</v>
      </c>
      <c r="X348">
        <v>15</v>
      </c>
      <c r="Y348">
        <v>3</v>
      </c>
      <c r="Z348">
        <v>4</v>
      </c>
      <c r="AA348">
        <v>80</v>
      </c>
      <c r="AB348">
        <v>0</v>
      </c>
      <c r="AC348">
        <v>8</v>
      </c>
      <c r="AD348">
        <v>3</v>
      </c>
      <c r="AE348">
        <v>3</v>
      </c>
      <c r="AF348">
        <v>5</v>
      </c>
      <c r="AG348">
        <v>4</v>
      </c>
      <c r="AH348">
        <v>1</v>
      </c>
      <c r="AI348">
        <v>2</v>
      </c>
    </row>
    <row r="349" spans="1:35" x14ac:dyDescent="0.25">
      <c r="A349">
        <v>47</v>
      </c>
      <c r="B349" t="str">
        <f t="shared" si="10"/>
        <v>45-54</v>
      </c>
      <c r="C349" s="1" t="s">
        <v>38</v>
      </c>
      <c r="D349" s="17">
        <f>IF(Table1[[#This Row],[Attrition]]="Yes",1,0)</f>
        <v>0</v>
      </c>
      <c r="E349" t="s">
        <v>58</v>
      </c>
      <c r="F349" s="2">
        <v>1309</v>
      </c>
      <c r="G349" t="s">
        <v>33</v>
      </c>
      <c r="H349">
        <v>4</v>
      </c>
      <c r="I349">
        <v>1</v>
      </c>
      <c r="J349" t="str">
        <f t="shared" si="11"/>
        <v>Below College</v>
      </c>
      <c r="K349" t="s">
        <v>45</v>
      </c>
      <c r="L349">
        <v>2</v>
      </c>
      <c r="M349" t="s">
        <v>40</v>
      </c>
      <c r="N349" s="2">
        <v>99</v>
      </c>
      <c r="O349">
        <v>3</v>
      </c>
      <c r="P349">
        <v>2</v>
      </c>
      <c r="Q349" t="s">
        <v>51</v>
      </c>
      <c r="R349">
        <v>3</v>
      </c>
      <c r="S349" t="s">
        <v>37</v>
      </c>
      <c r="T349" s="2">
        <v>2976</v>
      </c>
      <c r="U349" s="2">
        <v>25751</v>
      </c>
      <c r="V349">
        <v>3</v>
      </c>
      <c r="W349" t="s">
        <v>38</v>
      </c>
      <c r="X349">
        <v>19</v>
      </c>
      <c r="Y349">
        <v>3</v>
      </c>
      <c r="Z349">
        <v>1</v>
      </c>
      <c r="AA349">
        <v>80</v>
      </c>
      <c r="AB349">
        <v>0</v>
      </c>
      <c r="AC349">
        <v>5</v>
      </c>
      <c r="AD349">
        <v>3</v>
      </c>
      <c r="AE349">
        <v>3</v>
      </c>
      <c r="AF349">
        <v>0</v>
      </c>
      <c r="AG349">
        <v>0</v>
      </c>
      <c r="AH349">
        <v>0</v>
      </c>
      <c r="AI349">
        <v>0</v>
      </c>
    </row>
    <row r="350" spans="1:35" x14ac:dyDescent="0.25">
      <c r="A350">
        <v>42</v>
      </c>
      <c r="B350" t="str">
        <f t="shared" si="10"/>
        <v>35-44</v>
      </c>
      <c r="C350" s="1" t="s">
        <v>38</v>
      </c>
      <c r="D350" s="17">
        <f>IF(Table1[[#This Row],[Attrition]]="Yes",1,0)</f>
        <v>0</v>
      </c>
      <c r="E350" t="s">
        <v>57</v>
      </c>
      <c r="F350" s="2">
        <v>810</v>
      </c>
      <c r="G350" t="s">
        <v>39</v>
      </c>
      <c r="H350">
        <v>23</v>
      </c>
      <c r="I350">
        <v>5</v>
      </c>
      <c r="J350" t="str">
        <f t="shared" si="11"/>
        <v>Doctor</v>
      </c>
      <c r="K350" t="s">
        <v>34</v>
      </c>
      <c r="L350">
        <v>1</v>
      </c>
      <c r="M350" t="s">
        <v>35</v>
      </c>
      <c r="N350" s="2">
        <v>44</v>
      </c>
      <c r="O350">
        <v>3</v>
      </c>
      <c r="P350">
        <v>4</v>
      </c>
      <c r="Q350" t="s">
        <v>52</v>
      </c>
      <c r="R350">
        <v>4</v>
      </c>
      <c r="S350" t="s">
        <v>37</v>
      </c>
      <c r="T350" s="2">
        <v>15992</v>
      </c>
      <c r="U350" s="2">
        <v>15901</v>
      </c>
      <c r="V350">
        <v>2</v>
      </c>
      <c r="W350" t="s">
        <v>38</v>
      </c>
      <c r="X350">
        <v>14</v>
      </c>
      <c r="Y350">
        <v>3</v>
      </c>
      <c r="Z350">
        <v>2</v>
      </c>
      <c r="AA350">
        <v>80</v>
      </c>
      <c r="AB350">
        <v>0</v>
      </c>
      <c r="AC350">
        <v>16</v>
      </c>
      <c r="AD350">
        <v>2</v>
      </c>
      <c r="AE350">
        <v>3</v>
      </c>
      <c r="AF350">
        <v>1</v>
      </c>
      <c r="AG350">
        <v>0</v>
      </c>
      <c r="AH350">
        <v>0</v>
      </c>
      <c r="AI350">
        <v>0</v>
      </c>
    </row>
    <row r="351" spans="1:35" x14ac:dyDescent="0.25">
      <c r="A351">
        <v>29</v>
      </c>
      <c r="B351" t="str">
        <f t="shared" si="10"/>
        <v>25-34</v>
      </c>
      <c r="C351" s="1" t="s">
        <v>38</v>
      </c>
      <c r="D351" s="17">
        <f>IF(Table1[[#This Row],[Attrition]]="Yes",1,0)</f>
        <v>0</v>
      </c>
      <c r="E351" t="s">
        <v>49</v>
      </c>
      <c r="F351" s="2">
        <v>746</v>
      </c>
      <c r="G351" t="s">
        <v>33</v>
      </c>
      <c r="H351">
        <v>2</v>
      </c>
      <c r="I351">
        <v>3</v>
      </c>
      <c r="J351" t="str">
        <f t="shared" si="11"/>
        <v>Bachelor</v>
      </c>
      <c r="K351" t="s">
        <v>34</v>
      </c>
      <c r="L351">
        <v>4</v>
      </c>
      <c r="M351" t="s">
        <v>40</v>
      </c>
      <c r="N351" s="2">
        <v>61</v>
      </c>
      <c r="O351">
        <v>3</v>
      </c>
      <c r="P351">
        <v>2</v>
      </c>
      <c r="Q351" t="s">
        <v>36</v>
      </c>
      <c r="R351">
        <v>3</v>
      </c>
      <c r="S351" t="s">
        <v>42</v>
      </c>
      <c r="T351" s="2">
        <v>4649</v>
      </c>
      <c r="U351" s="2">
        <v>16928</v>
      </c>
      <c r="V351">
        <v>1</v>
      </c>
      <c r="W351" t="s">
        <v>38</v>
      </c>
      <c r="X351">
        <v>14</v>
      </c>
      <c r="Y351">
        <v>3</v>
      </c>
      <c r="Z351">
        <v>1</v>
      </c>
      <c r="AA351">
        <v>80</v>
      </c>
      <c r="AB351">
        <v>1</v>
      </c>
      <c r="AC351">
        <v>4</v>
      </c>
      <c r="AD351">
        <v>3</v>
      </c>
      <c r="AE351">
        <v>2</v>
      </c>
      <c r="AF351">
        <v>4</v>
      </c>
      <c r="AG351">
        <v>3</v>
      </c>
      <c r="AH351">
        <v>0</v>
      </c>
      <c r="AI351">
        <v>2</v>
      </c>
    </row>
    <row r="352" spans="1:35" x14ac:dyDescent="0.25">
      <c r="A352">
        <v>42</v>
      </c>
      <c r="B352" t="str">
        <f t="shared" si="10"/>
        <v>35-44</v>
      </c>
      <c r="C352" s="1" t="s">
        <v>38</v>
      </c>
      <c r="D352" s="17">
        <f>IF(Table1[[#This Row],[Attrition]]="Yes",1,0)</f>
        <v>0</v>
      </c>
      <c r="E352" t="s">
        <v>57</v>
      </c>
      <c r="F352" s="2">
        <v>544</v>
      </c>
      <c r="G352" t="s">
        <v>55</v>
      </c>
      <c r="H352">
        <v>2</v>
      </c>
      <c r="I352">
        <v>1</v>
      </c>
      <c r="J352" t="str">
        <f t="shared" si="11"/>
        <v>Below College</v>
      </c>
      <c r="K352" t="s">
        <v>54</v>
      </c>
      <c r="L352">
        <v>3</v>
      </c>
      <c r="M352" t="s">
        <v>40</v>
      </c>
      <c r="N352" s="2">
        <v>52</v>
      </c>
      <c r="O352">
        <v>3</v>
      </c>
      <c r="P352">
        <v>1</v>
      </c>
      <c r="Q352" t="s">
        <v>55</v>
      </c>
      <c r="R352">
        <v>3</v>
      </c>
      <c r="S352" t="s">
        <v>46</v>
      </c>
      <c r="T352" s="2">
        <v>2696</v>
      </c>
      <c r="U352" s="2">
        <v>24017</v>
      </c>
      <c r="V352">
        <v>0</v>
      </c>
      <c r="W352" t="s">
        <v>32</v>
      </c>
      <c r="X352">
        <v>11</v>
      </c>
      <c r="Y352">
        <v>3</v>
      </c>
      <c r="Z352">
        <v>3</v>
      </c>
      <c r="AA352">
        <v>80</v>
      </c>
      <c r="AB352">
        <v>1</v>
      </c>
      <c r="AC352">
        <v>4</v>
      </c>
      <c r="AD352">
        <v>5</v>
      </c>
      <c r="AE352">
        <v>3</v>
      </c>
      <c r="AF352">
        <v>3</v>
      </c>
      <c r="AG352">
        <v>2</v>
      </c>
      <c r="AH352">
        <v>1</v>
      </c>
      <c r="AI352">
        <v>0</v>
      </c>
    </row>
    <row r="353" spans="1:35" x14ac:dyDescent="0.25">
      <c r="A353">
        <v>32</v>
      </c>
      <c r="B353" t="str">
        <f t="shared" si="10"/>
        <v>25-34</v>
      </c>
      <c r="C353" s="1" t="s">
        <v>38</v>
      </c>
      <c r="D353" s="17">
        <f>IF(Table1[[#This Row],[Attrition]]="Yes",1,0)</f>
        <v>0</v>
      </c>
      <c r="E353" t="s">
        <v>57</v>
      </c>
      <c r="F353" s="2">
        <v>1062</v>
      </c>
      <c r="G353" t="s">
        <v>39</v>
      </c>
      <c r="H353">
        <v>2</v>
      </c>
      <c r="I353">
        <v>3</v>
      </c>
      <c r="J353" t="str">
        <f t="shared" si="11"/>
        <v>Bachelor</v>
      </c>
      <c r="K353" t="s">
        <v>45</v>
      </c>
      <c r="L353">
        <v>3</v>
      </c>
      <c r="M353" t="s">
        <v>35</v>
      </c>
      <c r="N353" s="2">
        <v>75</v>
      </c>
      <c r="O353">
        <v>3</v>
      </c>
      <c r="P353">
        <v>1</v>
      </c>
      <c r="Q353" t="s">
        <v>44</v>
      </c>
      <c r="R353">
        <v>2</v>
      </c>
      <c r="S353" t="s">
        <v>42</v>
      </c>
      <c r="T353" s="2">
        <v>2370</v>
      </c>
      <c r="U353" s="2">
        <v>3956</v>
      </c>
      <c r="V353">
        <v>1</v>
      </c>
      <c r="W353" t="s">
        <v>38</v>
      </c>
      <c r="X353">
        <v>13</v>
      </c>
      <c r="Y353">
        <v>3</v>
      </c>
      <c r="Z353">
        <v>3</v>
      </c>
      <c r="AA353">
        <v>80</v>
      </c>
      <c r="AB353">
        <v>1</v>
      </c>
      <c r="AC353">
        <v>8</v>
      </c>
      <c r="AD353">
        <v>4</v>
      </c>
      <c r="AE353">
        <v>3</v>
      </c>
      <c r="AF353">
        <v>8</v>
      </c>
      <c r="AG353">
        <v>0</v>
      </c>
      <c r="AH353">
        <v>0</v>
      </c>
      <c r="AI353">
        <v>7</v>
      </c>
    </row>
    <row r="354" spans="1:35" x14ac:dyDescent="0.25">
      <c r="A354">
        <v>48</v>
      </c>
      <c r="B354" t="str">
        <f t="shared" si="10"/>
        <v>45-54</v>
      </c>
      <c r="C354" s="1" t="s">
        <v>38</v>
      </c>
      <c r="D354" s="17">
        <f>IF(Table1[[#This Row],[Attrition]]="Yes",1,0)</f>
        <v>0</v>
      </c>
      <c r="E354" t="s">
        <v>57</v>
      </c>
      <c r="F354" s="2">
        <v>530</v>
      </c>
      <c r="G354" t="s">
        <v>33</v>
      </c>
      <c r="H354">
        <v>29</v>
      </c>
      <c r="I354">
        <v>1</v>
      </c>
      <c r="J354" t="str">
        <f t="shared" si="11"/>
        <v>Below College</v>
      </c>
      <c r="K354" t="s">
        <v>45</v>
      </c>
      <c r="L354">
        <v>1</v>
      </c>
      <c r="M354" t="s">
        <v>35</v>
      </c>
      <c r="N354" s="2">
        <v>91</v>
      </c>
      <c r="O354">
        <v>3</v>
      </c>
      <c r="P354">
        <v>3</v>
      </c>
      <c r="Q354" t="s">
        <v>50</v>
      </c>
      <c r="R354">
        <v>3</v>
      </c>
      <c r="S354" t="s">
        <v>42</v>
      </c>
      <c r="T354" s="2">
        <v>12504</v>
      </c>
      <c r="U354" s="2">
        <v>23978</v>
      </c>
      <c r="V354">
        <v>3</v>
      </c>
      <c r="W354" t="s">
        <v>38</v>
      </c>
      <c r="X354">
        <v>21</v>
      </c>
      <c r="Y354">
        <v>4</v>
      </c>
      <c r="Z354">
        <v>2</v>
      </c>
      <c r="AA354">
        <v>80</v>
      </c>
      <c r="AB354">
        <v>1</v>
      </c>
      <c r="AC354">
        <v>15</v>
      </c>
      <c r="AD354">
        <v>3</v>
      </c>
      <c r="AE354">
        <v>1</v>
      </c>
      <c r="AF354">
        <v>0</v>
      </c>
      <c r="AG354">
        <v>0</v>
      </c>
      <c r="AH354">
        <v>0</v>
      </c>
      <c r="AI354">
        <v>0</v>
      </c>
    </row>
    <row r="355" spans="1:35" x14ac:dyDescent="0.25">
      <c r="A355">
        <v>37</v>
      </c>
      <c r="B355" t="str">
        <f t="shared" si="10"/>
        <v>35-44</v>
      </c>
      <c r="C355" s="1" t="s">
        <v>38</v>
      </c>
      <c r="D355" s="17">
        <f>IF(Table1[[#This Row],[Attrition]]="Yes",1,0)</f>
        <v>0</v>
      </c>
      <c r="E355" t="s">
        <v>57</v>
      </c>
      <c r="F355" s="2">
        <v>1319</v>
      </c>
      <c r="G355" t="s">
        <v>39</v>
      </c>
      <c r="H355">
        <v>6</v>
      </c>
      <c r="I355">
        <v>3</v>
      </c>
      <c r="J355" t="str">
        <f t="shared" si="11"/>
        <v>Bachelor</v>
      </c>
      <c r="K355" t="s">
        <v>45</v>
      </c>
      <c r="L355">
        <v>3</v>
      </c>
      <c r="M355" t="s">
        <v>40</v>
      </c>
      <c r="N355" s="2">
        <v>51</v>
      </c>
      <c r="O355">
        <v>4</v>
      </c>
      <c r="P355">
        <v>2</v>
      </c>
      <c r="Q355" t="s">
        <v>41</v>
      </c>
      <c r="R355">
        <v>1</v>
      </c>
      <c r="S355" t="s">
        <v>46</v>
      </c>
      <c r="T355" s="2">
        <v>5974</v>
      </c>
      <c r="U355" s="2">
        <v>17001</v>
      </c>
      <c r="V355">
        <v>4</v>
      </c>
      <c r="W355" t="s">
        <v>32</v>
      </c>
      <c r="X355">
        <v>13</v>
      </c>
      <c r="Y355">
        <v>3</v>
      </c>
      <c r="Z355">
        <v>1</v>
      </c>
      <c r="AA355">
        <v>80</v>
      </c>
      <c r="AB355">
        <v>2</v>
      </c>
      <c r="AC355">
        <v>13</v>
      </c>
      <c r="AD355">
        <v>2</v>
      </c>
      <c r="AE355">
        <v>3</v>
      </c>
      <c r="AF355">
        <v>7</v>
      </c>
      <c r="AG355">
        <v>7</v>
      </c>
      <c r="AH355">
        <v>6</v>
      </c>
      <c r="AI355">
        <v>7</v>
      </c>
    </row>
    <row r="356" spans="1:35" x14ac:dyDescent="0.25">
      <c r="A356">
        <v>30</v>
      </c>
      <c r="B356" t="str">
        <f t="shared" si="10"/>
        <v>25-34</v>
      </c>
      <c r="C356" s="1" t="s">
        <v>38</v>
      </c>
      <c r="D356" s="17">
        <f>IF(Table1[[#This Row],[Attrition]]="Yes",1,0)</f>
        <v>0</v>
      </c>
      <c r="E356" t="s">
        <v>49</v>
      </c>
      <c r="F356" s="2">
        <v>641</v>
      </c>
      <c r="G356" t="s">
        <v>33</v>
      </c>
      <c r="H356">
        <v>25</v>
      </c>
      <c r="I356">
        <v>2</v>
      </c>
      <c r="J356" t="str">
        <f t="shared" si="11"/>
        <v>College</v>
      </c>
      <c r="K356" t="s">
        <v>54</v>
      </c>
      <c r="L356">
        <v>4</v>
      </c>
      <c r="M356" t="s">
        <v>35</v>
      </c>
      <c r="N356" s="2">
        <v>85</v>
      </c>
      <c r="O356">
        <v>3</v>
      </c>
      <c r="P356">
        <v>2</v>
      </c>
      <c r="Q356" t="s">
        <v>36</v>
      </c>
      <c r="R356">
        <v>3</v>
      </c>
      <c r="S356" t="s">
        <v>42</v>
      </c>
      <c r="T356" s="2">
        <v>4736</v>
      </c>
      <c r="U356" s="2">
        <v>6069</v>
      </c>
      <c r="V356">
        <v>7</v>
      </c>
      <c r="W356" t="s">
        <v>32</v>
      </c>
      <c r="X356">
        <v>12</v>
      </c>
      <c r="Y356">
        <v>3</v>
      </c>
      <c r="Z356">
        <v>2</v>
      </c>
      <c r="AA356">
        <v>80</v>
      </c>
      <c r="AB356">
        <v>1</v>
      </c>
      <c r="AC356">
        <v>4</v>
      </c>
      <c r="AD356">
        <v>2</v>
      </c>
      <c r="AE356">
        <v>4</v>
      </c>
      <c r="AF356">
        <v>2</v>
      </c>
      <c r="AG356">
        <v>2</v>
      </c>
      <c r="AH356">
        <v>2</v>
      </c>
      <c r="AI356">
        <v>2</v>
      </c>
    </row>
    <row r="357" spans="1:35" x14ac:dyDescent="0.25">
      <c r="A357">
        <v>26</v>
      </c>
      <c r="B357" t="str">
        <f t="shared" si="10"/>
        <v>25-34</v>
      </c>
      <c r="C357" s="1" t="s">
        <v>38</v>
      </c>
      <c r="D357" s="17">
        <f>IF(Table1[[#This Row],[Attrition]]="Yes",1,0)</f>
        <v>0</v>
      </c>
      <c r="E357" t="s">
        <v>57</v>
      </c>
      <c r="F357" s="2">
        <v>933</v>
      </c>
      <c r="G357" t="s">
        <v>33</v>
      </c>
      <c r="H357">
        <v>1</v>
      </c>
      <c r="I357">
        <v>3</v>
      </c>
      <c r="J357" t="str">
        <f t="shared" si="11"/>
        <v>Bachelor</v>
      </c>
      <c r="K357" t="s">
        <v>34</v>
      </c>
      <c r="L357">
        <v>3</v>
      </c>
      <c r="M357" t="s">
        <v>40</v>
      </c>
      <c r="N357" s="2">
        <v>57</v>
      </c>
      <c r="O357">
        <v>3</v>
      </c>
      <c r="P357">
        <v>2</v>
      </c>
      <c r="Q357" t="s">
        <v>36</v>
      </c>
      <c r="R357">
        <v>3</v>
      </c>
      <c r="S357" t="s">
        <v>42</v>
      </c>
      <c r="T357" s="2">
        <v>5296</v>
      </c>
      <c r="U357" s="2">
        <v>20156</v>
      </c>
      <c r="V357">
        <v>1</v>
      </c>
      <c r="W357" t="s">
        <v>38</v>
      </c>
      <c r="X357">
        <v>17</v>
      </c>
      <c r="Y357">
        <v>3</v>
      </c>
      <c r="Z357">
        <v>2</v>
      </c>
      <c r="AA357">
        <v>80</v>
      </c>
      <c r="AB357">
        <v>1</v>
      </c>
      <c r="AC357">
        <v>8</v>
      </c>
      <c r="AD357">
        <v>3</v>
      </c>
      <c r="AE357">
        <v>3</v>
      </c>
      <c r="AF357">
        <v>8</v>
      </c>
      <c r="AG357">
        <v>7</v>
      </c>
      <c r="AH357">
        <v>7</v>
      </c>
      <c r="AI357">
        <v>7</v>
      </c>
    </row>
    <row r="358" spans="1:35" x14ac:dyDescent="0.25">
      <c r="A358">
        <v>42</v>
      </c>
      <c r="B358" t="str">
        <f t="shared" si="10"/>
        <v>35-44</v>
      </c>
      <c r="C358" s="1" t="s">
        <v>38</v>
      </c>
      <c r="D358" s="17">
        <f>IF(Table1[[#This Row],[Attrition]]="Yes",1,0)</f>
        <v>0</v>
      </c>
      <c r="E358" t="s">
        <v>57</v>
      </c>
      <c r="F358" s="2">
        <v>1332</v>
      </c>
      <c r="G358" t="s">
        <v>39</v>
      </c>
      <c r="H358">
        <v>2</v>
      </c>
      <c r="I358">
        <v>4</v>
      </c>
      <c r="J358" t="str">
        <f t="shared" si="11"/>
        <v>Master</v>
      </c>
      <c r="K358" t="s">
        <v>43</v>
      </c>
      <c r="L358">
        <v>1</v>
      </c>
      <c r="M358" t="s">
        <v>40</v>
      </c>
      <c r="N358" s="2">
        <v>98</v>
      </c>
      <c r="O358">
        <v>2</v>
      </c>
      <c r="P358">
        <v>2</v>
      </c>
      <c r="Q358" t="s">
        <v>48</v>
      </c>
      <c r="R358">
        <v>4</v>
      </c>
      <c r="S358" t="s">
        <v>37</v>
      </c>
      <c r="T358" s="2">
        <v>6781</v>
      </c>
      <c r="U358" s="2">
        <v>17078</v>
      </c>
      <c r="V358">
        <v>3</v>
      </c>
      <c r="W358" t="s">
        <v>38</v>
      </c>
      <c r="X358">
        <v>23</v>
      </c>
      <c r="Y358">
        <v>4</v>
      </c>
      <c r="Z358">
        <v>2</v>
      </c>
      <c r="AA358">
        <v>80</v>
      </c>
      <c r="AB358">
        <v>0</v>
      </c>
      <c r="AC358">
        <v>14</v>
      </c>
      <c r="AD358">
        <v>6</v>
      </c>
      <c r="AE358">
        <v>3</v>
      </c>
      <c r="AF358">
        <v>1</v>
      </c>
      <c r="AG358">
        <v>0</v>
      </c>
      <c r="AH358">
        <v>0</v>
      </c>
      <c r="AI358">
        <v>0</v>
      </c>
    </row>
    <row r="359" spans="1:35" x14ac:dyDescent="0.25">
      <c r="A359">
        <v>21</v>
      </c>
      <c r="B359" t="str">
        <f t="shared" si="10"/>
        <v>18-24</v>
      </c>
      <c r="C359" s="1" t="s">
        <v>32</v>
      </c>
      <c r="D359" s="17">
        <f>IF(Table1[[#This Row],[Attrition]]="Yes",1,0)</f>
        <v>1</v>
      </c>
      <c r="E359" t="s">
        <v>58</v>
      </c>
      <c r="F359" s="2">
        <v>756</v>
      </c>
      <c r="G359" t="s">
        <v>33</v>
      </c>
      <c r="H359">
        <v>1</v>
      </c>
      <c r="I359">
        <v>1</v>
      </c>
      <c r="J359" t="str">
        <f t="shared" si="11"/>
        <v>Below College</v>
      </c>
      <c r="K359" t="s">
        <v>54</v>
      </c>
      <c r="L359">
        <v>1</v>
      </c>
      <c r="M359" t="s">
        <v>35</v>
      </c>
      <c r="N359" s="2">
        <v>99</v>
      </c>
      <c r="O359">
        <v>2</v>
      </c>
      <c r="P359">
        <v>1</v>
      </c>
      <c r="Q359" t="s">
        <v>51</v>
      </c>
      <c r="R359">
        <v>2</v>
      </c>
      <c r="S359" t="s">
        <v>37</v>
      </c>
      <c r="T359" s="2">
        <v>2174</v>
      </c>
      <c r="U359" s="2">
        <v>9150</v>
      </c>
      <c r="V359">
        <v>1</v>
      </c>
      <c r="W359" t="s">
        <v>32</v>
      </c>
      <c r="X359">
        <v>11</v>
      </c>
      <c r="Y359">
        <v>3</v>
      </c>
      <c r="Z359">
        <v>3</v>
      </c>
      <c r="AA359">
        <v>80</v>
      </c>
      <c r="AB359">
        <v>0</v>
      </c>
      <c r="AC359">
        <v>3</v>
      </c>
      <c r="AD359">
        <v>3</v>
      </c>
      <c r="AE359">
        <v>3</v>
      </c>
      <c r="AF359">
        <v>3</v>
      </c>
      <c r="AG359">
        <v>2</v>
      </c>
      <c r="AH359">
        <v>1</v>
      </c>
      <c r="AI359">
        <v>2</v>
      </c>
    </row>
    <row r="360" spans="1:35" x14ac:dyDescent="0.25">
      <c r="A360">
        <v>36</v>
      </c>
      <c r="B360" t="str">
        <f t="shared" si="10"/>
        <v>35-44</v>
      </c>
      <c r="C360" s="1" t="s">
        <v>38</v>
      </c>
      <c r="D360" s="17">
        <f>IF(Table1[[#This Row],[Attrition]]="Yes",1,0)</f>
        <v>0</v>
      </c>
      <c r="E360" t="s">
        <v>49</v>
      </c>
      <c r="F360" s="2">
        <v>845</v>
      </c>
      <c r="G360" t="s">
        <v>33</v>
      </c>
      <c r="H360">
        <v>1</v>
      </c>
      <c r="I360">
        <v>5</v>
      </c>
      <c r="J360" t="str">
        <f t="shared" si="11"/>
        <v>Doctor</v>
      </c>
      <c r="K360" t="s">
        <v>45</v>
      </c>
      <c r="L360">
        <v>4</v>
      </c>
      <c r="M360" t="s">
        <v>35</v>
      </c>
      <c r="N360" s="2">
        <v>45</v>
      </c>
      <c r="O360">
        <v>3</v>
      </c>
      <c r="P360">
        <v>2</v>
      </c>
      <c r="Q360" t="s">
        <v>36</v>
      </c>
      <c r="R360">
        <v>4</v>
      </c>
      <c r="S360" t="s">
        <v>37</v>
      </c>
      <c r="T360" s="2">
        <v>6653</v>
      </c>
      <c r="U360" s="2">
        <v>15276</v>
      </c>
      <c r="V360">
        <v>4</v>
      </c>
      <c r="W360" t="s">
        <v>38</v>
      </c>
      <c r="X360">
        <v>15</v>
      </c>
      <c r="Y360">
        <v>3</v>
      </c>
      <c r="Z360">
        <v>2</v>
      </c>
      <c r="AA360">
        <v>80</v>
      </c>
      <c r="AB360">
        <v>0</v>
      </c>
      <c r="AC360">
        <v>7</v>
      </c>
      <c r="AD360">
        <v>6</v>
      </c>
      <c r="AE360">
        <v>3</v>
      </c>
      <c r="AF360">
        <v>1</v>
      </c>
      <c r="AG360">
        <v>0</v>
      </c>
      <c r="AH360">
        <v>0</v>
      </c>
      <c r="AI360">
        <v>0</v>
      </c>
    </row>
    <row r="361" spans="1:35" x14ac:dyDescent="0.25">
      <c r="A361">
        <v>36</v>
      </c>
      <c r="B361" t="str">
        <f t="shared" si="10"/>
        <v>35-44</v>
      </c>
      <c r="C361" s="1" t="s">
        <v>38</v>
      </c>
      <c r="D361" s="17">
        <f>IF(Table1[[#This Row],[Attrition]]="Yes",1,0)</f>
        <v>0</v>
      </c>
      <c r="E361" t="s">
        <v>58</v>
      </c>
      <c r="F361" s="2">
        <v>541</v>
      </c>
      <c r="G361" t="s">
        <v>33</v>
      </c>
      <c r="H361">
        <v>3</v>
      </c>
      <c r="I361">
        <v>4</v>
      </c>
      <c r="J361" t="str">
        <f t="shared" si="11"/>
        <v>Master</v>
      </c>
      <c r="K361" t="s">
        <v>45</v>
      </c>
      <c r="L361">
        <v>1</v>
      </c>
      <c r="M361" t="s">
        <v>40</v>
      </c>
      <c r="N361" s="2">
        <v>48</v>
      </c>
      <c r="O361">
        <v>2</v>
      </c>
      <c r="P361">
        <v>3</v>
      </c>
      <c r="Q361" t="s">
        <v>36</v>
      </c>
      <c r="R361">
        <v>4</v>
      </c>
      <c r="S361" t="s">
        <v>42</v>
      </c>
      <c r="T361" s="2">
        <v>9699</v>
      </c>
      <c r="U361" s="2">
        <v>7246</v>
      </c>
      <c r="V361">
        <v>4</v>
      </c>
      <c r="W361" t="s">
        <v>38</v>
      </c>
      <c r="X361">
        <v>11</v>
      </c>
      <c r="Y361">
        <v>3</v>
      </c>
      <c r="Z361">
        <v>1</v>
      </c>
      <c r="AA361">
        <v>80</v>
      </c>
      <c r="AB361">
        <v>1</v>
      </c>
      <c r="AC361">
        <v>16</v>
      </c>
      <c r="AD361">
        <v>2</v>
      </c>
      <c r="AE361">
        <v>3</v>
      </c>
      <c r="AF361">
        <v>13</v>
      </c>
      <c r="AG361">
        <v>9</v>
      </c>
      <c r="AH361">
        <v>1</v>
      </c>
      <c r="AI361">
        <v>12</v>
      </c>
    </row>
    <row r="362" spans="1:35" x14ac:dyDescent="0.25">
      <c r="A362">
        <v>57</v>
      </c>
      <c r="B362" t="str">
        <f t="shared" si="10"/>
        <v>55-64</v>
      </c>
      <c r="C362" s="1" t="s">
        <v>38</v>
      </c>
      <c r="D362" s="17">
        <f>IF(Table1[[#This Row],[Attrition]]="Yes",1,0)</f>
        <v>0</v>
      </c>
      <c r="E362" t="s">
        <v>57</v>
      </c>
      <c r="F362" s="2">
        <v>593</v>
      </c>
      <c r="G362" t="s">
        <v>39</v>
      </c>
      <c r="H362">
        <v>1</v>
      </c>
      <c r="I362">
        <v>4</v>
      </c>
      <c r="J362" t="str">
        <f t="shared" si="11"/>
        <v>Master</v>
      </c>
      <c r="K362" t="s">
        <v>45</v>
      </c>
      <c r="L362">
        <v>4</v>
      </c>
      <c r="M362" t="s">
        <v>40</v>
      </c>
      <c r="N362" s="2">
        <v>88</v>
      </c>
      <c r="O362">
        <v>3</v>
      </c>
      <c r="P362">
        <v>2</v>
      </c>
      <c r="Q362" t="s">
        <v>48</v>
      </c>
      <c r="R362">
        <v>3</v>
      </c>
      <c r="S362" t="s">
        <v>42</v>
      </c>
      <c r="T362" s="2">
        <v>6755</v>
      </c>
      <c r="U362" s="2">
        <v>2967</v>
      </c>
      <c r="V362">
        <v>2</v>
      </c>
      <c r="W362" t="s">
        <v>38</v>
      </c>
      <c r="X362">
        <v>11</v>
      </c>
      <c r="Y362">
        <v>3</v>
      </c>
      <c r="Z362">
        <v>3</v>
      </c>
      <c r="AA362">
        <v>80</v>
      </c>
      <c r="AB362">
        <v>0</v>
      </c>
      <c r="AC362">
        <v>15</v>
      </c>
      <c r="AD362">
        <v>2</v>
      </c>
      <c r="AE362">
        <v>3</v>
      </c>
      <c r="AF362">
        <v>3</v>
      </c>
      <c r="AG362">
        <v>2</v>
      </c>
      <c r="AH362">
        <v>1</v>
      </c>
      <c r="AI362">
        <v>2</v>
      </c>
    </row>
    <row r="363" spans="1:35" x14ac:dyDescent="0.25">
      <c r="A363">
        <v>40</v>
      </c>
      <c r="B363" t="str">
        <f t="shared" si="10"/>
        <v>35-44</v>
      </c>
      <c r="C363" s="1" t="s">
        <v>38</v>
      </c>
      <c r="D363" s="17">
        <f>IF(Table1[[#This Row],[Attrition]]="Yes",1,0)</f>
        <v>0</v>
      </c>
      <c r="E363" t="s">
        <v>57</v>
      </c>
      <c r="F363" s="2">
        <v>1171</v>
      </c>
      <c r="G363" t="s">
        <v>39</v>
      </c>
      <c r="H363">
        <v>10</v>
      </c>
      <c r="I363">
        <v>4</v>
      </c>
      <c r="J363" t="str">
        <f t="shared" si="11"/>
        <v>Master</v>
      </c>
      <c r="K363" t="s">
        <v>34</v>
      </c>
      <c r="L363">
        <v>4</v>
      </c>
      <c r="M363" t="s">
        <v>35</v>
      </c>
      <c r="N363" s="2">
        <v>46</v>
      </c>
      <c r="O363">
        <v>4</v>
      </c>
      <c r="P363">
        <v>1</v>
      </c>
      <c r="Q363" t="s">
        <v>44</v>
      </c>
      <c r="R363">
        <v>3</v>
      </c>
      <c r="S363" t="s">
        <v>42</v>
      </c>
      <c r="T363" s="2">
        <v>2213</v>
      </c>
      <c r="U363" s="2">
        <v>22495</v>
      </c>
      <c r="V363">
        <v>3</v>
      </c>
      <c r="W363" t="s">
        <v>32</v>
      </c>
      <c r="X363">
        <v>13</v>
      </c>
      <c r="Y363">
        <v>3</v>
      </c>
      <c r="Z363">
        <v>3</v>
      </c>
      <c r="AA363">
        <v>80</v>
      </c>
      <c r="AB363">
        <v>1</v>
      </c>
      <c r="AC363">
        <v>10</v>
      </c>
      <c r="AD363">
        <v>3</v>
      </c>
      <c r="AE363">
        <v>3</v>
      </c>
      <c r="AF363">
        <v>7</v>
      </c>
      <c r="AG363">
        <v>7</v>
      </c>
      <c r="AH363">
        <v>1</v>
      </c>
      <c r="AI363">
        <v>7</v>
      </c>
    </row>
    <row r="364" spans="1:35" x14ac:dyDescent="0.25">
      <c r="A364">
        <v>21</v>
      </c>
      <c r="B364" t="str">
        <f t="shared" si="10"/>
        <v>18-24</v>
      </c>
      <c r="C364" s="1" t="s">
        <v>38</v>
      </c>
      <c r="D364" s="17">
        <f>IF(Table1[[#This Row],[Attrition]]="Yes",1,0)</f>
        <v>0</v>
      </c>
      <c r="E364" t="s">
        <v>49</v>
      </c>
      <c r="F364" s="2">
        <v>895</v>
      </c>
      <c r="G364" t="s">
        <v>33</v>
      </c>
      <c r="H364">
        <v>9</v>
      </c>
      <c r="I364">
        <v>2</v>
      </c>
      <c r="J364" t="str">
        <f t="shared" si="11"/>
        <v>College</v>
      </c>
      <c r="K364" t="s">
        <v>45</v>
      </c>
      <c r="L364">
        <v>1</v>
      </c>
      <c r="M364" t="s">
        <v>40</v>
      </c>
      <c r="N364" s="2">
        <v>39</v>
      </c>
      <c r="O364">
        <v>3</v>
      </c>
      <c r="P364">
        <v>1</v>
      </c>
      <c r="Q364" t="s">
        <v>51</v>
      </c>
      <c r="R364">
        <v>4</v>
      </c>
      <c r="S364" t="s">
        <v>37</v>
      </c>
      <c r="T364" s="2">
        <v>2610</v>
      </c>
      <c r="U364" s="2">
        <v>2851</v>
      </c>
      <c r="V364">
        <v>1</v>
      </c>
      <c r="W364" t="s">
        <v>38</v>
      </c>
      <c r="X364">
        <v>24</v>
      </c>
      <c r="Y364">
        <v>4</v>
      </c>
      <c r="Z364">
        <v>3</v>
      </c>
      <c r="AA364">
        <v>80</v>
      </c>
      <c r="AB364">
        <v>0</v>
      </c>
      <c r="AC364">
        <v>3</v>
      </c>
      <c r="AD364">
        <v>3</v>
      </c>
      <c r="AE364">
        <v>2</v>
      </c>
      <c r="AF364">
        <v>3</v>
      </c>
      <c r="AG364">
        <v>2</v>
      </c>
      <c r="AH364">
        <v>2</v>
      </c>
      <c r="AI364">
        <v>2</v>
      </c>
    </row>
    <row r="365" spans="1:35" x14ac:dyDescent="0.25">
      <c r="A365">
        <v>33</v>
      </c>
      <c r="B365" t="str">
        <f t="shared" si="10"/>
        <v>25-34</v>
      </c>
      <c r="C365" s="1" t="s">
        <v>32</v>
      </c>
      <c r="D365" s="17">
        <f>IF(Table1[[#This Row],[Attrition]]="Yes",1,0)</f>
        <v>1</v>
      </c>
      <c r="E365" t="s">
        <v>57</v>
      </c>
      <c r="F365" s="2">
        <v>350</v>
      </c>
      <c r="G365" t="s">
        <v>33</v>
      </c>
      <c r="H365">
        <v>5</v>
      </c>
      <c r="I365">
        <v>3</v>
      </c>
      <c r="J365" t="str">
        <f t="shared" si="11"/>
        <v>Bachelor</v>
      </c>
      <c r="K365" t="s">
        <v>53</v>
      </c>
      <c r="L365">
        <v>4</v>
      </c>
      <c r="M365" t="s">
        <v>35</v>
      </c>
      <c r="N365" s="2">
        <v>34</v>
      </c>
      <c r="O365">
        <v>3</v>
      </c>
      <c r="P365">
        <v>1</v>
      </c>
      <c r="Q365" t="s">
        <v>51</v>
      </c>
      <c r="R365">
        <v>3</v>
      </c>
      <c r="S365" t="s">
        <v>37</v>
      </c>
      <c r="T365" s="2">
        <v>2851</v>
      </c>
      <c r="U365" s="2">
        <v>9150</v>
      </c>
      <c r="V365">
        <v>1</v>
      </c>
      <c r="W365" t="s">
        <v>32</v>
      </c>
      <c r="X365">
        <v>13</v>
      </c>
      <c r="Y365">
        <v>3</v>
      </c>
      <c r="Z365">
        <v>2</v>
      </c>
      <c r="AA365">
        <v>80</v>
      </c>
      <c r="AB365">
        <v>0</v>
      </c>
      <c r="AC365">
        <v>1</v>
      </c>
      <c r="AD365">
        <v>2</v>
      </c>
      <c r="AE365">
        <v>3</v>
      </c>
      <c r="AF365">
        <v>1</v>
      </c>
      <c r="AG365">
        <v>0</v>
      </c>
      <c r="AH365">
        <v>0</v>
      </c>
      <c r="AI365">
        <v>0</v>
      </c>
    </row>
    <row r="366" spans="1:35" x14ac:dyDescent="0.25">
      <c r="A366">
        <v>37</v>
      </c>
      <c r="B366" t="str">
        <f t="shared" si="10"/>
        <v>35-44</v>
      </c>
      <c r="C366" s="1" t="s">
        <v>38</v>
      </c>
      <c r="D366" s="17">
        <f>IF(Table1[[#This Row],[Attrition]]="Yes",1,0)</f>
        <v>0</v>
      </c>
      <c r="E366" t="s">
        <v>57</v>
      </c>
      <c r="F366" s="2">
        <v>921</v>
      </c>
      <c r="G366" t="s">
        <v>39</v>
      </c>
      <c r="H366">
        <v>10</v>
      </c>
      <c r="I366">
        <v>3</v>
      </c>
      <c r="J366" t="str">
        <f t="shared" si="11"/>
        <v>Bachelor</v>
      </c>
      <c r="K366" t="s">
        <v>45</v>
      </c>
      <c r="L366">
        <v>3</v>
      </c>
      <c r="M366" t="s">
        <v>35</v>
      </c>
      <c r="N366" s="2">
        <v>98</v>
      </c>
      <c r="O366">
        <v>3</v>
      </c>
      <c r="P366">
        <v>1</v>
      </c>
      <c r="Q366" t="s">
        <v>44</v>
      </c>
      <c r="R366">
        <v>1</v>
      </c>
      <c r="S366" t="s">
        <v>42</v>
      </c>
      <c r="T366" s="2">
        <v>3452</v>
      </c>
      <c r="U366" s="2">
        <v>17663</v>
      </c>
      <c r="V366">
        <v>6</v>
      </c>
      <c r="W366" t="s">
        <v>38</v>
      </c>
      <c r="X366">
        <v>20</v>
      </c>
      <c r="Y366">
        <v>4</v>
      </c>
      <c r="Z366">
        <v>2</v>
      </c>
      <c r="AA366">
        <v>80</v>
      </c>
      <c r="AB366">
        <v>1</v>
      </c>
      <c r="AC366">
        <v>17</v>
      </c>
      <c r="AD366">
        <v>3</v>
      </c>
      <c r="AE366">
        <v>3</v>
      </c>
      <c r="AF366">
        <v>5</v>
      </c>
      <c r="AG366">
        <v>4</v>
      </c>
      <c r="AH366">
        <v>0</v>
      </c>
      <c r="AI366">
        <v>3</v>
      </c>
    </row>
    <row r="367" spans="1:35" x14ac:dyDescent="0.25">
      <c r="A367">
        <v>46</v>
      </c>
      <c r="B367" t="str">
        <f t="shared" si="10"/>
        <v>45-54</v>
      </c>
      <c r="C367" s="1" t="s">
        <v>38</v>
      </c>
      <c r="D367" s="17">
        <f>IF(Table1[[#This Row],[Attrition]]="Yes",1,0)</f>
        <v>0</v>
      </c>
      <c r="E367" t="s">
        <v>49</v>
      </c>
      <c r="F367" s="2">
        <v>1144</v>
      </c>
      <c r="G367" t="s">
        <v>39</v>
      </c>
      <c r="H367">
        <v>7</v>
      </c>
      <c r="I367">
        <v>4</v>
      </c>
      <c r="J367" t="str">
        <f t="shared" si="11"/>
        <v>Master</v>
      </c>
      <c r="K367" t="s">
        <v>45</v>
      </c>
      <c r="L367">
        <v>3</v>
      </c>
      <c r="M367" t="s">
        <v>35</v>
      </c>
      <c r="N367" s="2">
        <v>30</v>
      </c>
      <c r="O367">
        <v>3</v>
      </c>
      <c r="P367">
        <v>2</v>
      </c>
      <c r="Q367" t="s">
        <v>47</v>
      </c>
      <c r="R367">
        <v>3</v>
      </c>
      <c r="S367" t="s">
        <v>42</v>
      </c>
      <c r="T367" s="2">
        <v>5258</v>
      </c>
      <c r="U367" s="2">
        <v>16044</v>
      </c>
      <c r="V367">
        <v>2</v>
      </c>
      <c r="W367" t="s">
        <v>38</v>
      </c>
      <c r="X367">
        <v>14</v>
      </c>
      <c r="Y367">
        <v>3</v>
      </c>
      <c r="Z367">
        <v>3</v>
      </c>
      <c r="AA367">
        <v>80</v>
      </c>
      <c r="AB367">
        <v>0</v>
      </c>
      <c r="AC367">
        <v>7</v>
      </c>
      <c r="AD367">
        <v>2</v>
      </c>
      <c r="AE367">
        <v>4</v>
      </c>
      <c r="AF367">
        <v>1</v>
      </c>
      <c r="AG367">
        <v>0</v>
      </c>
      <c r="AH367">
        <v>0</v>
      </c>
      <c r="AI367">
        <v>0</v>
      </c>
    </row>
    <row r="368" spans="1:35" x14ac:dyDescent="0.25">
      <c r="A368">
        <v>41</v>
      </c>
      <c r="B368" t="str">
        <f t="shared" si="10"/>
        <v>35-44</v>
      </c>
      <c r="C368" s="1" t="s">
        <v>32</v>
      </c>
      <c r="D368" s="17">
        <f>IF(Table1[[#This Row],[Attrition]]="Yes",1,0)</f>
        <v>1</v>
      </c>
      <c r="E368" t="s">
        <v>58</v>
      </c>
      <c r="F368" s="2">
        <v>143</v>
      </c>
      <c r="G368" t="s">
        <v>33</v>
      </c>
      <c r="H368">
        <v>4</v>
      </c>
      <c r="I368">
        <v>3</v>
      </c>
      <c r="J368" t="str">
        <f t="shared" si="11"/>
        <v>Bachelor</v>
      </c>
      <c r="K368" t="s">
        <v>53</v>
      </c>
      <c r="L368">
        <v>1</v>
      </c>
      <c r="M368" t="s">
        <v>40</v>
      </c>
      <c r="N368" s="2">
        <v>56</v>
      </c>
      <c r="O368">
        <v>3</v>
      </c>
      <c r="P368">
        <v>2</v>
      </c>
      <c r="Q368" t="s">
        <v>36</v>
      </c>
      <c r="R368">
        <v>2</v>
      </c>
      <c r="S368" t="s">
        <v>37</v>
      </c>
      <c r="T368" s="2">
        <v>9355</v>
      </c>
      <c r="U368" s="2">
        <v>9558</v>
      </c>
      <c r="V368">
        <v>1</v>
      </c>
      <c r="W368" t="s">
        <v>38</v>
      </c>
      <c r="X368">
        <v>18</v>
      </c>
      <c r="Y368">
        <v>3</v>
      </c>
      <c r="Z368">
        <v>3</v>
      </c>
      <c r="AA368">
        <v>80</v>
      </c>
      <c r="AB368">
        <v>0</v>
      </c>
      <c r="AC368">
        <v>8</v>
      </c>
      <c r="AD368">
        <v>5</v>
      </c>
      <c r="AE368">
        <v>3</v>
      </c>
      <c r="AF368">
        <v>8</v>
      </c>
      <c r="AG368">
        <v>7</v>
      </c>
      <c r="AH368">
        <v>7</v>
      </c>
      <c r="AI368">
        <v>7</v>
      </c>
    </row>
    <row r="369" spans="1:35" x14ac:dyDescent="0.25">
      <c r="A369">
        <v>50</v>
      </c>
      <c r="B369" t="str">
        <f t="shared" si="10"/>
        <v>45-54</v>
      </c>
      <c r="C369" s="1" t="s">
        <v>38</v>
      </c>
      <c r="D369" s="17">
        <f>IF(Table1[[#This Row],[Attrition]]="Yes",1,0)</f>
        <v>0</v>
      </c>
      <c r="E369" t="s">
        <v>57</v>
      </c>
      <c r="F369" s="2">
        <v>1046</v>
      </c>
      <c r="G369" t="s">
        <v>39</v>
      </c>
      <c r="H369">
        <v>10</v>
      </c>
      <c r="I369">
        <v>3</v>
      </c>
      <c r="J369" t="str">
        <f t="shared" si="11"/>
        <v>Bachelor</v>
      </c>
      <c r="K369" t="s">
        <v>54</v>
      </c>
      <c r="L369">
        <v>4</v>
      </c>
      <c r="M369" t="s">
        <v>40</v>
      </c>
      <c r="N369" s="2">
        <v>100</v>
      </c>
      <c r="O369">
        <v>2</v>
      </c>
      <c r="P369">
        <v>3</v>
      </c>
      <c r="Q369" t="s">
        <v>48</v>
      </c>
      <c r="R369">
        <v>4</v>
      </c>
      <c r="S369" t="s">
        <v>37</v>
      </c>
      <c r="T369" s="2">
        <v>10496</v>
      </c>
      <c r="U369" s="2">
        <v>2755</v>
      </c>
      <c r="V369">
        <v>6</v>
      </c>
      <c r="W369" t="s">
        <v>38</v>
      </c>
      <c r="X369">
        <v>15</v>
      </c>
      <c r="Y369">
        <v>3</v>
      </c>
      <c r="Z369">
        <v>4</v>
      </c>
      <c r="AA369">
        <v>80</v>
      </c>
      <c r="AB369">
        <v>0</v>
      </c>
      <c r="AC369">
        <v>20</v>
      </c>
      <c r="AD369">
        <v>2</v>
      </c>
      <c r="AE369">
        <v>3</v>
      </c>
      <c r="AF369">
        <v>4</v>
      </c>
      <c r="AG369">
        <v>3</v>
      </c>
      <c r="AH369">
        <v>1</v>
      </c>
      <c r="AI369">
        <v>3</v>
      </c>
    </row>
    <row r="370" spans="1:35" x14ac:dyDescent="0.25">
      <c r="A370">
        <v>40</v>
      </c>
      <c r="B370" t="str">
        <f t="shared" si="10"/>
        <v>35-44</v>
      </c>
      <c r="C370" s="1" t="s">
        <v>32</v>
      </c>
      <c r="D370" s="17">
        <f>IF(Table1[[#This Row],[Attrition]]="Yes",1,0)</f>
        <v>1</v>
      </c>
      <c r="E370" t="s">
        <v>57</v>
      </c>
      <c r="F370" s="2">
        <v>575</v>
      </c>
      <c r="G370" t="s">
        <v>33</v>
      </c>
      <c r="H370">
        <v>22</v>
      </c>
      <c r="I370">
        <v>2</v>
      </c>
      <c r="J370" t="str">
        <f t="shared" si="11"/>
        <v>College</v>
      </c>
      <c r="K370" t="s">
        <v>53</v>
      </c>
      <c r="L370">
        <v>3</v>
      </c>
      <c r="M370" t="s">
        <v>40</v>
      </c>
      <c r="N370" s="2">
        <v>68</v>
      </c>
      <c r="O370">
        <v>2</v>
      </c>
      <c r="P370">
        <v>2</v>
      </c>
      <c r="Q370" t="s">
        <v>36</v>
      </c>
      <c r="R370">
        <v>3</v>
      </c>
      <c r="S370" t="s">
        <v>42</v>
      </c>
      <c r="T370" s="2">
        <v>6380</v>
      </c>
      <c r="U370" s="2">
        <v>6110</v>
      </c>
      <c r="V370">
        <v>2</v>
      </c>
      <c r="W370" t="s">
        <v>32</v>
      </c>
      <c r="X370">
        <v>12</v>
      </c>
      <c r="Y370">
        <v>3</v>
      </c>
      <c r="Z370">
        <v>1</v>
      </c>
      <c r="AA370">
        <v>80</v>
      </c>
      <c r="AB370">
        <v>2</v>
      </c>
      <c r="AC370">
        <v>8</v>
      </c>
      <c r="AD370">
        <v>6</v>
      </c>
      <c r="AE370">
        <v>3</v>
      </c>
      <c r="AF370">
        <v>6</v>
      </c>
      <c r="AG370">
        <v>4</v>
      </c>
      <c r="AH370">
        <v>1</v>
      </c>
      <c r="AI370">
        <v>0</v>
      </c>
    </row>
    <row r="371" spans="1:35" x14ac:dyDescent="0.25">
      <c r="A371">
        <v>31</v>
      </c>
      <c r="B371" t="str">
        <f t="shared" si="10"/>
        <v>25-34</v>
      </c>
      <c r="C371" s="1" t="s">
        <v>38</v>
      </c>
      <c r="D371" s="17">
        <f>IF(Table1[[#This Row],[Attrition]]="Yes",1,0)</f>
        <v>0</v>
      </c>
      <c r="E371" t="s">
        <v>57</v>
      </c>
      <c r="F371" s="2">
        <v>408</v>
      </c>
      <c r="G371" t="s">
        <v>39</v>
      </c>
      <c r="H371">
        <v>9</v>
      </c>
      <c r="I371">
        <v>4</v>
      </c>
      <c r="J371" t="str">
        <f t="shared" si="11"/>
        <v>Master</v>
      </c>
      <c r="K371" t="s">
        <v>34</v>
      </c>
      <c r="L371">
        <v>3</v>
      </c>
      <c r="M371" t="s">
        <v>40</v>
      </c>
      <c r="N371" s="2">
        <v>42</v>
      </c>
      <c r="O371">
        <v>2</v>
      </c>
      <c r="P371">
        <v>1</v>
      </c>
      <c r="Q371" t="s">
        <v>41</v>
      </c>
      <c r="R371">
        <v>2</v>
      </c>
      <c r="S371" t="s">
        <v>37</v>
      </c>
      <c r="T371" s="2">
        <v>2657</v>
      </c>
      <c r="U371" s="2">
        <v>7551</v>
      </c>
      <c r="V371">
        <v>0</v>
      </c>
      <c r="W371" t="s">
        <v>32</v>
      </c>
      <c r="X371">
        <v>16</v>
      </c>
      <c r="Y371">
        <v>3</v>
      </c>
      <c r="Z371">
        <v>4</v>
      </c>
      <c r="AA371">
        <v>80</v>
      </c>
      <c r="AB371">
        <v>0</v>
      </c>
      <c r="AC371">
        <v>3</v>
      </c>
      <c r="AD371">
        <v>5</v>
      </c>
      <c r="AE371">
        <v>3</v>
      </c>
      <c r="AF371">
        <v>2</v>
      </c>
      <c r="AG371">
        <v>2</v>
      </c>
      <c r="AH371">
        <v>2</v>
      </c>
      <c r="AI371">
        <v>2</v>
      </c>
    </row>
    <row r="372" spans="1:35" x14ac:dyDescent="0.25">
      <c r="A372">
        <v>21</v>
      </c>
      <c r="B372" t="str">
        <f t="shared" si="10"/>
        <v>18-24</v>
      </c>
      <c r="C372" s="1" t="s">
        <v>32</v>
      </c>
      <c r="D372" s="17">
        <f>IF(Table1[[#This Row],[Attrition]]="Yes",1,0)</f>
        <v>1</v>
      </c>
      <c r="E372" t="s">
        <v>57</v>
      </c>
      <c r="F372" s="2">
        <v>156</v>
      </c>
      <c r="G372" t="s">
        <v>33</v>
      </c>
      <c r="H372">
        <v>12</v>
      </c>
      <c r="I372">
        <v>3</v>
      </c>
      <c r="J372" t="str">
        <f t="shared" si="11"/>
        <v>Bachelor</v>
      </c>
      <c r="K372" t="s">
        <v>34</v>
      </c>
      <c r="L372">
        <v>3</v>
      </c>
      <c r="M372" t="s">
        <v>35</v>
      </c>
      <c r="N372" s="2">
        <v>90</v>
      </c>
      <c r="O372">
        <v>4</v>
      </c>
      <c r="P372">
        <v>1</v>
      </c>
      <c r="Q372" t="s">
        <v>51</v>
      </c>
      <c r="R372">
        <v>2</v>
      </c>
      <c r="S372" t="s">
        <v>37</v>
      </c>
      <c r="T372" s="2">
        <v>2716</v>
      </c>
      <c r="U372" s="2">
        <v>25422</v>
      </c>
      <c r="V372">
        <v>1</v>
      </c>
      <c r="W372" t="s">
        <v>38</v>
      </c>
      <c r="X372">
        <v>15</v>
      </c>
      <c r="Y372">
        <v>3</v>
      </c>
      <c r="Z372">
        <v>4</v>
      </c>
      <c r="AA372">
        <v>80</v>
      </c>
      <c r="AB372">
        <v>0</v>
      </c>
      <c r="AC372">
        <v>1</v>
      </c>
      <c r="AD372">
        <v>0</v>
      </c>
      <c r="AE372">
        <v>3</v>
      </c>
      <c r="AF372">
        <v>1</v>
      </c>
      <c r="AG372">
        <v>0</v>
      </c>
      <c r="AH372">
        <v>0</v>
      </c>
      <c r="AI372">
        <v>0</v>
      </c>
    </row>
    <row r="373" spans="1:35" x14ac:dyDescent="0.25">
      <c r="A373">
        <v>29</v>
      </c>
      <c r="B373" t="str">
        <f t="shared" si="10"/>
        <v>25-34</v>
      </c>
      <c r="C373" s="1" t="s">
        <v>38</v>
      </c>
      <c r="D373" s="17">
        <f>IF(Table1[[#This Row],[Attrition]]="Yes",1,0)</f>
        <v>0</v>
      </c>
      <c r="E373" t="s">
        <v>57</v>
      </c>
      <c r="F373" s="2">
        <v>1283</v>
      </c>
      <c r="G373" t="s">
        <v>39</v>
      </c>
      <c r="H373">
        <v>23</v>
      </c>
      <c r="I373">
        <v>3</v>
      </c>
      <c r="J373" t="str">
        <f t="shared" si="11"/>
        <v>Bachelor</v>
      </c>
      <c r="K373" t="s">
        <v>34</v>
      </c>
      <c r="L373">
        <v>4</v>
      </c>
      <c r="M373" t="s">
        <v>40</v>
      </c>
      <c r="N373" s="2">
        <v>54</v>
      </c>
      <c r="O373">
        <v>3</v>
      </c>
      <c r="P373">
        <v>1</v>
      </c>
      <c r="Q373" t="s">
        <v>41</v>
      </c>
      <c r="R373">
        <v>4</v>
      </c>
      <c r="S373" t="s">
        <v>37</v>
      </c>
      <c r="T373" s="2">
        <v>2201</v>
      </c>
      <c r="U373" s="2">
        <v>18168</v>
      </c>
      <c r="V373">
        <v>9</v>
      </c>
      <c r="W373" t="s">
        <v>38</v>
      </c>
      <c r="X373">
        <v>16</v>
      </c>
      <c r="Y373">
        <v>3</v>
      </c>
      <c r="Z373">
        <v>4</v>
      </c>
      <c r="AA373">
        <v>80</v>
      </c>
      <c r="AB373">
        <v>0</v>
      </c>
      <c r="AC373">
        <v>6</v>
      </c>
      <c r="AD373">
        <v>4</v>
      </c>
      <c r="AE373">
        <v>3</v>
      </c>
      <c r="AF373">
        <v>3</v>
      </c>
      <c r="AG373">
        <v>2</v>
      </c>
      <c r="AH373">
        <v>1</v>
      </c>
      <c r="AI373">
        <v>2</v>
      </c>
    </row>
    <row r="374" spans="1:35" x14ac:dyDescent="0.25">
      <c r="A374">
        <v>35</v>
      </c>
      <c r="B374" t="str">
        <f t="shared" si="10"/>
        <v>35-44</v>
      </c>
      <c r="C374" s="1" t="s">
        <v>38</v>
      </c>
      <c r="D374" s="17">
        <f>IF(Table1[[#This Row],[Attrition]]="Yes",1,0)</f>
        <v>0</v>
      </c>
      <c r="E374" t="s">
        <v>57</v>
      </c>
      <c r="F374" s="2">
        <v>755</v>
      </c>
      <c r="G374" t="s">
        <v>39</v>
      </c>
      <c r="H374">
        <v>9</v>
      </c>
      <c r="I374">
        <v>4</v>
      </c>
      <c r="J374" t="str">
        <f t="shared" si="11"/>
        <v>Master</v>
      </c>
      <c r="K374" t="s">
        <v>34</v>
      </c>
      <c r="L374">
        <v>3</v>
      </c>
      <c r="M374" t="s">
        <v>40</v>
      </c>
      <c r="N374" s="2">
        <v>97</v>
      </c>
      <c r="O374">
        <v>2</v>
      </c>
      <c r="P374">
        <v>2</v>
      </c>
      <c r="Q374" t="s">
        <v>48</v>
      </c>
      <c r="R374">
        <v>2</v>
      </c>
      <c r="S374" t="s">
        <v>37</v>
      </c>
      <c r="T374" s="2">
        <v>6540</v>
      </c>
      <c r="U374" s="2">
        <v>19394</v>
      </c>
      <c r="V374">
        <v>9</v>
      </c>
      <c r="W374" t="s">
        <v>38</v>
      </c>
      <c r="X374">
        <v>19</v>
      </c>
      <c r="Y374">
        <v>3</v>
      </c>
      <c r="Z374">
        <v>3</v>
      </c>
      <c r="AA374">
        <v>80</v>
      </c>
      <c r="AB374">
        <v>0</v>
      </c>
      <c r="AC374">
        <v>10</v>
      </c>
      <c r="AD374">
        <v>5</v>
      </c>
      <c r="AE374">
        <v>3</v>
      </c>
      <c r="AF374">
        <v>1</v>
      </c>
      <c r="AG374">
        <v>1</v>
      </c>
      <c r="AH374">
        <v>0</v>
      </c>
      <c r="AI374">
        <v>0</v>
      </c>
    </row>
    <row r="375" spans="1:35" x14ac:dyDescent="0.25">
      <c r="A375">
        <v>27</v>
      </c>
      <c r="B375" t="str">
        <f t="shared" si="10"/>
        <v>25-34</v>
      </c>
      <c r="C375" s="1" t="s">
        <v>38</v>
      </c>
      <c r="D375" s="17">
        <f>IF(Table1[[#This Row],[Attrition]]="Yes",1,0)</f>
        <v>0</v>
      </c>
      <c r="E375" t="s">
        <v>57</v>
      </c>
      <c r="F375" s="2">
        <v>1469</v>
      </c>
      <c r="G375" t="s">
        <v>39</v>
      </c>
      <c r="H375">
        <v>1</v>
      </c>
      <c r="I375">
        <v>2</v>
      </c>
      <c r="J375" t="str">
        <f t="shared" si="11"/>
        <v>College</v>
      </c>
      <c r="K375" t="s">
        <v>45</v>
      </c>
      <c r="L375">
        <v>4</v>
      </c>
      <c r="M375" t="s">
        <v>40</v>
      </c>
      <c r="N375" s="2">
        <v>82</v>
      </c>
      <c r="O375">
        <v>3</v>
      </c>
      <c r="P375">
        <v>1</v>
      </c>
      <c r="Q375" t="s">
        <v>44</v>
      </c>
      <c r="R375">
        <v>2</v>
      </c>
      <c r="S375" t="s">
        <v>46</v>
      </c>
      <c r="T375" s="2">
        <v>3816</v>
      </c>
      <c r="U375" s="2">
        <v>17881</v>
      </c>
      <c r="V375">
        <v>1</v>
      </c>
      <c r="W375" t="s">
        <v>38</v>
      </c>
      <c r="X375">
        <v>11</v>
      </c>
      <c r="Y375">
        <v>3</v>
      </c>
      <c r="Z375">
        <v>2</v>
      </c>
      <c r="AA375">
        <v>80</v>
      </c>
      <c r="AB375">
        <v>1</v>
      </c>
      <c r="AC375">
        <v>5</v>
      </c>
      <c r="AD375">
        <v>2</v>
      </c>
      <c r="AE375">
        <v>3</v>
      </c>
      <c r="AF375">
        <v>5</v>
      </c>
      <c r="AG375">
        <v>2</v>
      </c>
      <c r="AH375">
        <v>0</v>
      </c>
      <c r="AI375">
        <v>4</v>
      </c>
    </row>
    <row r="376" spans="1:35" x14ac:dyDescent="0.25">
      <c r="A376">
        <v>28</v>
      </c>
      <c r="B376" t="str">
        <f t="shared" si="10"/>
        <v>25-34</v>
      </c>
      <c r="C376" s="1" t="s">
        <v>38</v>
      </c>
      <c r="D376" s="17">
        <f>IF(Table1[[#This Row],[Attrition]]="Yes",1,0)</f>
        <v>0</v>
      </c>
      <c r="E376" t="s">
        <v>57</v>
      </c>
      <c r="F376" s="2">
        <v>304</v>
      </c>
      <c r="G376" t="s">
        <v>33</v>
      </c>
      <c r="H376">
        <v>9</v>
      </c>
      <c r="I376">
        <v>4</v>
      </c>
      <c r="J376" t="str">
        <f t="shared" si="11"/>
        <v>Master</v>
      </c>
      <c r="K376" t="s">
        <v>34</v>
      </c>
      <c r="L376">
        <v>2</v>
      </c>
      <c r="M376" t="s">
        <v>40</v>
      </c>
      <c r="N376" s="2">
        <v>92</v>
      </c>
      <c r="O376">
        <v>3</v>
      </c>
      <c r="P376">
        <v>2</v>
      </c>
      <c r="Q376" t="s">
        <v>36</v>
      </c>
      <c r="R376">
        <v>4</v>
      </c>
      <c r="S376" t="s">
        <v>37</v>
      </c>
      <c r="T376" s="2">
        <v>5253</v>
      </c>
      <c r="U376" s="2">
        <v>20750</v>
      </c>
      <c r="V376">
        <v>1</v>
      </c>
      <c r="W376" t="s">
        <v>38</v>
      </c>
      <c r="X376">
        <v>16</v>
      </c>
      <c r="Y376">
        <v>3</v>
      </c>
      <c r="Z376">
        <v>4</v>
      </c>
      <c r="AA376">
        <v>80</v>
      </c>
      <c r="AB376">
        <v>0</v>
      </c>
      <c r="AC376">
        <v>7</v>
      </c>
      <c r="AD376">
        <v>1</v>
      </c>
      <c r="AE376">
        <v>3</v>
      </c>
      <c r="AF376">
        <v>7</v>
      </c>
      <c r="AG376">
        <v>5</v>
      </c>
      <c r="AH376">
        <v>0</v>
      </c>
      <c r="AI376">
        <v>7</v>
      </c>
    </row>
    <row r="377" spans="1:35" x14ac:dyDescent="0.25">
      <c r="A377">
        <v>49</v>
      </c>
      <c r="B377" t="str">
        <f t="shared" si="10"/>
        <v>45-54</v>
      </c>
      <c r="C377" s="1" t="s">
        <v>38</v>
      </c>
      <c r="D377" s="17">
        <f>IF(Table1[[#This Row],[Attrition]]="Yes",1,0)</f>
        <v>0</v>
      </c>
      <c r="E377" t="s">
        <v>57</v>
      </c>
      <c r="F377" s="2">
        <v>1261</v>
      </c>
      <c r="G377" t="s">
        <v>39</v>
      </c>
      <c r="H377">
        <v>7</v>
      </c>
      <c r="I377">
        <v>3</v>
      </c>
      <c r="J377" t="str">
        <f t="shared" si="11"/>
        <v>Bachelor</v>
      </c>
      <c r="K377" t="s">
        <v>43</v>
      </c>
      <c r="L377">
        <v>2</v>
      </c>
      <c r="M377" t="s">
        <v>40</v>
      </c>
      <c r="N377" s="2">
        <v>31</v>
      </c>
      <c r="O377">
        <v>2</v>
      </c>
      <c r="P377">
        <v>3</v>
      </c>
      <c r="Q377" t="s">
        <v>48</v>
      </c>
      <c r="R377">
        <v>3</v>
      </c>
      <c r="S377" t="s">
        <v>37</v>
      </c>
      <c r="T377" s="2">
        <v>10965</v>
      </c>
      <c r="U377" s="2">
        <v>12066</v>
      </c>
      <c r="V377">
        <v>8</v>
      </c>
      <c r="W377" t="s">
        <v>38</v>
      </c>
      <c r="X377">
        <v>24</v>
      </c>
      <c r="Y377">
        <v>4</v>
      </c>
      <c r="Z377">
        <v>3</v>
      </c>
      <c r="AA377">
        <v>80</v>
      </c>
      <c r="AB377">
        <v>0</v>
      </c>
      <c r="AC377">
        <v>26</v>
      </c>
      <c r="AD377">
        <v>2</v>
      </c>
      <c r="AE377">
        <v>3</v>
      </c>
      <c r="AF377">
        <v>5</v>
      </c>
      <c r="AG377">
        <v>2</v>
      </c>
      <c r="AH377">
        <v>0</v>
      </c>
      <c r="AI377">
        <v>0</v>
      </c>
    </row>
    <row r="378" spans="1:35" x14ac:dyDescent="0.25">
      <c r="A378">
        <v>51</v>
      </c>
      <c r="B378" t="str">
        <f t="shared" si="10"/>
        <v>45-54</v>
      </c>
      <c r="C378" s="1" t="s">
        <v>38</v>
      </c>
      <c r="D378" s="17">
        <f>IF(Table1[[#This Row],[Attrition]]="Yes",1,0)</f>
        <v>0</v>
      </c>
      <c r="E378" t="s">
        <v>57</v>
      </c>
      <c r="F378" s="2">
        <v>1178</v>
      </c>
      <c r="G378" t="s">
        <v>33</v>
      </c>
      <c r="H378">
        <v>14</v>
      </c>
      <c r="I378">
        <v>2</v>
      </c>
      <c r="J378" t="str">
        <f t="shared" si="11"/>
        <v>College</v>
      </c>
      <c r="K378" t="s">
        <v>34</v>
      </c>
      <c r="L378">
        <v>3</v>
      </c>
      <c r="M378" t="s">
        <v>35</v>
      </c>
      <c r="N378" s="2">
        <v>87</v>
      </c>
      <c r="O378">
        <v>3</v>
      </c>
      <c r="P378">
        <v>2</v>
      </c>
      <c r="Q378" t="s">
        <v>36</v>
      </c>
      <c r="R378">
        <v>4</v>
      </c>
      <c r="S378" t="s">
        <v>42</v>
      </c>
      <c r="T378" s="2">
        <v>4936</v>
      </c>
      <c r="U378" s="2">
        <v>14862</v>
      </c>
      <c r="V378">
        <v>4</v>
      </c>
      <c r="W378" t="s">
        <v>38</v>
      </c>
      <c r="X378">
        <v>11</v>
      </c>
      <c r="Y378">
        <v>3</v>
      </c>
      <c r="Z378">
        <v>3</v>
      </c>
      <c r="AA378">
        <v>80</v>
      </c>
      <c r="AB378">
        <v>1</v>
      </c>
      <c r="AC378">
        <v>18</v>
      </c>
      <c r="AD378">
        <v>2</v>
      </c>
      <c r="AE378">
        <v>2</v>
      </c>
      <c r="AF378">
        <v>7</v>
      </c>
      <c r="AG378">
        <v>7</v>
      </c>
      <c r="AH378">
        <v>0</v>
      </c>
      <c r="AI378">
        <v>7</v>
      </c>
    </row>
    <row r="379" spans="1:35" x14ac:dyDescent="0.25">
      <c r="A379">
        <v>36</v>
      </c>
      <c r="B379" t="str">
        <f t="shared" si="10"/>
        <v>35-44</v>
      </c>
      <c r="C379" s="1" t="s">
        <v>38</v>
      </c>
      <c r="D379" s="17">
        <f>IF(Table1[[#This Row],[Attrition]]="Yes",1,0)</f>
        <v>0</v>
      </c>
      <c r="E379" t="s">
        <v>57</v>
      </c>
      <c r="F379" s="2">
        <v>329</v>
      </c>
      <c r="G379" t="s">
        <v>39</v>
      </c>
      <c r="H379">
        <v>2</v>
      </c>
      <c r="I379">
        <v>3</v>
      </c>
      <c r="J379" t="str">
        <f t="shared" si="11"/>
        <v>Bachelor</v>
      </c>
      <c r="K379" t="s">
        <v>34</v>
      </c>
      <c r="L379">
        <v>4</v>
      </c>
      <c r="M379" t="s">
        <v>35</v>
      </c>
      <c r="N379" s="2">
        <v>96</v>
      </c>
      <c r="O379">
        <v>3</v>
      </c>
      <c r="P379">
        <v>1</v>
      </c>
      <c r="Q379" t="s">
        <v>41</v>
      </c>
      <c r="R379">
        <v>3</v>
      </c>
      <c r="S379" t="s">
        <v>42</v>
      </c>
      <c r="T379" s="2">
        <v>2543</v>
      </c>
      <c r="U379" s="2">
        <v>11868</v>
      </c>
      <c r="V379">
        <v>4</v>
      </c>
      <c r="W379" t="s">
        <v>38</v>
      </c>
      <c r="X379">
        <v>13</v>
      </c>
      <c r="Y379">
        <v>3</v>
      </c>
      <c r="Z379">
        <v>2</v>
      </c>
      <c r="AA379">
        <v>80</v>
      </c>
      <c r="AB379">
        <v>1</v>
      </c>
      <c r="AC379">
        <v>6</v>
      </c>
      <c r="AD379">
        <v>3</v>
      </c>
      <c r="AE379">
        <v>3</v>
      </c>
      <c r="AF379">
        <v>2</v>
      </c>
      <c r="AG379">
        <v>2</v>
      </c>
      <c r="AH379">
        <v>2</v>
      </c>
      <c r="AI379">
        <v>2</v>
      </c>
    </row>
    <row r="380" spans="1:35" x14ac:dyDescent="0.25">
      <c r="A380">
        <v>34</v>
      </c>
      <c r="B380" t="str">
        <f t="shared" si="10"/>
        <v>25-34</v>
      </c>
      <c r="C380" s="1" t="s">
        <v>32</v>
      </c>
      <c r="D380" s="17">
        <f>IF(Table1[[#This Row],[Attrition]]="Yes",1,0)</f>
        <v>1</v>
      </c>
      <c r="E380" t="s">
        <v>49</v>
      </c>
      <c r="F380" s="2">
        <v>1362</v>
      </c>
      <c r="G380" t="s">
        <v>33</v>
      </c>
      <c r="H380">
        <v>19</v>
      </c>
      <c r="I380">
        <v>3</v>
      </c>
      <c r="J380" t="str">
        <f t="shared" si="11"/>
        <v>Bachelor</v>
      </c>
      <c r="K380" t="s">
        <v>53</v>
      </c>
      <c r="L380">
        <v>1</v>
      </c>
      <c r="M380" t="s">
        <v>40</v>
      </c>
      <c r="N380" s="2">
        <v>67</v>
      </c>
      <c r="O380">
        <v>4</v>
      </c>
      <c r="P380">
        <v>2</v>
      </c>
      <c r="Q380" t="s">
        <v>36</v>
      </c>
      <c r="R380">
        <v>4</v>
      </c>
      <c r="S380" t="s">
        <v>37</v>
      </c>
      <c r="T380" s="2">
        <v>5304</v>
      </c>
      <c r="U380" s="2">
        <v>4652</v>
      </c>
      <c r="V380">
        <v>8</v>
      </c>
      <c r="W380" t="s">
        <v>32</v>
      </c>
      <c r="X380">
        <v>13</v>
      </c>
      <c r="Y380">
        <v>3</v>
      </c>
      <c r="Z380">
        <v>2</v>
      </c>
      <c r="AA380">
        <v>80</v>
      </c>
      <c r="AB380">
        <v>0</v>
      </c>
      <c r="AC380">
        <v>9</v>
      </c>
      <c r="AD380">
        <v>3</v>
      </c>
      <c r="AE380">
        <v>2</v>
      </c>
      <c r="AF380">
        <v>5</v>
      </c>
      <c r="AG380">
        <v>2</v>
      </c>
      <c r="AH380">
        <v>0</v>
      </c>
      <c r="AI380">
        <v>4</v>
      </c>
    </row>
    <row r="381" spans="1:35" x14ac:dyDescent="0.25">
      <c r="A381">
        <v>55</v>
      </c>
      <c r="B381" t="str">
        <f t="shared" si="10"/>
        <v>55-64</v>
      </c>
      <c r="C381" s="1" t="s">
        <v>38</v>
      </c>
      <c r="D381" s="17">
        <f>IF(Table1[[#This Row],[Attrition]]="Yes",1,0)</f>
        <v>0</v>
      </c>
      <c r="E381" t="s">
        <v>57</v>
      </c>
      <c r="F381" s="2">
        <v>1311</v>
      </c>
      <c r="G381" t="s">
        <v>39</v>
      </c>
      <c r="H381">
        <v>2</v>
      </c>
      <c r="I381">
        <v>3</v>
      </c>
      <c r="J381" t="str">
        <f t="shared" si="11"/>
        <v>Bachelor</v>
      </c>
      <c r="K381" t="s">
        <v>34</v>
      </c>
      <c r="L381">
        <v>3</v>
      </c>
      <c r="M381" t="s">
        <v>35</v>
      </c>
      <c r="N381" s="2">
        <v>97</v>
      </c>
      <c r="O381">
        <v>3</v>
      </c>
      <c r="P381">
        <v>4</v>
      </c>
      <c r="Q381" t="s">
        <v>50</v>
      </c>
      <c r="R381">
        <v>4</v>
      </c>
      <c r="S381" t="s">
        <v>37</v>
      </c>
      <c r="T381" s="2">
        <v>16659</v>
      </c>
      <c r="U381" s="2">
        <v>23258</v>
      </c>
      <c r="V381">
        <v>2</v>
      </c>
      <c r="W381" t="s">
        <v>32</v>
      </c>
      <c r="X381">
        <v>13</v>
      </c>
      <c r="Y381">
        <v>3</v>
      </c>
      <c r="Z381">
        <v>3</v>
      </c>
      <c r="AA381">
        <v>80</v>
      </c>
      <c r="AB381">
        <v>0</v>
      </c>
      <c r="AC381">
        <v>30</v>
      </c>
      <c r="AD381">
        <v>2</v>
      </c>
      <c r="AE381">
        <v>3</v>
      </c>
      <c r="AF381">
        <v>5</v>
      </c>
      <c r="AG381">
        <v>4</v>
      </c>
      <c r="AH381">
        <v>1</v>
      </c>
      <c r="AI381">
        <v>2</v>
      </c>
    </row>
    <row r="382" spans="1:35" x14ac:dyDescent="0.25">
      <c r="A382">
        <v>24</v>
      </c>
      <c r="B382" t="str">
        <f t="shared" si="10"/>
        <v>18-24</v>
      </c>
      <c r="C382" s="1" t="s">
        <v>38</v>
      </c>
      <c r="D382" s="17">
        <f>IF(Table1[[#This Row],[Attrition]]="Yes",1,0)</f>
        <v>0</v>
      </c>
      <c r="E382" t="s">
        <v>57</v>
      </c>
      <c r="F382" s="2">
        <v>1371</v>
      </c>
      <c r="G382" t="s">
        <v>33</v>
      </c>
      <c r="H382">
        <v>10</v>
      </c>
      <c r="I382">
        <v>4</v>
      </c>
      <c r="J382" t="str">
        <f t="shared" si="11"/>
        <v>Master</v>
      </c>
      <c r="K382" t="s">
        <v>53</v>
      </c>
      <c r="L382">
        <v>4</v>
      </c>
      <c r="M382" t="s">
        <v>35</v>
      </c>
      <c r="N382" s="2">
        <v>77</v>
      </c>
      <c r="O382">
        <v>3</v>
      </c>
      <c r="P382">
        <v>2</v>
      </c>
      <c r="Q382" t="s">
        <v>36</v>
      </c>
      <c r="R382">
        <v>3</v>
      </c>
      <c r="S382" t="s">
        <v>46</v>
      </c>
      <c r="T382" s="2">
        <v>4260</v>
      </c>
      <c r="U382" s="2">
        <v>5915</v>
      </c>
      <c r="V382">
        <v>1</v>
      </c>
      <c r="W382" t="s">
        <v>32</v>
      </c>
      <c r="X382">
        <v>12</v>
      </c>
      <c r="Y382">
        <v>3</v>
      </c>
      <c r="Z382">
        <v>4</v>
      </c>
      <c r="AA382">
        <v>80</v>
      </c>
      <c r="AB382">
        <v>1</v>
      </c>
      <c r="AC382">
        <v>5</v>
      </c>
      <c r="AD382">
        <v>2</v>
      </c>
      <c r="AE382">
        <v>4</v>
      </c>
      <c r="AF382">
        <v>5</v>
      </c>
      <c r="AG382">
        <v>2</v>
      </c>
      <c r="AH382">
        <v>0</v>
      </c>
      <c r="AI382">
        <v>3</v>
      </c>
    </row>
    <row r="383" spans="1:35" x14ac:dyDescent="0.25">
      <c r="A383">
        <v>30</v>
      </c>
      <c r="B383" t="str">
        <f t="shared" si="10"/>
        <v>25-34</v>
      </c>
      <c r="C383" s="1" t="s">
        <v>38</v>
      </c>
      <c r="D383" s="17">
        <f>IF(Table1[[#This Row],[Attrition]]="Yes",1,0)</f>
        <v>0</v>
      </c>
      <c r="E383" t="s">
        <v>57</v>
      </c>
      <c r="F383" s="2">
        <v>202</v>
      </c>
      <c r="G383" t="s">
        <v>33</v>
      </c>
      <c r="H383">
        <v>2</v>
      </c>
      <c r="I383">
        <v>1</v>
      </c>
      <c r="J383" t="str">
        <f t="shared" si="11"/>
        <v>Below College</v>
      </c>
      <c r="K383" t="s">
        <v>54</v>
      </c>
      <c r="L383">
        <v>3</v>
      </c>
      <c r="M383" t="s">
        <v>40</v>
      </c>
      <c r="N383" s="2">
        <v>72</v>
      </c>
      <c r="O383">
        <v>3</v>
      </c>
      <c r="P383">
        <v>1</v>
      </c>
      <c r="Q383" t="s">
        <v>51</v>
      </c>
      <c r="R383">
        <v>2</v>
      </c>
      <c r="S383" t="s">
        <v>42</v>
      </c>
      <c r="T383" s="2">
        <v>2476</v>
      </c>
      <c r="U383" s="2">
        <v>17434</v>
      </c>
      <c r="V383">
        <v>1</v>
      </c>
      <c r="W383" t="s">
        <v>38</v>
      </c>
      <c r="X383">
        <v>18</v>
      </c>
      <c r="Y383">
        <v>3</v>
      </c>
      <c r="Z383">
        <v>1</v>
      </c>
      <c r="AA383">
        <v>80</v>
      </c>
      <c r="AB383">
        <v>1</v>
      </c>
      <c r="AC383">
        <v>1</v>
      </c>
      <c r="AD383">
        <v>3</v>
      </c>
      <c r="AE383">
        <v>3</v>
      </c>
      <c r="AF383">
        <v>1</v>
      </c>
      <c r="AG383">
        <v>0</v>
      </c>
      <c r="AH383">
        <v>0</v>
      </c>
      <c r="AI383">
        <v>0</v>
      </c>
    </row>
    <row r="384" spans="1:35" x14ac:dyDescent="0.25">
      <c r="A384">
        <v>26</v>
      </c>
      <c r="B384" t="str">
        <f t="shared" si="10"/>
        <v>25-34</v>
      </c>
      <c r="C384" s="1" t="s">
        <v>32</v>
      </c>
      <c r="D384" s="17">
        <f>IF(Table1[[#This Row],[Attrition]]="Yes",1,0)</f>
        <v>1</v>
      </c>
      <c r="E384" t="s">
        <v>58</v>
      </c>
      <c r="F384" s="2">
        <v>575</v>
      </c>
      <c r="G384" t="s">
        <v>39</v>
      </c>
      <c r="H384">
        <v>3</v>
      </c>
      <c r="I384">
        <v>1</v>
      </c>
      <c r="J384" t="str">
        <f t="shared" si="11"/>
        <v>Below College</v>
      </c>
      <c r="K384" t="s">
        <v>54</v>
      </c>
      <c r="L384">
        <v>3</v>
      </c>
      <c r="M384" t="s">
        <v>40</v>
      </c>
      <c r="N384" s="2">
        <v>73</v>
      </c>
      <c r="O384">
        <v>3</v>
      </c>
      <c r="P384">
        <v>1</v>
      </c>
      <c r="Q384" t="s">
        <v>41</v>
      </c>
      <c r="R384">
        <v>1</v>
      </c>
      <c r="S384" t="s">
        <v>37</v>
      </c>
      <c r="T384" s="2">
        <v>3102</v>
      </c>
      <c r="U384" s="2">
        <v>6582</v>
      </c>
      <c r="V384">
        <v>0</v>
      </c>
      <c r="W384" t="s">
        <v>38</v>
      </c>
      <c r="X384">
        <v>22</v>
      </c>
      <c r="Y384">
        <v>4</v>
      </c>
      <c r="Z384">
        <v>3</v>
      </c>
      <c r="AA384">
        <v>80</v>
      </c>
      <c r="AB384">
        <v>0</v>
      </c>
      <c r="AC384">
        <v>7</v>
      </c>
      <c r="AD384">
        <v>2</v>
      </c>
      <c r="AE384">
        <v>3</v>
      </c>
      <c r="AF384">
        <v>6</v>
      </c>
      <c r="AG384">
        <v>4</v>
      </c>
      <c r="AH384">
        <v>0</v>
      </c>
      <c r="AI384">
        <v>4</v>
      </c>
    </row>
    <row r="385" spans="1:35" x14ac:dyDescent="0.25">
      <c r="A385">
        <v>22</v>
      </c>
      <c r="B385" t="str">
        <f t="shared" si="10"/>
        <v>18-24</v>
      </c>
      <c r="C385" s="1" t="s">
        <v>38</v>
      </c>
      <c r="D385" s="17">
        <f>IF(Table1[[#This Row],[Attrition]]="Yes",1,0)</f>
        <v>0</v>
      </c>
      <c r="E385" t="s">
        <v>57</v>
      </c>
      <c r="F385" s="2">
        <v>253</v>
      </c>
      <c r="G385" t="s">
        <v>39</v>
      </c>
      <c r="H385">
        <v>11</v>
      </c>
      <c r="I385">
        <v>3</v>
      </c>
      <c r="J385" t="str">
        <f t="shared" si="11"/>
        <v>Bachelor</v>
      </c>
      <c r="K385" t="s">
        <v>45</v>
      </c>
      <c r="L385">
        <v>1</v>
      </c>
      <c r="M385" t="s">
        <v>35</v>
      </c>
      <c r="N385" s="2">
        <v>43</v>
      </c>
      <c r="O385">
        <v>3</v>
      </c>
      <c r="P385">
        <v>1</v>
      </c>
      <c r="Q385" t="s">
        <v>41</v>
      </c>
      <c r="R385">
        <v>2</v>
      </c>
      <c r="S385" t="s">
        <v>42</v>
      </c>
      <c r="T385" s="2">
        <v>2244</v>
      </c>
      <c r="U385" s="2">
        <v>24440</v>
      </c>
      <c r="V385">
        <v>1</v>
      </c>
      <c r="W385" t="s">
        <v>38</v>
      </c>
      <c r="X385">
        <v>13</v>
      </c>
      <c r="Y385">
        <v>3</v>
      </c>
      <c r="Z385">
        <v>4</v>
      </c>
      <c r="AA385">
        <v>80</v>
      </c>
      <c r="AB385">
        <v>1</v>
      </c>
      <c r="AC385">
        <v>2</v>
      </c>
      <c r="AD385">
        <v>1</v>
      </c>
      <c r="AE385">
        <v>3</v>
      </c>
      <c r="AF385">
        <v>2</v>
      </c>
      <c r="AG385">
        <v>1</v>
      </c>
      <c r="AH385">
        <v>1</v>
      </c>
      <c r="AI385">
        <v>2</v>
      </c>
    </row>
    <row r="386" spans="1:35" x14ac:dyDescent="0.25">
      <c r="A386">
        <v>36</v>
      </c>
      <c r="B386" t="str">
        <f t="shared" ref="B386:B449" si="12">IF(A386="","",IF(A386&lt;25,"18-24",
 IF(A386&lt;35,"25-34",
 IF(A386&lt;45,"35-44",
 IF(A386&lt;55,"45-54",
 IF(A386&lt;65,"55-64","65+"))))))</f>
        <v>35-44</v>
      </c>
      <c r="C386" s="1" t="s">
        <v>38</v>
      </c>
      <c r="D386" s="17">
        <f>IF(Table1[[#This Row],[Attrition]]="Yes",1,0)</f>
        <v>0</v>
      </c>
      <c r="E386" t="s">
        <v>57</v>
      </c>
      <c r="F386" s="2">
        <v>164</v>
      </c>
      <c r="G386" t="s">
        <v>33</v>
      </c>
      <c r="H386">
        <v>2</v>
      </c>
      <c r="I386">
        <v>2</v>
      </c>
      <c r="J386" t="str">
        <f t="shared" ref="J386:J449" si="13">CHOOSE(I386,"Below College","College","Bachelor","Master","Doctor")</f>
        <v>College</v>
      </c>
      <c r="K386" t="s">
        <v>45</v>
      </c>
      <c r="L386">
        <v>2</v>
      </c>
      <c r="M386" t="s">
        <v>40</v>
      </c>
      <c r="N386" s="2">
        <v>61</v>
      </c>
      <c r="O386">
        <v>2</v>
      </c>
      <c r="P386">
        <v>3</v>
      </c>
      <c r="Q386" t="s">
        <v>36</v>
      </c>
      <c r="R386">
        <v>3</v>
      </c>
      <c r="S386" t="s">
        <v>42</v>
      </c>
      <c r="T386" s="2">
        <v>7596</v>
      </c>
      <c r="U386" s="2">
        <v>3809</v>
      </c>
      <c r="V386">
        <v>1</v>
      </c>
      <c r="W386" t="s">
        <v>38</v>
      </c>
      <c r="X386">
        <v>13</v>
      </c>
      <c r="Y386">
        <v>3</v>
      </c>
      <c r="Z386">
        <v>2</v>
      </c>
      <c r="AA386">
        <v>80</v>
      </c>
      <c r="AB386">
        <v>2</v>
      </c>
      <c r="AC386">
        <v>10</v>
      </c>
      <c r="AD386">
        <v>2</v>
      </c>
      <c r="AE386">
        <v>3</v>
      </c>
      <c r="AF386">
        <v>10</v>
      </c>
      <c r="AG386">
        <v>9</v>
      </c>
      <c r="AH386">
        <v>9</v>
      </c>
      <c r="AI386">
        <v>0</v>
      </c>
    </row>
    <row r="387" spans="1:35" x14ac:dyDescent="0.25">
      <c r="A387">
        <v>30</v>
      </c>
      <c r="B387" t="str">
        <f t="shared" si="12"/>
        <v>25-34</v>
      </c>
      <c r="C387" s="1" t="s">
        <v>32</v>
      </c>
      <c r="D387" s="17">
        <f>IF(Table1[[#This Row],[Attrition]]="Yes",1,0)</f>
        <v>1</v>
      </c>
      <c r="E387" t="s">
        <v>58</v>
      </c>
      <c r="F387" s="2">
        <v>464</v>
      </c>
      <c r="G387" t="s">
        <v>39</v>
      </c>
      <c r="H387">
        <v>4</v>
      </c>
      <c r="I387">
        <v>3</v>
      </c>
      <c r="J387" t="str">
        <f t="shared" si="13"/>
        <v>Bachelor</v>
      </c>
      <c r="K387" t="s">
        <v>54</v>
      </c>
      <c r="L387">
        <v>3</v>
      </c>
      <c r="M387" t="s">
        <v>40</v>
      </c>
      <c r="N387" s="2">
        <v>40</v>
      </c>
      <c r="O387">
        <v>3</v>
      </c>
      <c r="P387">
        <v>1</v>
      </c>
      <c r="Q387" t="s">
        <v>41</v>
      </c>
      <c r="R387">
        <v>4</v>
      </c>
      <c r="S387" t="s">
        <v>37</v>
      </c>
      <c r="T387" s="2">
        <v>2285</v>
      </c>
      <c r="U387" s="2">
        <v>3427</v>
      </c>
      <c r="V387">
        <v>9</v>
      </c>
      <c r="W387" t="s">
        <v>32</v>
      </c>
      <c r="X387">
        <v>23</v>
      </c>
      <c r="Y387">
        <v>4</v>
      </c>
      <c r="Z387">
        <v>3</v>
      </c>
      <c r="AA387">
        <v>80</v>
      </c>
      <c r="AB387">
        <v>0</v>
      </c>
      <c r="AC387">
        <v>3</v>
      </c>
      <c r="AD387">
        <v>4</v>
      </c>
      <c r="AE387">
        <v>3</v>
      </c>
      <c r="AF387">
        <v>1</v>
      </c>
      <c r="AG387">
        <v>0</v>
      </c>
      <c r="AH387">
        <v>0</v>
      </c>
      <c r="AI387">
        <v>0</v>
      </c>
    </row>
    <row r="388" spans="1:35" x14ac:dyDescent="0.25">
      <c r="A388">
        <v>37</v>
      </c>
      <c r="B388" t="str">
        <f t="shared" si="12"/>
        <v>35-44</v>
      </c>
      <c r="C388" s="1" t="s">
        <v>38</v>
      </c>
      <c r="D388" s="17">
        <f>IF(Table1[[#This Row],[Attrition]]="Yes",1,0)</f>
        <v>0</v>
      </c>
      <c r="E388" t="s">
        <v>57</v>
      </c>
      <c r="F388" s="2">
        <v>1107</v>
      </c>
      <c r="G388" t="s">
        <v>39</v>
      </c>
      <c r="H388">
        <v>14</v>
      </c>
      <c r="I388">
        <v>3</v>
      </c>
      <c r="J388" t="str">
        <f t="shared" si="13"/>
        <v>Bachelor</v>
      </c>
      <c r="K388" t="s">
        <v>34</v>
      </c>
      <c r="L388">
        <v>4</v>
      </c>
      <c r="M388" t="s">
        <v>35</v>
      </c>
      <c r="N388" s="2">
        <v>95</v>
      </c>
      <c r="O388">
        <v>3</v>
      </c>
      <c r="P388">
        <v>1</v>
      </c>
      <c r="Q388" t="s">
        <v>44</v>
      </c>
      <c r="R388">
        <v>1</v>
      </c>
      <c r="S388" t="s">
        <v>46</v>
      </c>
      <c r="T388" s="2">
        <v>3034</v>
      </c>
      <c r="U388" s="2">
        <v>26914</v>
      </c>
      <c r="V388">
        <v>1</v>
      </c>
      <c r="W388" t="s">
        <v>38</v>
      </c>
      <c r="X388">
        <v>12</v>
      </c>
      <c r="Y388">
        <v>3</v>
      </c>
      <c r="Z388">
        <v>3</v>
      </c>
      <c r="AA388">
        <v>80</v>
      </c>
      <c r="AB388">
        <v>1</v>
      </c>
      <c r="AC388">
        <v>18</v>
      </c>
      <c r="AD388">
        <v>2</v>
      </c>
      <c r="AE388">
        <v>2</v>
      </c>
      <c r="AF388">
        <v>18</v>
      </c>
      <c r="AG388">
        <v>7</v>
      </c>
      <c r="AH388">
        <v>12</v>
      </c>
      <c r="AI388">
        <v>17</v>
      </c>
    </row>
    <row r="389" spans="1:35" x14ac:dyDescent="0.25">
      <c r="A389">
        <v>40</v>
      </c>
      <c r="B389" t="str">
        <f t="shared" si="12"/>
        <v>35-44</v>
      </c>
      <c r="C389" s="1" t="s">
        <v>38</v>
      </c>
      <c r="D389" s="17">
        <f>IF(Table1[[#This Row],[Attrition]]="Yes",1,0)</f>
        <v>0</v>
      </c>
      <c r="E389" t="s">
        <v>57</v>
      </c>
      <c r="F389" s="2">
        <v>759</v>
      </c>
      <c r="G389" t="s">
        <v>33</v>
      </c>
      <c r="H389">
        <v>2</v>
      </c>
      <c r="I389">
        <v>2</v>
      </c>
      <c r="J389" t="str">
        <f t="shared" si="13"/>
        <v>College</v>
      </c>
      <c r="K389" t="s">
        <v>53</v>
      </c>
      <c r="L389">
        <v>4</v>
      </c>
      <c r="M389" t="s">
        <v>35</v>
      </c>
      <c r="N389" s="2">
        <v>46</v>
      </c>
      <c r="O389">
        <v>3</v>
      </c>
      <c r="P389">
        <v>2</v>
      </c>
      <c r="Q389" t="s">
        <v>36</v>
      </c>
      <c r="R389">
        <v>2</v>
      </c>
      <c r="S389" t="s">
        <v>46</v>
      </c>
      <c r="T389" s="2">
        <v>5715</v>
      </c>
      <c r="U389" s="2">
        <v>22553</v>
      </c>
      <c r="V389">
        <v>7</v>
      </c>
      <c r="W389" t="s">
        <v>38</v>
      </c>
      <c r="X389">
        <v>12</v>
      </c>
      <c r="Y389">
        <v>3</v>
      </c>
      <c r="Z389">
        <v>3</v>
      </c>
      <c r="AA389">
        <v>80</v>
      </c>
      <c r="AB389">
        <v>2</v>
      </c>
      <c r="AC389">
        <v>8</v>
      </c>
      <c r="AD389">
        <v>5</v>
      </c>
      <c r="AE389">
        <v>3</v>
      </c>
      <c r="AF389">
        <v>5</v>
      </c>
      <c r="AG389">
        <v>4</v>
      </c>
      <c r="AH389">
        <v>1</v>
      </c>
      <c r="AI389">
        <v>3</v>
      </c>
    </row>
    <row r="390" spans="1:35" x14ac:dyDescent="0.25">
      <c r="A390">
        <v>42</v>
      </c>
      <c r="B390" t="str">
        <f t="shared" si="12"/>
        <v>35-44</v>
      </c>
      <c r="C390" s="1" t="s">
        <v>38</v>
      </c>
      <c r="D390" s="17">
        <f>IF(Table1[[#This Row],[Attrition]]="Yes",1,0)</f>
        <v>0</v>
      </c>
      <c r="E390" t="s">
        <v>57</v>
      </c>
      <c r="F390" s="2">
        <v>201</v>
      </c>
      <c r="G390" t="s">
        <v>39</v>
      </c>
      <c r="H390">
        <v>1</v>
      </c>
      <c r="I390">
        <v>4</v>
      </c>
      <c r="J390" t="str">
        <f t="shared" si="13"/>
        <v>Master</v>
      </c>
      <c r="K390" t="s">
        <v>34</v>
      </c>
      <c r="L390">
        <v>2</v>
      </c>
      <c r="M390" t="s">
        <v>35</v>
      </c>
      <c r="N390" s="2">
        <v>95</v>
      </c>
      <c r="O390">
        <v>3</v>
      </c>
      <c r="P390">
        <v>1</v>
      </c>
      <c r="Q390" t="s">
        <v>44</v>
      </c>
      <c r="R390">
        <v>1</v>
      </c>
      <c r="S390" t="s">
        <v>46</v>
      </c>
      <c r="T390" s="2">
        <v>2576</v>
      </c>
      <c r="U390" s="2">
        <v>20490</v>
      </c>
      <c r="V390">
        <v>3</v>
      </c>
      <c r="W390" t="s">
        <v>38</v>
      </c>
      <c r="X390">
        <v>16</v>
      </c>
      <c r="Y390">
        <v>3</v>
      </c>
      <c r="Z390">
        <v>2</v>
      </c>
      <c r="AA390">
        <v>80</v>
      </c>
      <c r="AB390">
        <v>1</v>
      </c>
      <c r="AC390">
        <v>8</v>
      </c>
      <c r="AD390">
        <v>5</v>
      </c>
      <c r="AE390">
        <v>3</v>
      </c>
      <c r="AF390">
        <v>5</v>
      </c>
      <c r="AG390">
        <v>2</v>
      </c>
      <c r="AH390">
        <v>1</v>
      </c>
      <c r="AI390">
        <v>2</v>
      </c>
    </row>
    <row r="391" spans="1:35" x14ac:dyDescent="0.25">
      <c r="A391">
        <v>37</v>
      </c>
      <c r="B391" t="str">
        <f t="shared" si="12"/>
        <v>35-44</v>
      </c>
      <c r="C391" s="1" t="s">
        <v>38</v>
      </c>
      <c r="D391" s="17">
        <f>IF(Table1[[#This Row],[Attrition]]="Yes",1,0)</f>
        <v>0</v>
      </c>
      <c r="E391" t="s">
        <v>57</v>
      </c>
      <c r="F391" s="2">
        <v>1305</v>
      </c>
      <c r="G391" t="s">
        <v>39</v>
      </c>
      <c r="H391">
        <v>10</v>
      </c>
      <c r="I391">
        <v>4</v>
      </c>
      <c r="J391" t="str">
        <f t="shared" si="13"/>
        <v>Master</v>
      </c>
      <c r="K391" t="s">
        <v>34</v>
      </c>
      <c r="L391">
        <v>3</v>
      </c>
      <c r="M391" t="s">
        <v>40</v>
      </c>
      <c r="N391" s="2">
        <v>49</v>
      </c>
      <c r="O391">
        <v>3</v>
      </c>
      <c r="P391">
        <v>2</v>
      </c>
      <c r="Q391" t="s">
        <v>47</v>
      </c>
      <c r="R391">
        <v>2</v>
      </c>
      <c r="S391" t="s">
        <v>37</v>
      </c>
      <c r="T391" s="2">
        <v>4197</v>
      </c>
      <c r="U391" s="2">
        <v>21123</v>
      </c>
      <c r="V391">
        <v>2</v>
      </c>
      <c r="W391" t="s">
        <v>32</v>
      </c>
      <c r="X391">
        <v>12</v>
      </c>
      <c r="Y391">
        <v>3</v>
      </c>
      <c r="Z391">
        <v>4</v>
      </c>
      <c r="AA391">
        <v>80</v>
      </c>
      <c r="AB391">
        <v>0</v>
      </c>
      <c r="AC391">
        <v>18</v>
      </c>
      <c r="AD391">
        <v>2</v>
      </c>
      <c r="AE391">
        <v>2</v>
      </c>
      <c r="AF391">
        <v>1</v>
      </c>
      <c r="AG391">
        <v>0</v>
      </c>
      <c r="AH391">
        <v>0</v>
      </c>
      <c r="AI391">
        <v>1</v>
      </c>
    </row>
    <row r="392" spans="1:35" x14ac:dyDescent="0.25">
      <c r="A392">
        <v>43</v>
      </c>
      <c r="B392" t="str">
        <f t="shared" si="12"/>
        <v>35-44</v>
      </c>
      <c r="C392" s="1" t="s">
        <v>38</v>
      </c>
      <c r="D392" s="17">
        <f>IF(Table1[[#This Row],[Attrition]]="Yes",1,0)</f>
        <v>0</v>
      </c>
      <c r="E392" t="s">
        <v>57</v>
      </c>
      <c r="F392" s="2">
        <v>982</v>
      </c>
      <c r="G392" t="s">
        <v>39</v>
      </c>
      <c r="H392">
        <v>12</v>
      </c>
      <c r="I392">
        <v>3</v>
      </c>
      <c r="J392" t="str">
        <f t="shared" si="13"/>
        <v>Bachelor</v>
      </c>
      <c r="K392" t="s">
        <v>34</v>
      </c>
      <c r="L392">
        <v>1</v>
      </c>
      <c r="M392" t="s">
        <v>40</v>
      </c>
      <c r="N392" s="2">
        <v>59</v>
      </c>
      <c r="O392">
        <v>2</v>
      </c>
      <c r="P392">
        <v>4</v>
      </c>
      <c r="Q392" t="s">
        <v>52</v>
      </c>
      <c r="R392">
        <v>2</v>
      </c>
      <c r="S392" t="s">
        <v>46</v>
      </c>
      <c r="T392" s="2">
        <v>14336</v>
      </c>
      <c r="U392" s="2">
        <v>4345</v>
      </c>
      <c r="V392">
        <v>1</v>
      </c>
      <c r="W392" t="s">
        <v>38</v>
      </c>
      <c r="X392">
        <v>11</v>
      </c>
      <c r="Y392">
        <v>3</v>
      </c>
      <c r="Z392">
        <v>3</v>
      </c>
      <c r="AA392">
        <v>80</v>
      </c>
      <c r="AB392">
        <v>1</v>
      </c>
      <c r="AC392">
        <v>25</v>
      </c>
      <c r="AD392">
        <v>3</v>
      </c>
      <c r="AE392">
        <v>3</v>
      </c>
      <c r="AF392">
        <v>25</v>
      </c>
      <c r="AG392">
        <v>10</v>
      </c>
      <c r="AH392">
        <v>3</v>
      </c>
      <c r="AI392">
        <v>9</v>
      </c>
    </row>
    <row r="393" spans="1:35" x14ac:dyDescent="0.25">
      <c r="A393">
        <v>40</v>
      </c>
      <c r="B393" t="str">
        <f t="shared" si="12"/>
        <v>35-44</v>
      </c>
      <c r="C393" s="1" t="s">
        <v>38</v>
      </c>
      <c r="D393" s="17">
        <f>IF(Table1[[#This Row],[Attrition]]="Yes",1,0)</f>
        <v>0</v>
      </c>
      <c r="E393" t="s">
        <v>57</v>
      </c>
      <c r="F393" s="2">
        <v>555</v>
      </c>
      <c r="G393" t="s">
        <v>39</v>
      </c>
      <c r="H393">
        <v>2</v>
      </c>
      <c r="I393">
        <v>3</v>
      </c>
      <c r="J393" t="str">
        <f t="shared" si="13"/>
        <v>Bachelor</v>
      </c>
      <c r="K393" t="s">
        <v>45</v>
      </c>
      <c r="L393">
        <v>2</v>
      </c>
      <c r="M393" t="s">
        <v>35</v>
      </c>
      <c r="N393" s="2">
        <v>78</v>
      </c>
      <c r="O393">
        <v>2</v>
      </c>
      <c r="P393">
        <v>2</v>
      </c>
      <c r="Q393" t="s">
        <v>44</v>
      </c>
      <c r="R393">
        <v>3</v>
      </c>
      <c r="S393" t="s">
        <v>42</v>
      </c>
      <c r="T393" s="2">
        <v>3448</v>
      </c>
      <c r="U393" s="2">
        <v>13436</v>
      </c>
      <c r="V393">
        <v>6</v>
      </c>
      <c r="W393" t="s">
        <v>38</v>
      </c>
      <c r="X393">
        <v>22</v>
      </c>
      <c r="Y393">
        <v>4</v>
      </c>
      <c r="Z393">
        <v>2</v>
      </c>
      <c r="AA393">
        <v>80</v>
      </c>
      <c r="AB393">
        <v>1</v>
      </c>
      <c r="AC393">
        <v>20</v>
      </c>
      <c r="AD393">
        <v>3</v>
      </c>
      <c r="AE393">
        <v>3</v>
      </c>
      <c r="AF393">
        <v>1</v>
      </c>
      <c r="AG393">
        <v>0</v>
      </c>
      <c r="AH393">
        <v>0</v>
      </c>
      <c r="AI393">
        <v>0</v>
      </c>
    </row>
    <row r="394" spans="1:35" x14ac:dyDescent="0.25">
      <c r="A394">
        <v>54</v>
      </c>
      <c r="B394" t="str">
        <f t="shared" si="12"/>
        <v>45-54</v>
      </c>
      <c r="C394" s="1" t="s">
        <v>38</v>
      </c>
      <c r="D394" s="17">
        <f>IF(Table1[[#This Row],[Attrition]]="Yes",1,0)</f>
        <v>0</v>
      </c>
      <c r="E394" t="s">
        <v>57</v>
      </c>
      <c r="F394" s="2">
        <v>821</v>
      </c>
      <c r="G394" t="s">
        <v>39</v>
      </c>
      <c r="H394">
        <v>5</v>
      </c>
      <c r="I394">
        <v>2</v>
      </c>
      <c r="J394" t="str">
        <f t="shared" si="13"/>
        <v>College</v>
      </c>
      <c r="K394" t="s">
        <v>45</v>
      </c>
      <c r="L394">
        <v>1</v>
      </c>
      <c r="M394" t="s">
        <v>40</v>
      </c>
      <c r="N394" s="2">
        <v>86</v>
      </c>
      <c r="O394">
        <v>3</v>
      </c>
      <c r="P394">
        <v>5</v>
      </c>
      <c r="Q394" t="s">
        <v>52</v>
      </c>
      <c r="R394">
        <v>1</v>
      </c>
      <c r="S394" t="s">
        <v>42</v>
      </c>
      <c r="T394" s="2">
        <v>19406</v>
      </c>
      <c r="U394" s="2">
        <v>8509</v>
      </c>
      <c r="V394">
        <v>4</v>
      </c>
      <c r="W394" t="s">
        <v>38</v>
      </c>
      <c r="X394">
        <v>11</v>
      </c>
      <c r="Y394">
        <v>3</v>
      </c>
      <c r="Z394">
        <v>3</v>
      </c>
      <c r="AA394">
        <v>80</v>
      </c>
      <c r="AB394">
        <v>1</v>
      </c>
      <c r="AC394">
        <v>24</v>
      </c>
      <c r="AD394">
        <v>4</v>
      </c>
      <c r="AE394">
        <v>2</v>
      </c>
      <c r="AF394">
        <v>4</v>
      </c>
      <c r="AG394">
        <v>2</v>
      </c>
      <c r="AH394">
        <v>1</v>
      </c>
      <c r="AI394">
        <v>2</v>
      </c>
    </row>
    <row r="395" spans="1:35" x14ac:dyDescent="0.25">
      <c r="A395">
        <v>34</v>
      </c>
      <c r="B395" t="str">
        <f t="shared" si="12"/>
        <v>25-34</v>
      </c>
      <c r="C395" s="1" t="s">
        <v>38</v>
      </c>
      <c r="D395" s="17">
        <f>IF(Table1[[#This Row],[Attrition]]="Yes",1,0)</f>
        <v>0</v>
      </c>
      <c r="E395" t="s">
        <v>49</v>
      </c>
      <c r="F395" s="2">
        <v>1381</v>
      </c>
      <c r="G395" t="s">
        <v>33</v>
      </c>
      <c r="H395">
        <v>4</v>
      </c>
      <c r="I395">
        <v>4</v>
      </c>
      <c r="J395" t="str">
        <f t="shared" si="13"/>
        <v>Master</v>
      </c>
      <c r="K395" t="s">
        <v>53</v>
      </c>
      <c r="L395">
        <v>3</v>
      </c>
      <c r="M395" t="s">
        <v>35</v>
      </c>
      <c r="N395" s="2">
        <v>72</v>
      </c>
      <c r="O395">
        <v>3</v>
      </c>
      <c r="P395">
        <v>2</v>
      </c>
      <c r="Q395" t="s">
        <v>36</v>
      </c>
      <c r="R395">
        <v>3</v>
      </c>
      <c r="S395" t="s">
        <v>42</v>
      </c>
      <c r="T395" s="2">
        <v>6538</v>
      </c>
      <c r="U395" s="2">
        <v>12740</v>
      </c>
      <c r="V395">
        <v>9</v>
      </c>
      <c r="W395" t="s">
        <v>38</v>
      </c>
      <c r="X395">
        <v>15</v>
      </c>
      <c r="Y395">
        <v>3</v>
      </c>
      <c r="Z395">
        <v>1</v>
      </c>
      <c r="AA395">
        <v>80</v>
      </c>
      <c r="AB395">
        <v>1</v>
      </c>
      <c r="AC395">
        <v>6</v>
      </c>
      <c r="AD395">
        <v>3</v>
      </c>
      <c r="AE395">
        <v>3</v>
      </c>
      <c r="AF395">
        <v>3</v>
      </c>
      <c r="AG395">
        <v>2</v>
      </c>
      <c r="AH395">
        <v>1</v>
      </c>
      <c r="AI395">
        <v>2</v>
      </c>
    </row>
    <row r="396" spans="1:35" x14ac:dyDescent="0.25">
      <c r="A396">
        <v>31</v>
      </c>
      <c r="B396" t="str">
        <f t="shared" si="12"/>
        <v>25-34</v>
      </c>
      <c r="C396" s="1" t="s">
        <v>38</v>
      </c>
      <c r="D396" s="17">
        <f>IF(Table1[[#This Row],[Attrition]]="Yes",1,0)</f>
        <v>0</v>
      </c>
      <c r="E396" t="s">
        <v>57</v>
      </c>
      <c r="F396" s="2">
        <v>480</v>
      </c>
      <c r="G396" t="s">
        <v>39</v>
      </c>
      <c r="H396">
        <v>7</v>
      </c>
      <c r="I396">
        <v>2</v>
      </c>
      <c r="J396" t="str">
        <f t="shared" si="13"/>
        <v>College</v>
      </c>
      <c r="K396" t="s">
        <v>45</v>
      </c>
      <c r="L396">
        <v>2</v>
      </c>
      <c r="M396" t="s">
        <v>35</v>
      </c>
      <c r="N396" s="2">
        <v>31</v>
      </c>
      <c r="O396">
        <v>3</v>
      </c>
      <c r="P396">
        <v>2</v>
      </c>
      <c r="Q396" t="s">
        <v>47</v>
      </c>
      <c r="R396">
        <v>1</v>
      </c>
      <c r="S396" t="s">
        <v>42</v>
      </c>
      <c r="T396" s="2">
        <v>4306</v>
      </c>
      <c r="U396" s="2">
        <v>4156</v>
      </c>
      <c r="V396">
        <v>1</v>
      </c>
      <c r="W396" t="s">
        <v>38</v>
      </c>
      <c r="X396">
        <v>12</v>
      </c>
      <c r="Y396">
        <v>3</v>
      </c>
      <c r="Z396">
        <v>2</v>
      </c>
      <c r="AA396">
        <v>80</v>
      </c>
      <c r="AB396">
        <v>1</v>
      </c>
      <c r="AC396">
        <v>13</v>
      </c>
      <c r="AD396">
        <v>5</v>
      </c>
      <c r="AE396">
        <v>1</v>
      </c>
      <c r="AF396">
        <v>13</v>
      </c>
      <c r="AG396">
        <v>10</v>
      </c>
      <c r="AH396">
        <v>3</v>
      </c>
      <c r="AI396">
        <v>12</v>
      </c>
    </row>
    <row r="397" spans="1:35" x14ac:dyDescent="0.25">
      <c r="A397">
        <v>43</v>
      </c>
      <c r="B397" t="str">
        <f t="shared" si="12"/>
        <v>35-44</v>
      </c>
      <c r="C397" s="1" t="s">
        <v>38</v>
      </c>
      <c r="D397" s="17">
        <f>IF(Table1[[#This Row],[Attrition]]="Yes",1,0)</f>
        <v>0</v>
      </c>
      <c r="E397" t="s">
        <v>58</v>
      </c>
      <c r="F397" s="2">
        <v>313</v>
      </c>
      <c r="G397" t="s">
        <v>39</v>
      </c>
      <c r="H397">
        <v>21</v>
      </c>
      <c r="I397">
        <v>3</v>
      </c>
      <c r="J397" t="str">
        <f t="shared" si="13"/>
        <v>Bachelor</v>
      </c>
      <c r="K397" t="s">
        <v>45</v>
      </c>
      <c r="L397">
        <v>4</v>
      </c>
      <c r="M397" t="s">
        <v>40</v>
      </c>
      <c r="N397" s="2">
        <v>61</v>
      </c>
      <c r="O397">
        <v>3</v>
      </c>
      <c r="P397">
        <v>1</v>
      </c>
      <c r="Q397" t="s">
        <v>44</v>
      </c>
      <c r="R397">
        <v>4</v>
      </c>
      <c r="S397" t="s">
        <v>42</v>
      </c>
      <c r="T397" s="2">
        <v>2258</v>
      </c>
      <c r="U397" s="2">
        <v>15238</v>
      </c>
      <c r="V397">
        <v>7</v>
      </c>
      <c r="W397" t="s">
        <v>38</v>
      </c>
      <c r="X397">
        <v>20</v>
      </c>
      <c r="Y397">
        <v>4</v>
      </c>
      <c r="Z397">
        <v>1</v>
      </c>
      <c r="AA397">
        <v>80</v>
      </c>
      <c r="AB397">
        <v>1</v>
      </c>
      <c r="AC397">
        <v>8</v>
      </c>
      <c r="AD397">
        <v>1</v>
      </c>
      <c r="AE397">
        <v>3</v>
      </c>
      <c r="AF397">
        <v>3</v>
      </c>
      <c r="AG397">
        <v>2</v>
      </c>
      <c r="AH397">
        <v>1</v>
      </c>
      <c r="AI397">
        <v>2</v>
      </c>
    </row>
    <row r="398" spans="1:35" x14ac:dyDescent="0.25">
      <c r="A398">
        <v>43</v>
      </c>
      <c r="B398" t="str">
        <f t="shared" si="12"/>
        <v>35-44</v>
      </c>
      <c r="C398" s="1" t="s">
        <v>38</v>
      </c>
      <c r="D398" s="17">
        <f>IF(Table1[[#This Row],[Attrition]]="Yes",1,0)</f>
        <v>0</v>
      </c>
      <c r="E398" t="s">
        <v>57</v>
      </c>
      <c r="F398" s="2">
        <v>1473</v>
      </c>
      <c r="G398" t="s">
        <v>39</v>
      </c>
      <c r="H398">
        <v>8</v>
      </c>
      <c r="I398">
        <v>4</v>
      </c>
      <c r="J398" t="str">
        <f t="shared" si="13"/>
        <v>Master</v>
      </c>
      <c r="K398" t="s">
        <v>43</v>
      </c>
      <c r="L398">
        <v>3</v>
      </c>
      <c r="M398" t="s">
        <v>35</v>
      </c>
      <c r="N398" s="2">
        <v>74</v>
      </c>
      <c r="O398">
        <v>3</v>
      </c>
      <c r="P398">
        <v>2</v>
      </c>
      <c r="Q398" t="s">
        <v>48</v>
      </c>
      <c r="R398">
        <v>3</v>
      </c>
      <c r="S398" t="s">
        <v>46</v>
      </c>
      <c r="T398" s="2">
        <v>4522</v>
      </c>
      <c r="U398" s="2">
        <v>2227</v>
      </c>
      <c r="V398">
        <v>4</v>
      </c>
      <c r="W398" t="s">
        <v>32</v>
      </c>
      <c r="X398">
        <v>14</v>
      </c>
      <c r="Y398">
        <v>3</v>
      </c>
      <c r="Z398">
        <v>4</v>
      </c>
      <c r="AA398">
        <v>80</v>
      </c>
      <c r="AB398">
        <v>0</v>
      </c>
      <c r="AC398">
        <v>8</v>
      </c>
      <c r="AD398">
        <v>3</v>
      </c>
      <c r="AE398">
        <v>3</v>
      </c>
      <c r="AF398">
        <v>5</v>
      </c>
      <c r="AG398">
        <v>2</v>
      </c>
      <c r="AH398">
        <v>0</v>
      </c>
      <c r="AI398">
        <v>2</v>
      </c>
    </row>
    <row r="399" spans="1:35" x14ac:dyDescent="0.25">
      <c r="A399">
        <v>25</v>
      </c>
      <c r="B399" t="str">
        <f t="shared" si="12"/>
        <v>25-34</v>
      </c>
      <c r="C399" s="1" t="s">
        <v>38</v>
      </c>
      <c r="D399" s="17">
        <f>IF(Table1[[#This Row],[Attrition]]="Yes",1,0)</f>
        <v>0</v>
      </c>
      <c r="E399" t="s">
        <v>57</v>
      </c>
      <c r="F399" s="2">
        <v>891</v>
      </c>
      <c r="G399" t="s">
        <v>33</v>
      </c>
      <c r="H399">
        <v>4</v>
      </c>
      <c r="I399">
        <v>2</v>
      </c>
      <c r="J399" t="str">
        <f t="shared" si="13"/>
        <v>College</v>
      </c>
      <c r="K399" t="s">
        <v>34</v>
      </c>
      <c r="L399">
        <v>2</v>
      </c>
      <c r="M399" t="s">
        <v>35</v>
      </c>
      <c r="N399" s="2">
        <v>99</v>
      </c>
      <c r="O399">
        <v>2</v>
      </c>
      <c r="P399">
        <v>2</v>
      </c>
      <c r="Q399" t="s">
        <v>36</v>
      </c>
      <c r="R399">
        <v>4</v>
      </c>
      <c r="S399" t="s">
        <v>37</v>
      </c>
      <c r="T399" s="2">
        <v>4487</v>
      </c>
      <c r="U399" s="2">
        <v>12090</v>
      </c>
      <c r="V399">
        <v>1</v>
      </c>
      <c r="W399" t="s">
        <v>32</v>
      </c>
      <c r="X399">
        <v>11</v>
      </c>
      <c r="Y399">
        <v>3</v>
      </c>
      <c r="Z399">
        <v>2</v>
      </c>
      <c r="AA399">
        <v>80</v>
      </c>
      <c r="AB399">
        <v>0</v>
      </c>
      <c r="AC399">
        <v>5</v>
      </c>
      <c r="AD399">
        <v>3</v>
      </c>
      <c r="AE399">
        <v>3</v>
      </c>
      <c r="AF399">
        <v>5</v>
      </c>
      <c r="AG399">
        <v>4</v>
      </c>
      <c r="AH399">
        <v>1</v>
      </c>
      <c r="AI399">
        <v>3</v>
      </c>
    </row>
    <row r="400" spans="1:35" x14ac:dyDescent="0.25">
      <c r="A400">
        <v>37</v>
      </c>
      <c r="B400" t="str">
        <f t="shared" si="12"/>
        <v>35-44</v>
      </c>
      <c r="C400" s="1" t="s">
        <v>38</v>
      </c>
      <c r="D400" s="17">
        <f>IF(Table1[[#This Row],[Attrition]]="Yes",1,0)</f>
        <v>0</v>
      </c>
      <c r="E400" t="s">
        <v>49</v>
      </c>
      <c r="F400" s="2">
        <v>1063</v>
      </c>
      <c r="G400" t="s">
        <v>39</v>
      </c>
      <c r="H400">
        <v>25</v>
      </c>
      <c r="I400">
        <v>5</v>
      </c>
      <c r="J400" t="str">
        <f t="shared" si="13"/>
        <v>Doctor</v>
      </c>
      <c r="K400" t="s">
        <v>45</v>
      </c>
      <c r="L400">
        <v>2</v>
      </c>
      <c r="M400" t="s">
        <v>35</v>
      </c>
      <c r="N400" s="2">
        <v>72</v>
      </c>
      <c r="O400">
        <v>3</v>
      </c>
      <c r="P400">
        <v>2</v>
      </c>
      <c r="Q400" t="s">
        <v>41</v>
      </c>
      <c r="R400">
        <v>3</v>
      </c>
      <c r="S400" t="s">
        <v>42</v>
      </c>
      <c r="T400" s="2">
        <v>4449</v>
      </c>
      <c r="U400" s="2">
        <v>23866</v>
      </c>
      <c r="V400">
        <v>3</v>
      </c>
      <c r="W400" t="s">
        <v>32</v>
      </c>
      <c r="X400">
        <v>15</v>
      </c>
      <c r="Y400">
        <v>3</v>
      </c>
      <c r="Z400">
        <v>1</v>
      </c>
      <c r="AA400">
        <v>80</v>
      </c>
      <c r="AB400">
        <v>2</v>
      </c>
      <c r="AC400">
        <v>15</v>
      </c>
      <c r="AD400">
        <v>2</v>
      </c>
      <c r="AE400">
        <v>3</v>
      </c>
      <c r="AF400">
        <v>13</v>
      </c>
      <c r="AG400">
        <v>11</v>
      </c>
      <c r="AH400">
        <v>10</v>
      </c>
      <c r="AI400">
        <v>7</v>
      </c>
    </row>
    <row r="401" spans="1:35" x14ac:dyDescent="0.25">
      <c r="A401">
        <v>31</v>
      </c>
      <c r="B401" t="str">
        <f t="shared" si="12"/>
        <v>25-34</v>
      </c>
      <c r="C401" s="1" t="s">
        <v>38</v>
      </c>
      <c r="D401" s="17">
        <f>IF(Table1[[#This Row],[Attrition]]="Yes",1,0)</f>
        <v>0</v>
      </c>
      <c r="E401" t="s">
        <v>57</v>
      </c>
      <c r="F401" s="2">
        <v>329</v>
      </c>
      <c r="G401" t="s">
        <v>39</v>
      </c>
      <c r="H401">
        <v>1</v>
      </c>
      <c r="I401">
        <v>2</v>
      </c>
      <c r="J401" t="str">
        <f t="shared" si="13"/>
        <v>College</v>
      </c>
      <c r="K401" t="s">
        <v>34</v>
      </c>
      <c r="L401">
        <v>4</v>
      </c>
      <c r="M401" t="s">
        <v>40</v>
      </c>
      <c r="N401" s="2">
        <v>98</v>
      </c>
      <c r="O401">
        <v>2</v>
      </c>
      <c r="P401">
        <v>1</v>
      </c>
      <c r="Q401" t="s">
        <v>44</v>
      </c>
      <c r="R401">
        <v>1</v>
      </c>
      <c r="S401" t="s">
        <v>42</v>
      </c>
      <c r="T401" s="2">
        <v>2218</v>
      </c>
      <c r="U401" s="2">
        <v>16193</v>
      </c>
      <c r="V401">
        <v>1</v>
      </c>
      <c r="W401" t="s">
        <v>38</v>
      </c>
      <c r="X401">
        <v>12</v>
      </c>
      <c r="Y401">
        <v>3</v>
      </c>
      <c r="Z401">
        <v>3</v>
      </c>
      <c r="AA401">
        <v>80</v>
      </c>
      <c r="AB401">
        <v>1</v>
      </c>
      <c r="AC401">
        <v>4</v>
      </c>
      <c r="AD401">
        <v>3</v>
      </c>
      <c r="AE401">
        <v>3</v>
      </c>
      <c r="AF401">
        <v>4</v>
      </c>
      <c r="AG401">
        <v>2</v>
      </c>
      <c r="AH401">
        <v>3</v>
      </c>
      <c r="AI401">
        <v>2</v>
      </c>
    </row>
    <row r="402" spans="1:35" x14ac:dyDescent="0.25">
      <c r="A402">
        <v>39</v>
      </c>
      <c r="B402" t="str">
        <f t="shared" si="12"/>
        <v>35-44</v>
      </c>
      <c r="C402" s="1" t="s">
        <v>38</v>
      </c>
      <c r="D402" s="17">
        <f>IF(Table1[[#This Row],[Attrition]]="Yes",1,0)</f>
        <v>0</v>
      </c>
      <c r="E402" t="s">
        <v>58</v>
      </c>
      <c r="F402" s="2">
        <v>1218</v>
      </c>
      <c r="G402" t="s">
        <v>39</v>
      </c>
      <c r="H402">
        <v>1</v>
      </c>
      <c r="I402">
        <v>1</v>
      </c>
      <c r="J402" t="str">
        <f t="shared" si="13"/>
        <v>Below College</v>
      </c>
      <c r="K402" t="s">
        <v>34</v>
      </c>
      <c r="L402">
        <v>2</v>
      </c>
      <c r="M402" t="s">
        <v>40</v>
      </c>
      <c r="N402" s="2">
        <v>52</v>
      </c>
      <c r="O402">
        <v>3</v>
      </c>
      <c r="P402">
        <v>5</v>
      </c>
      <c r="Q402" t="s">
        <v>50</v>
      </c>
      <c r="R402">
        <v>3</v>
      </c>
      <c r="S402" t="s">
        <v>46</v>
      </c>
      <c r="T402" s="2">
        <v>19197</v>
      </c>
      <c r="U402" s="2">
        <v>8213</v>
      </c>
      <c r="V402">
        <v>1</v>
      </c>
      <c r="W402" t="s">
        <v>32</v>
      </c>
      <c r="X402">
        <v>14</v>
      </c>
      <c r="Y402">
        <v>3</v>
      </c>
      <c r="Z402">
        <v>3</v>
      </c>
      <c r="AA402">
        <v>80</v>
      </c>
      <c r="AB402">
        <v>1</v>
      </c>
      <c r="AC402">
        <v>21</v>
      </c>
      <c r="AD402">
        <v>3</v>
      </c>
      <c r="AE402">
        <v>3</v>
      </c>
      <c r="AF402">
        <v>21</v>
      </c>
      <c r="AG402">
        <v>8</v>
      </c>
      <c r="AH402">
        <v>1</v>
      </c>
      <c r="AI402">
        <v>6</v>
      </c>
    </row>
    <row r="403" spans="1:35" x14ac:dyDescent="0.25">
      <c r="A403">
        <v>56</v>
      </c>
      <c r="B403" t="str">
        <f t="shared" si="12"/>
        <v>55-64</v>
      </c>
      <c r="C403" s="1" t="s">
        <v>38</v>
      </c>
      <c r="D403" s="17">
        <f>IF(Table1[[#This Row],[Attrition]]="Yes",1,0)</f>
        <v>0</v>
      </c>
      <c r="E403" t="s">
        <v>58</v>
      </c>
      <c r="F403" s="2">
        <v>906</v>
      </c>
      <c r="G403" t="s">
        <v>33</v>
      </c>
      <c r="H403">
        <v>6</v>
      </c>
      <c r="I403">
        <v>3</v>
      </c>
      <c r="J403" t="str">
        <f t="shared" si="13"/>
        <v>Bachelor</v>
      </c>
      <c r="K403" t="s">
        <v>34</v>
      </c>
      <c r="L403">
        <v>3</v>
      </c>
      <c r="M403" t="s">
        <v>35</v>
      </c>
      <c r="N403" s="2">
        <v>86</v>
      </c>
      <c r="O403">
        <v>4</v>
      </c>
      <c r="P403">
        <v>4</v>
      </c>
      <c r="Q403" t="s">
        <v>36</v>
      </c>
      <c r="R403">
        <v>1</v>
      </c>
      <c r="S403" t="s">
        <v>42</v>
      </c>
      <c r="T403" s="2">
        <v>13212</v>
      </c>
      <c r="U403" s="2">
        <v>18256</v>
      </c>
      <c r="V403">
        <v>9</v>
      </c>
      <c r="W403" t="s">
        <v>38</v>
      </c>
      <c r="X403">
        <v>11</v>
      </c>
      <c r="Y403">
        <v>3</v>
      </c>
      <c r="Z403">
        <v>4</v>
      </c>
      <c r="AA403">
        <v>80</v>
      </c>
      <c r="AB403">
        <v>3</v>
      </c>
      <c r="AC403">
        <v>36</v>
      </c>
      <c r="AD403">
        <v>0</v>
      </c>
      <c r="AE403">
        <v>2</v>
      </c>
      <c r="AF403">
        <v>7</v>
      </c>
      <c r="AG403">
        <v>7</v>
      </c>
      <c r="AH403">
        <v>7</v>
      </c>
      <c r="AI403">
        <v>7</v>
      </c>
    </row>
    <row r="404" spans="1:35" x14ac:dyDescent="0.25">
      <c r="A404">
        <v>30</v>
      </c>
      <c r="B404" t="str">
        <f t="shared" si="12"/>
        <v>25-34</v>
      </c>
      <c r="C404" s="1" t="s">
        <v>38</v>
      </c>
      <c r="D404" s="17">
        <f>IF(Table1[[#This Row],[Attrition]]="Yes",1,0)</f>
        <v>0</v>
      </c>
      <c r="E404" t="s">
        <v>57</v>
      </c>
      <c r="F404" s="2">
        <v>1082</v>
      </c>
      <c r="G404" t="s">
        <v>33</v>
      </c>
      <c r="H404">
        <v>12</v>
      </c>
      <c r="I404">
        <v>3</v>
      </c>
      <c r="J404" t="str">
        <f t="shared" si="13"/>
        <v>Bachelor</v>
      </c>
      <c r="K404" t="s">
        <v>54</v>
      </c>
      <c r="L404">
        <v>2</v>
      </c>
      <c r="M404" t="s">
        <v>35</v>
      </c>
      <c r="N404" s="2">
        <v>83</v>
      </c>
      <c r="O404">
        <v>3</v>
      </c>
      <c r="P404">
        <v>2</v>
      </c>
      <c r="Q404" t="s">
        <v>36</v>
      </c>
      <c r="R404">
        <v>3</v>
      </c>
      <c r="S404" t="s">
        <v>37</v>
      </c>
      <c r="T404" s="2">
        <v>6577</v>
      </c>
      <c r="U404" s="2">
        <v>19558</v>
      </c>
      <c r="V404">
        <v>0</v>
      </c>
      <c r="W404" t="s">
        <v>38</v>
      </c>
      <c r="X404">
        <v>11</v>
      </c>
      <c r="Y404">
        <v>3</v>
      </c>
      <c r="Z404">
        <v>2</v>
      </c>
      <c r="AA404">
        <v>80</v>
      </c>
      <c r="AB404">
        <v>0</v>
      </c>
      <c r="AC404">
        <v>6</v>
      </c>
      <c r="AD404">
        <v>6</v>
      </c>
      <c r="AE404">
        <v>3</v>
      </c>
      <c r="AF404">
        <v>5</v>
      </c>
      <c r="AG404">
        <v>4</v>
      </c>
      <c r="AH404">
        <v>4</v>
      </c>
      <c r="AI404">
        <v>4</v>
      </c>
    </row>
    <row r="405" spans="1:35" x14ac:dyDescent="0.25">
      <c r="A405">
        <v>41</v>
      </c>
      <c r="B405" t="str">
        <f t="shared" si="12"/>
        <v>35-44</v>
      </c>
      <c r="C405" s="1" t="s">
        <v>38</v>
      </c>
      <c r="D405" s="17">
        <f>IF(Table1[[#This Row],[Attrition]]="Yes",1,0)</f>
        <v>0</v>
      </c>
      <c r="E405" t="s">
        <v>57</v>
      </c>
      <c r="F405" s="2">
        <v>645</v>
      </c>
      <c r="G405" t="s">
        <v>33</v>
      </c>
      <c r="H405">
        <v>1</v>
      </c>
      <c r="I405">
        <v>3</v>
      </c>
      <c r="J405" t="str">
        <f t="shared" si="13"/>
        <v>Bachelor</v>
      </c>
      <c r="K405" t="s">
        <v>53</v>
      </c>
      <c r="L405">
        <v>2</v>
      </c>
      <c r="M405" t="s">
        <v>40</v>
      </c>
      <c r="N405" s="2">
        <v>49</v>
      </c>
      <c r="O405">
        <v>4</v>
      </c>
      <c r="P405">
        <v>3</v>
      </c>
      <c r="Q405" t="s">
        <v>36</v>
      </c>
      <c r="R405">
        <v>1</v>
      </c>
      <c r="S405" t="s">
        <v>42</v>
      </c>
      <c r="T405" s="2">
        <v>8392</v>
      </c>
      <c r="U405" s="2">
        <v>19566</v>
      </c>
      <c r="V405">
        <v>1</v>
      </c>
      <c r="W405" t="s">
        <v>38</v>
      </c>
      <c r="X405">
        <v>16</v>
      </c>
      <c r="Y405">
        <v>3</v>
      </c>
      <c r="Z405">
        <v>3</v>
      </c>
      <c r="AA405">
        <v>80</v>
      </c>
      <c r="AB405">
        <v>1</v>
      </c>
      <c r="AC405">
        <v>10</v>
      </c>
      <c r="AD405">
        <v>2</v>
      </c>
      <c r="AE405">
        <v>3</v>
      </c>
      <c r="AF405">
        <v>10</v>
      </c>
      <c r="AG405">
        <v>7</v>
      </c>
      <c r="AH405">
        <v>0</v>
      </c>
      <c r="AI405">
        <v>7</v>
      </c>
    </row>
    <row r="406" spans="1:35" x14ac:dyDescent="0.25">
      <c r="A406">
        <v>28</v>
      </c>
      <c r="B406" t="str">
        <f t="shared" si="12"/>
        <v>25-34</v>
      </c>
      <c r="C406" s="1" t="s">
        <v>38</v>
      </c>
      <c r="D406" s="17">
        <f>IF(Table1[[#This Row],[Attrition]]="Yes",1,0)</f>
        <v>0</v>
      </c>
      <c r="E406" t="s">
        <v>57</v>
      </c>
      <c r="F406" s="2">
        <v>1300</v>
      </c>
      <c r="G406" t="s">
        <v>39</v>
      </c>
      <c r="H406">
        <v>17</v>
      </c>
      <c r="I406">
        <v>2</v>
      </c>
      <c r="J406" t="str">
        <f t="shared" si="13"/>
        <v>College</v>
      </c>
      <c r="K406" t="s">
        <v>45</v>
      </c>
      <c r="L406">
        <v>3</v>
      </c>
      <c r="M406" t="s">
        <v>40</v>
      </c>
      <c r="N406" s="2">
        <v>79</v>
      </c>
      <c r="O406">
        <v>3</v>
      </c>
      <c r="P406">
        <v>2</v>
      </c>
      <c r="Q406" t="s">
        <v>44</v>
      </c>
      <c r="R406">
        <v>1</v>
      </c>
      <c r="S406" t="s">
        <v>46</v>
      </c>
      <c r="T406" s="2">
        <v>4558</v>
      </c>
      <c r="U406" s="2">
        <v>13535</v>
      </c>
      <c r="V406">
        <v>1</v>
      </c>
      <c r="W406" t="s">
        <v>38</v>
      </c>
      <c r="X406">
        <v>12</v>
      </c>
      <c r="Y406">
        <v>3</v>
      </c>
      <c r="Z406">
        <v>4</v>
      </c>
      <c r="AA406">
        <v>80</v>
      </c>
      <c r="AB406">
        <v>1</v>
      </c>
      <c r="AC406">
        <v>10</v>
      </c>
      <c r="AD406">
        <v>2</v>
      </c>
      <c r="AE406">
        <v>3</v>
      </c>
      <c r="AF406">
        <v>10</v>
      </c>
      <c r="AG406">
        <v>0</v>
      </c>
      <c r="AH406">
        <v>1</v>
      </c>
      <c r="AI406">
        <v>8</v>
      </c>
    </row>
    <row r="407" spans="1:35" x14ac:dyDescent="0.25">
      <c r="A407">
        <v>25</v>
      </c>
      <c r="B407" t="str">
        <f t="shared" si="12"/>
        <v>25-34</v>
      </c>
      <c r="C407" s="1" t="s">
        <v>32</v>
      </c>
      <c r="D407" s="17">
        <f>IF(Table1[[#This Row],[Attrition]]="Yes",1,0)</f>
        <v>1</v>
      </c>
      <c r="E407" t="s">
        <v>57</v>
      </c>
      <c r="F407" s="2">
        <v>688</v>
      </c>
      <c r="G407" t="s">
        <v>39</v>
      </c>
      <c r="H407">
        <v>3</v>
      </c>
      <c r="I407">
        <v>3</v>
      </c>
      <c r="J407" t="str">
        <f t="shared" si="13"/>
        <v>Bachelor</v>
      </c>
      <c r="K407" t="s">
        <v>45</v>
      </c>
      <c r="L407">
        <v>1</v>
      </c>
      <c r="M407" t="s">
        <v>40</v>
      </c>
      <c r="N407" s="2">
        <v>91</v>
      </c>
      <c r="O407">
        <v>3</v>
      </c>
      <c r="P407">
        <v>1</v>
      </c>
      <c r="Q407" t="s">
        <v>44</v>
      </c>
      <c r="R407">
        <v>1</v>
      </c>
      <c r="S407" t="s">
        <v>42</v>
      </c>
      <c r="T407" s="2">
        <v>4031</v>
      </c>
      <c r="U407" s="2">
        <v>9396</v>
      </c>
      <c r="V407">
        <v>5</v>
      </c>
      <c r="W407" t="s">
        <v>38</v>
      </c>
      <c r="X407">
        <v>13</v>
      </c>
      <c r="Y407">
        <v>3</v>
      </c>
      <c r="Z407">
        <v>3</v>
      </c>
      <c r="AA407">
        <v>80</v>
      </c>
      <c r="AB407">
        <v>1</v>
      </c>
      <c r="AC407">
        <v>6</v>
      </c>
      <c r="AD407">
        <v>5</v>
      </c>
      <c r="AE407">
        <v>3</v>
      </c>
      <c r="AF407">
        <v>2</v>
      </c>
      <c r="AG407">
        <v>2</v>
      </c>
      <c r="AH407">
        <v>0</v>
      </c>
      <c r="AI407">
        <v>2</v>
      </c>
    </row>
    <row r="408" spans="1:35" x14ac:dyDescent="0.25">
      <c r="A408">
        <v>52</v>
      </c>
      <c r="B408" t="str">
        <f t="shared" si="12"/>
        <v>45-54</v>
      </c>
      <c r="C408" s="1" t="s">
        <v>38</v>
      </c>
      <c r="D408" s="17">
        <f>IF(Table1[[#This Row],[Attrition]]="Yes",1,0)</f>
        <v>0</v>
      </c>
      <c r="E408" t="s">
        <v>57</v>
      </c>
      <c r="F408" s="2">
        <v>319</v>
      </c>
      <c r="G408" t="s">
        <v>39</v>
      </c>
      <c r="H408">
        <v>3</v>
      </c>
      <c r="I408">
        <v>3</v>
      </c>
      <c r="J408" t="str">
        <f t="shared" si="13"/>
        <v>Bachelor</v>
      </c>
      <c r="K408" t="s">
        <v>45</v>
      </c>
      <c r="L408">
        <v>4</v>
      </c>
      <c r="M408" t="s">
        <v>40</v>
      </c>
      <c r="N408" s="2">
        <v>39</v>
      </c>
      <c r="O408">
        <v>2</v>
      </c>
      <c r="P408">
        <v>3</v>
      </c>
      <c r="Q408" t="s">
        <v>47</v>
      </c>
      <c r="R408">
        <v>3</v>
      </c>
      <c r="S408" t="s">
        <v>42</v>
      </c>
      <c r="T408" s="2">
        <v>7969</v>
      </c>
      <c r="U408" s="2">
        <v>19609</v>
      </c>
      <c r="V408">
        <v>2</v>
      </c>
      <c r="W408" t="s">
        <v>32</v>
      </c>
      <c r="X408">
        <v>14</v>
      </c>
      <c r="Y408">
        <v>3</v>
      </c>
      <c r="Z408">
        <v>3</v>
      </c>
      <c r="AA408">
        <v>80</v>
      </c>
      <c r="AB408">
        <v>0</v>
      </c>
      <c r="AC408">
        <v>28</v>
      </c>
      <c r="AD408">
        <v>4</v>
      </c>
      <c r="AE408">
        <v>3</v>
      </c>
      <c r="AF408">
        <v>5</v>
      </c>
      <c r="AG408">
        <v>4</v>
      </c>
      <c r="AH408">
        <v>0</v>
      </c>
      <c r="AI408">
        <v>4</v>
      </c>
    </row>
    <row r="409" spans="1:35" x14ac:dyDescent="0.25">
      <c r="A409">
        <v>45</v>
      </c>
      <c r="B409" t="str">
        <f t="shared" si="12"/>
        <v>45-54</v>
      </c>
      <c r="C409" s="1" t="s">
        <v>38</v>
      </c>
      <c r="D409" s="17">
        <f>IF(Table1[[#This Row],[Attrition]]="Yes",1,0)</f>
        <v>0</v>
      </c>
      <c r="E409" t="s">
        <v>57</v>
      </c>
      <c r="F409" s="2">
        <v>192</v>
      </c>
      <c r="G409" t="s">
        <v>39</v>
      </c>
      <c r="H409">
        <v>10</v>
      </c>
      <c r="I409">
        <v>2</v>
      </c>
      <c r="J409" t="str">
        <f t="shared" si="13"/>
        <v>College</v>
      </c>
      <c r="K409" t="s">
        <v>34</v>
      </c>
      <c r="L409">
        <v>1</v>
      </c>
      <c r="M409" t="s">
        <v>40</v>
      </c>
      <c r="N409" s="2">
        <v>69</v>
      </c>
      <c r="O409">
        <v>3</v>
      </c>
      <c r="P409">
        <v>1</v>
      </c>
      <c r="Q409" t="s">
        <v>41</v>
      </c>
      <c r="R409">
        <v>4</v>
      </c>
      <c r="S409" t="s">
        <v>42</v>
      </c>
      <c r="T409" s="2">
        <v>2654</v>
      </c>
      <c r="U409" s="2">
        <v>9655</v>
      </c>
      <c r="V409">
        <v>3</v>
      </c>
      <c r="W409" t="s">
        <v>38</v>
      </c>
      <c r="X409">
        <v>21</v>
      </c>
      <c r="Y409">
        <v>4</v>
      </c>
      <c r="Z409">
        <v>4</v>
      </c>
      <c r="AA409">
        <v>80</v>
      </c>
      <c r="AB409">
        <v>2</v>
      </c>
      <c r="AC409">
        <v>8</v>
      </c>
      <c r="AD409">
        <v>3</v>
      </c>
      <c r="AE409">
        <v>2</v>
      </c>
      <c r="AF409">
        <v>2</v>
      </c>
      <c r="AG409">
        <v>2</v>
      </c>
      <c r="AH409">
        <v>0</v>
      </c>
      <c r="AI409">
        <v>2</v>
      </c>
    </row>
    <row r="410" spans="1:35" x14ac:dyDescent="0.25">
      <c r="A410">
        <v>52</v>
      </c>
      <c r="B410" t="str">
        <f t="shared" si="12"/>
        <v>45-54</v>
      </c>
      <c r="C410" s="1" t="s">
        <v>38</v>
      </c>
      <c r="D410" s="17">
        <f>IF(Table1[[#This Row],[Attrition]]="Yes",1,0)</f>
        <v>0</v>
      </c>
      <c r="E410" t="s">
        <v>57</v>
      </c>
      <c r="F410" s="2">
        <v>1490</v>
      </c>
      <c r="G410" t="s">
        <v>39</v>
      </c>
      <c r="H410">
        <v>4</v>
      </c>
      <c r="I410">
        <v>2</v>
      </c>
      <c r="J410" t="str">
        <f t="shared" si="13"/>
        <v>College</v>
      </c>
      <c r="K410" t="s">
        <v>34</v>
      </c>
      <c r="L410">
        <v>4</v>
      </c>
      <c r="M410" t="s">
        <v>35</v>
      </c>
      <c r="N410" s="2">
        <v>30</v>
      </c>
      <c r="O410">
        <v>3</v>
      </c>
      <c r="P410">
        <v>4</v>
      </c>
      <c r="Q410" t="s">
        <v>50</v>
      </c>
      <c r="R410">
        <v>4</v>
      </c>
      <c r="S410" t="s">
        <v>42</v>
      </c>
      <c r="T410" s="2">
        <v>16555</v>
      </c>
      <c r="U410" s="2">
        <v>10310</v>
      </c>
      <c r="V410">
        <v>2</v>
      </c>
      <c r="W410" t="s">
        <v>38</v>
      </c>
      <c r="X410">
        <v>13</v>
      </c>
      <c r="Y410">
        <v>3</v>
      </c>
      <c r="Z410">
        <v>4</v>
      </c>
      <c r="AA410">
        <v>80</v>
      </c>
      <c r="AB410">
        <v>0</v>
      </c>
      <c r="AC410">
        <v>31</v>
      </c>
      <c r="AD410">
        <v>2</v>
      </c>
      <c r="AE410">
        <v>1</v>
      </c>
      <c r="AF410">
        <v>5</v>
      </c>
      <c r="AG410">
        <v>2</v>
      </c>
      <c r="AH410">
        <v>1</v>
      </c>
      <c r="AI410">
        <v>4</v>
      </c>
    </row>
    <row r="411" spans="1:35" x14ac:dyDescent="0.25">
      <c r="A411">
        <v>42</v>
      </c>
      <c r="B411" t="str">
        <f t="shared" si="12"/>
        <v>35-44</v>
      </c>
      <c r="C411" s="1" t="s">
        <v>38</v>
      </c>
      <c r="D411" s="17">
        <f>IF(Table1[[#This Row],[Attrition]]="Yes",1,0)</f>
        <v>0</v>
      </c>
      <c r="E411" t="s">
        <v>58</v>
      </c>
      <c r="F411" s="2">
        <v>532</v>
      </c>
      <c r="G411" t="s">
        <v>39</v>
      </c>
      <c r="H411">
        <v>29</v>
      </c>
      <c r="I411">
        <v>2</v>
      </c>
      <c r="J411" t="str">
        <f t="shared" si="13"/>
        <v>College</v>
      </c>
      <c r="K411" t="s">
        <v>34</v>
      </c>
      <c r="L411">
        <v>1</v>
      </c>
      <c r="M411" t="s">
        <v>35</v>
      </c>
      <c r="N411" s="2">
        <v>92</v>
      </c>
      <c r="O411">
        <v>3</v>
      </c>
      <c r="P411">
        <v>2</v>
      </c>
      <c r="Q411" t="s">
        <v>41</v>
      </c>
      <c r="R411">
        <v>3</v>
      </c>
      <c r="S411" t="s">
        <v>46</v>
      </c>
      <c r="T411" s="2">
        <v>4556</v>
      </c>
      <c r="U411" s="2">
        <v>12932</v>
      </c>
      <c r="V411">
        <v>2</v>
      </c>
      <c r="W411" t="s">
        <v>38</v>
      </c>
      <c r="X411">
        <v>11</v>
      </c>
      <c r="Y411">
        <v>3</v>
      </c>
      <c r="Z411">
        <v>2</v>
      </c>
      <c r="AA411">
        <v>80</v>
      </c>
      <c r="AB411">
        <v>1</v>
      </c>
      <c r="AC411">
        <v>19</v>
      </c>
      <c r="AD411">
        <v>3</v>
      </c>
      <c r="AE411">
        <v>3</v>
      </c>
      <c r="AF411">
        <v>5</v>
      </c>
      <c r="AG411">
        <v>4</v>
      </c>
      <c r="AH411">
        <v>0</v>
      </c>
      <c r="AI411">
        <v>2</v>
      </c>
    </row>
    <row r="412" spans="1:35" x14ac:dyDescent="0.25">
      <c r="A412">
        <v>30</v>
      </c>
      <c r="B412" t="str">
        <f t="shared" si="12"/>
        <v>25-34</v>
      </c>
      <c r="C412" s="1" t="s">
        <v>38</v>
      </c>
      <c r="D412" s="17">
        <f>IF(Table1[[#This Row],[Attrition]]="Yes",1,0)</f>
        <v>0</v>
      </c>
      <c r="E412" t="s">
        <v>57</v>
      </c>
      <c r="F412" s="2">
        <v>317</v>
      </c>
      <c r="G412" t="s">
        <v>39</v>
      </c>
      <c r="H412">
        <v>2</v>
      </c>
      <c r="I412">
        <v>3</v>
      </c>
      <c r="J412" t="str">
        <f t="shared" si="13"/>
        <v>Bachelor</v>
      </c>
      <c r="K412" t="s">
        <v>34</v>
      </c>
      <c r="L412">
        <v>3</v>
      </c>
      <c r="M412" t="s">
        <v>35</v>
      </c>
      <c r="N412" s="2">
        <v>43</v>
      </c>
      <c r="O412">
        <v>1</v>
      </c>
      <c r="P412">
        <v>2</v>
      </c>
      <c r="Q412" t="s">
        <v>47</v>
      </c>
      <c r="R412">
        <v>4</v>
      </c>
      <c r="S412" t="s">
        <v>37</v>
      </c>
      <c r="T412" s="2">
        <v>6091</v>
      </c>
      <c r="U412" s="2">
        <v>24793</v>
      </c>
      <c r="V412">
        <v>2</v>
      </c>
      <c r="W412" t="s">
        <v>38</v>
      </c>
      <c r="X412">
        <v>20</v>
      </c>
      <c r="Y412">
        <v>4</v>
      </c>
      <c r="Z412">
        <v>3</v>
      </c>
      <c r="AA412">
        <v>80</v>
      </c>
      <c r="AB412">
        <v>0</v>
      </c>
      <c r="AC412">
        <v>11</v>
      </c>
      <c r="AD412">
        <v>2</v>
      </c>
      <c r="AE412">
        <v>3</v>
      </c>
      <c r="AF412">
        <v>5</v>
      </c>
      <c r="AG412">
        <v>4</v>
      </c>
      <c r="AH412">
        <v>0</v>
      </c>
      <c r="AI412">
        <v>2</v>
      </c>
    </row>
    <row r="413" spans="1:35" x14ac:dyDescent="0.25">
      <c r="A413">
        <v>60</v>
      </c>
      <c r="B413" t="str">
        <f t="shared" si="12"/>
        <v>55-64</v>
      </c>
      <c r="C413" s="1" t="s">
        <v>38</v>
      </c>
      <c r="D413" s="17">
        <f>IF(Table1[[#This Row],[Attrition]]="Yes",1,0)</f>
        <v>0</v>
      </c>
      <c r="E413" t="s">
        <v>57</v>
      </c>
      <c r="F413" s="2">
        <v>422</v>
      </c>
      <c r="G413" t="s">
        <v>39</v>
      </c>
      <c r="H413">
        <v>7</v>
      </c>
      <c r="I413">
        <v>3</v>
      </c>
      <c r="J413" t="str">
        <f t="shared" si="13"/>
        <v>Bachelor</v>
      </c>
      <c r="K413" t="s">
        <v>34</v>
      </c>
      <c r="L413">
        <v>1</v>
      </c>
      <c r="M413" t="s">
        <v>35</v>
      </c>
      <c r="N413" s="2">
        <v>41</v>
      </c>
      <c r="O413">
        <v>3</v>
      </c>
      <c r="P413">
        <v>5</v>
      </c>
      <c r="Q413" t="s">
        <v>50</v>
      </c>
      <c r="R413">
        <v>1</v>
      </c>
      <c r="S413" t="s">
        <v>42</v>
      </c>
      <c r="T413" s="2">
        <v>19566</v>
      </c>
      <c r="U413" s="2">
        <v>3854</v>
      </c>
      <c r="V413">
        <v>5</v>
      </c>
      <c r="W413" t="s">
        <v>38</v>
      </c>
      <c r="X413">
        <v>11</v>
      </c>
      <c r="Y413">
        <v>3</v>
      </c>
      <c r="Z413">
        <v>4</v>
      </c>
      <c r="AA413">
        <v>80</v>
      </c>
      <c r="AB413">
        <v>0</v>
      </c>
      <c r="AC413">
        <v>33</v>
      </c>
      <c r="AD413">
        <v>5</v>
      </c>
      <c r="AE413">
        <v>1</v>
      </c>
      <c r="AF413">
        <v>29</v>
      </c>
      <c r="AG413">
        <v>8</v>
      </c>
      <c r="AH413">
        <v>11</v>
      </c>
      <c r="AI413">
        <v>10</v>
      </c>
    </row>
    <row r="414" spans="1:35" x14ac:dyDescent="0.25">
      <c r="A414">
        <v>46</v>
      </c>
      <c r="B414" t="str">
        <f t="shared" si="12"/>
        <v>45-54</v>
      </c>
      <c r="C414" s="1" t="s">
        <v>38</v>
      </c>
      <c r="D414" s="17">
        <f>IF(Table1[[#This Row],[Attrition]]="Yes",1,0)</f>
        <v>0</v>
      </c>
      <c r="E414" t="s">
        <v>57</v>
      </c>
      <c r="F414" s="2">
        <v>1485</v>
      </c>
      <c r="G414" t="s">
        <v>39</v>
      </c>
      <c r="H414">
        <v>18</v>
      </c>
      <c r="I414">
        <v>3</v>
      </c>
      <c r="J414" t="str">
        <f t="shared" si="13"/>
        <v>Bachelor</v>
      </c>
      <c r="K414" t="s">
        <v>45</v>
      </c>
      <c r="L414">
        <v>3</v>
      </c>
      <c r="M414" t="s">
        <v>35</v>
      </c>
      <c r="N414" s="2">
        <v>87</v>
      </c>
      <c r="O414">
        <v>3</v>
      </c>
      <c r="P414">
        <v>2</v>
      </c>
      <c r="Q414" t="s">
        <v>47</v>
      </c>
      <c r="R414">
        <v>3</v>
      </c>
      <c r="S414" t="s">
        <v>46</v>
      </c>
      <c r="T414" s="2">
        <v>4810</v>
      </c>
      <c r="U414" s="2">
        <v>26314</v>
      </c>
      <c r="V414">
        <v>2</v>
      </c>
      <c r="W414" t="s">
        <v>38</v>
      </c>
      <c r="X414">
        <v>14</v>
      </c>
      <c r="Y414">
        <v>3</v>
      </c>
      <c r="Z414">
        <v>3</v>
      </c>
      <c r="AA414">
        <v>80</v>
      </c>
      <c r="AB414">
        <v>1</v>
      </c>
      <c r="AC414">
        <v>19</v>
      </c>
      <c r="AD414">
        <v>5</v>
      </c>
      <c r="AE414">
        <v>2</v>
      </c>
      <c r="AF414">
        <v>10</v>
      </c>
      <c r="AG414">
        <v>7</v>
      </c>
      <c r="AH414">
        <v>0</v>
      </c>
      <c r="AI414">
        <v>8</v>
      </c>
    </row>
    <row r="415" spans="1:35" x14ac:dyDescent="0.25">
      <c r="A415">
        <v>42</v>
      </c>
      <c r="B415" t="str">
        <f t="shared" si="12"/>
        <v>35-44</v>
      </c>
      <c r="C415" s="1" t="s">
        <v>38</v>
      </c>
      <c r="D415" s="17">
        <f>IF(Table1[[#This Row],[Attrition]]="Yes",1,0)</f>
        <v>0</v>
      </c>
      <c r="E415" t="s">
        <v>58</v>
      </c>
      <c r="F415" s="2">
        <v>1368</v>
      </c>
      <c r="G415" t="s">
        <v>39</v>
      </c>
      <c r="H415">
        <v>28</v>
      </c>
      <c r="I415">
        <v>4</v>
      </c>
      <c r="J415" t="str">
        <f t="shared" si="13"/>
        <v>Master</v>
      </c>
      <c r="K415" t="s">
        <v>54</v>
      </c>
      <c r="L415">
        <v>4</v>
      </c>
      <c r="M415" t="s">
        <v>35</v>
      </c>
      <c r="N415" s="2">
        <v>88</v>
      </c>
      <c r="O415">
        <v>2</v>
      </c>
      <c r="P415">
        <v>2</v>
      </c>
      <c r="Q415" t="s">
        <v>48</v>
      </c>
      <c r="R415">
        <v>4</v>
      </c>
      <c r="S415" t="s">
        <v>42</v>
      </c>
      <c r="T415" s="2">
        <v>4523</v>
      </c>
      <c r="U415" s="2">
        <v>4386</v>
      </c>
      <c r="V415">
        <v>0</v>
      </c>
      <c r="W415" t="s">
        <v>38</v>
      </c>
      <c r="X415">
        <v>11</v>
      </c>
      <c r="Y415">
        <v>3</v>
      </c>
      <c r="Z415">
        <v>4</v>
      </c>
      <c r="AA415">
        <v>80</v>
      </c>
      <c r="AB415">
        <v>3</v>
      </c>
      <c r="AC415">
        <v>7</v>
      </c>
      <c r="AD415">
        <v>4</v>
      </c>
      <c r="AE415">
        <v>4</v>
      </c>
      <c r="AF415">
        <v>6</v>
      </c>
      <c r="AG415">
        <v>5</v>
      </c>
      <c r="AH415">
        <v>0</v>
      </c>
      <c r="AI415">
        <v>4</v>
      </c>
    </row>
    <row r="416" spans="1:35" x14ac:dyDescent="0.25">
      <c r="A416">
        <v>24</v>
      </c>
      <c r="B416" t="str">
        <f t="shared" si="12"/>
        <v>18-24</v>
      </c>
      <c r="C416" s="1" t="s">
        <v>32</v>
      </c>
      <c r="D416" s="17">
        <f>IF(Table1[[#This Row],[Attrition]]="Yes",1,0)</f>
        <v>1</v>
      </c>
      <c r="E416" t="s">
        <v>57</v>
      </c>
      <c r="F416" s="2">
        <v>1448</v>
      </c>
      <c r="G416" t="s">
        <v>33</v>
      </c>
      <c r="H416">
        <v>1</v>
      </c>
      <c r="I416">
        <v>1</v>
      </c>
      <c r="J416" t="str">
        <f t="shared" si="13"/>
        <v>Below College</v>
      </c>
      <c r="K416" t="s">
        <v>54</v>
      </c>
      <c r="L416">
        <v>1</v>
      </c>
      <c r="M416" t="s">
        <v>35</v>
      </c>
      <c r="N416" s="2">
        <v>62</v>
      </c>
      <c r="O416">
        <v>3</v>
      </c>
      <c r="P416">
        <v>1</v>
      </c>
      <c r="Q416" t="s">
        <v>51</v>
      </c>
      <c r="R416">
        <v>2</v>
      </c>
      <c r="S416" t="s">
        <v>37</v>
      </c>
      <c r="T416" s="2">
        <v>3202</v>
      </c>
      <c r="U416" s="2">
        <v>21972</v>
      </c>
      <c r="V416">
        <v>1</v>
      </c>
      <c r="W416" t="s">
        <v>32</v>
      </c>
      <c r="X416">
        <v>16</v>
      </c>
      <c r="Y416">
        <v>3</v>
      </c>
      <c r="Z416">
        <v>2</v>
      </c>
      <c r="AA416">
        <v>80</v>
      </c>
      <c r="AB416">
        <v>0</v>
      </c>
      <c r="AC416">
        <v>6</v>
      </c>
      <c r="AD416">
        <v>4</v>
      </c>
      <c r="AE416">
        <v>3</v>
      </c>
      <c r="AF416">
        <v>5</v>
      </c>
      <c r="AG416">
        <v>3</v>
      </c>
      <c r="AH416">
        <v>1</v>
      </c>
      <c r="AI416">
        <v>4</v>
      </c>
    </row>
    <row r="417" spans="1:35" x14ac:dyDescent="0.25">
      <c r="A417">
        <v>34</v>
      </c>
      <c r="B417" t="str">
        <f t="shared" si="12"/>
        <v>25-34</v>
      </c>
      <c r="C417" s="1" t="s">
        <v>32</v>
      </c>
      <c r="D417" s="17">
        <f>IF(Table1[[#This Row],[Attrition]]="Yes",1,0)</f>
        <v>1</v>
      </c>
      <c r="E417" t="s">
        <v>58</v>
      </c>
      <c r="F417" s="2">
        <v>296</v>
      </c>
      <c r="G417" t="s">
        <v>33</v>
      </c>
      <c r="H417">
        <v>6</v>
      </c>
      <c r="I417">
        <v>2</v>
      </c>
      <c r="J417" t="str">
        <f t="shared" si="13"/>
        <v>College</v>
      </c>
      <c r="K417" t="s">
        <v>53</v>
      </c>
      <c r="L417">
        <v>4</v>
      </c>
      <c r="M417" t="s">
        <v>35</v>
      </c>
      <c r="N417" s="2">
        <v>33</v>
      </c>
      <c r="O417">
        <v>1</v>
      </c>
      <c r="P417">
        <v>1</v>
      </c>
      <c r="Q417" t="s">
        <v>51</v>
      </c>
      <c r="R417">
        <v>3</v>
      </c>
      <c r="S417" t="s">
        <v>46</v>
      </c>
      <c r="T417" s="2">
        <v>2351</v>
      </c>
      <c r="U417" s="2">
        <v>12253</v>
      </c>
      <c r="V417">
        <v>0</v>
      </c>
      <c r="W417" t="s">
        <v>38</v>
      </c>
      <c r="X417">
        <v>16</v>
      </c>
      <c r="Y417">
        <v>3</v>
      </c>
      <c r="Z417">
        <v>4</v>
      </c>
      <c r="AA417">
        <v>80</v>
      </c>
      <c r="AB417">
        <v>1</v>
      </c>
      <c r="AC417">
        <v>3</v>
      </c>
      <c r="AD417">
        <v>3</v>
      </c>
      <c r="AE417">
        <v>2</v>
      </c>
      <c r="AF417">
        <v>2</v>
      </c>
      <c r="AG417">
        <v>2</v>
      </c>
      <c r="AH417">
        <v>1</v>
      </c>
      <c r="AI417">
        <v>0</v>
      </c>
    </row>
    <row r="418" spans="1:35" x14ac:dyDescent="0.25">
      <c r="A418">
        <v>38</v>
      </c>
      <c r="B418" t="str">
        <f t="shared" si="12"/>
        <v>35-44</v>
      </c>
      <c r="C418" s="1" t="s">
        <v>38</v>
      </c>
      <c r="D418" s="17">
        <f>IF(Table1[[#This Row],[Attrition]]="Yes",1,0)</f>
        <v>0</v>
      </c>
      <c r="E418" t="s">
        <v>58</v>
      </c>
      <c r="F418" s="2">
        <v>1490</v>
      </c>
      <c r="G418" t="s">
        <v>39</v>
      </c>
      <c r="H418">
        <v>2</v>
      </c>
      <c r="I418">
        <v>2</v>
      </c>
      <c r="J418" t="str">
        <f t="shared" si="13"/>
        <v>College</v>
      </c>
      <c r="K418" t="s">
        <v>34</v>
      </c>
      <c r="L418">
        <v>4</v>
      </c>
      <c r="M418" t="s">
        <v>40</v>
      </c>
      <c r="N418" s="2">
        <v>42</v>
      </c>
      <c r="O418">
        <v>3</v>
      </c>
      <c r="P418">
        <v>1</v>
      </c>
      <c r="Q418" t="s">
        <v>44</v>
      </c>
      <c r="R418">
        <v>4</v>
      </c>
      <c r="S418" t="s">
        <v>42</v>
      </c>
      <c r="T418" s="2">
        <v>1702</v>
      </c>
      <c r="U418" s="2">
        <v>12106</v>
      </c>
      <c r="V418">
        <v>1</v>
      </c>
      <c r="W418" t="s">
        <v>32</v>
      </c>
      <c r="X418">
        <v>23</v>
      </c>
      <c r="Y418">
        <v>4</v>
      </c>
      <c r="Z418">
        <v>3</v>
      </c>
      <c r="AA418">
        <v>80</v>
      </c>
      <c r="AB418">
        <v>1</v>
      </c>
      <c r="AC418">
        <v>1</v>
      </c>
      <c r="AD418">
        <v>3</v>
      </c>
      <c r="AE418">
        <v>3</v>
      </c>
      <c r="AF418">
        <v>1</v>
      </c>
      <c r="AG418">
        <v>0</v>
      </c>
      <c r="AH418">
        <v>0</v>
      </c>
      <c r="AI418">
        <v>0</v>
      </c>
    </row>
    <row r="419" spans="1:35" x14ac:dyDescent="0.25">
      <c r="A419">
        <v>40</v>
      </c>
      <c r="B419" t="str">
        <f t="shared" si="12"/>
        <v>35-44</v>
      </c>
      <c r="C419" s="1" t="s">
        <v>38</v>
      </c>
      <c r="D419" s="17">
        <f>IF(Table1[[#This Row],[Attrition]]="Yes",1,0)</f>
        <v>0</v>
      </c>
      <c r="E419" t="s">
        <v>57</v>
      </c>
      <c r="F419" s="2">
        <v>1398</v>
      </c>
      <c r="G419" t="s">
        <v>33</v>
      </c>
      <c r="H419">
        <v>2</v>
      </c>
      <c r="I419">
        <v>4</v>
      </c>
      <c r="J419" t="str">
        <f t="shared" si="13"/>
        <v>Master</v>
      </c>
      <c r="K419" t="s">
        <v>34</v>
      </c>
      <c r="L419">
        <v>3</v>
      </c>
      <c r="M419" t="s">
        <v>35</v>
      </c>
      <c r="N419" s="2">
        <v>79</v>
      </c>
      <c r="O419">
        <v>3</v>
      </c>
      <c r="P419">
        <v>5</v>
      </c>
      <c r="Q419" t="s">
        <v>50</v>
      </c>
      <c r="R419">
        <v>3</v>
      </c>
      <c r="S419" t="s">
        <v>42</v>
      </c>
      <c r="T419" s="2">
        <v>18041</v>
      </c>
      <c r="U419" s="2">
        <v>13022</v>
      </c>
      <c r="V419">
        <v>0</v>
      </c>
      <c r="W419" t="s">
        <v>38</v>
      </c>
      <c r="X419">
        <v>14</v>
      </c>
      <c r="Y419">
        <v>3</v>
      </c>
      <c r="Z419">
        <v>4</v>
      </c>
      <c r="AA419">
        <v>80</v>
      </c>
      <c r="AB419">
        <v>0</v>
      </c>
      <c r="AC419">
        <v>21</v>
      </c>
      <c r="AD419">
        <v>2</v>
      </c>
      <c r="AE419">
        <v>3</v>
      </c>
      <c r="AF419">
        <v>20</v>
      </c>
      <c r="AG419">
        <v>15</v>
      </c>
      <c r="AH419">
        <v>1</v>
      </c>
      <c r="AI419">
        <v>12</v>
      </c>
    </row>
    <row r="420" spans="1:35" x14ac:dyDescent="0.25">
      <c r="A420">
        <v>26</v>
      </c>
      <c r="B420" t="str">
        <f t="shared" si="12"/>
        <v>25-34</v>
      </c>
      <c r="C420" s="1" t="s">
        <v>38</v>
      </c>
      <c r="D420" s="17">
        <f>IF(Table1[[#This Row],[Attrition]]="Yes",1,0)</f>
        <v>0</v>
      </c>
      <c r="E420" t="s">
        <v>57</v>
      </c>
      <c r="F420" s="2">
        <v>1349</v>
      </c>
      <c r="G420" t="s">
        <v>39</v>
      </c>
      <c r="H420">
        <v>23</v>
      </c>
      <c r="I420">
        <v>3</v>
      </c>
      <c r="J420" t="str">
        <f t="shared" si="13"/>
        <v>Bachelor</v>
      </c>
      <c r="K420" t="s">
        <v>34</v>
      </c>
      <c r="L420">
        <v>1</v>
      </c>
      <c r="M420" t="s">
        <v>35</v>
      </c>
      <c r="N420" s="2">
        <v>90</v>
      </c>
      <c r="O420">
        <v>3</v>
      </c>
      <c r="P420">
        <v>1</v>
      </c>
      <c r="Q420" t="s">
        <v>41</v>
      </c>
      <c r="R420">
        <v>4</v>
      </c>
      <c r="S420" t="s">
        <v>46</v>
      </c>
      <c r="T420" s="2">
        <v>2886</v>
      </c>
      <c r="U420" s="2">
        <v>3032</v>
      </c>
      <c r="V420">
        <v>1</v>
      </c>
      <c r="W420" t="s">
        <v>38</v>
      </c>
      <c r="X420">
        <v>22</v>
      </c>
      <c r="Y420">
        <v>4</v>
      </c>
      <c r="Z420">
        <v>2</v>
      </c>
      <c r="AA420">
        <v>80</v>
      </c>
      <c r="AB420">
        <v>2</v>
      </c>
      <c r="AC420">
        <v>3</v>
      </c>
      <c r="AD420">
        <v>3</v>
      </c>
      <c r="AE420">
        <v>1</v>
      </c>
      <c r="AF420">
        <v>3</v>
      </c>
      <c r="AG420">
        <v>2</v>
      </c>
      <c r="AH420">
        <v>0</v>
      </c>
      <c r="AI420">
        <v>2</v>
      </c>
    </row>
    <row r="421" spans="1:35" x14ac:dyDescent="0.25">
      <c r="A421">
        <v>30</v>
      </c>
      <c r="B421" t="str">
        <f t="shared" si="12"/>
        <v>25-34</v>
      </c>
      <c r="C421" s="1" t="s">
        <v>38</v>
      </c>
      <c r="D421" s="17">
        <f>IF(Table1[[#This Row],[Attrition]]="Yes",1,0)</f>
        <v>0</v>
      </c>
      <c r="E421" t="s">
        <v>49</v>
      </c>
      <c r="F421" s="2">
        <v>1400</v>
      </c>
      <c r="G421" t="s">
        <v>39</v>
      </c>
      <c r="H421">
        <v>3</v>
      </c>
      <c r="I421">
        <v>3</v>
      </c>
      <c r="J421" t="str">
        <f t="shared" si="13"/>
        <v>Bachelor</v>
      </c>
      <c r="K421" t="s">
        <v>34</v>
      </c>
      <c r="L421">
        <v>3</v>
      </c>
      <c r="M421" t="s">
        <v>40</v>
      </c>
      <c r="N421" s="2">
        <v>53</v>
      </c>
      <c r="O421">
        <v>3</v>
      </c>
      <c r="P421">
        <v>1</v>
      </c>
      <c r="Q421" t="s">
        <v>44</v>
      </c>
      <c r="R421">
        <v>4</v>
      </c>
      <c r="S421" t="s">
        <v>42</v>
      </c>
      <c r="T421" s="2">
        <v>2097</v>
      </c>
      <c r="U421" s="2">
        <v>16734</v>
      </c>
      <c r="V421">
        <v>4</v>
      </c>
      <c r="W421" t="s">
        <v>38</v>
      </c>
      <c r="X421">
        <v>15</v>
      </c>
      <c r="Y421">
        <v>3</v>
      </c>
      <c r="Z421">
        <v>3</v>
      </c>
      <c r="AA421">
        <v>80</v>
      </c>
      <c r="AB421">
        <v>1</v>
      </c>
      <c r="AC421">
        <v>9</v>
      </c>
      <c r="AD421">
        <v>3</v>
      </c>
      <c r="AE421">
        <v>1</v>
      </c>
      <c r="AF421">
        <v>5</v>
      </c>
      <c r="AG421">
        <v>3</v>
      </c>
      <c r="AH421">
        <v>1</v>
      </c>
      <c r="AI421">
        <v>4</v>
      </c>
    </row>
    <row r="422" spans="1:35" x14ac:dyDescent="0.25">
      <c r="A422">
        <v>29</v>
      </c>
      <c r="B422" t="str">
        <f t="shared" si="12"/>
        <v>25-34</v>
      </c>
      <c r="C422" s="1" t="s">
        <v>38</v>
      </c>
      <c r="D422" s="17">
        <f>IF(Table1[[#This Row],[Attrition]]="Yes",1,0)</f>
        <v>0</v>
      </c>
      <c r="E422" t="s">
        <v>57</v>
      </c>
      <c r="F422" s="2">
        <v>986</v>
      </c>
      <c r="G422" t="s">
        <v>39</v>
      </c>
      <c r="H422">
        <v>3</v>
      </c>
      <c r="I422">
        <v>4</v>
      </c>
      <c r="J422" t="str">
        <f t="shared" si="13"/>
        <v>Master</v>
      </c>
      <c r="K422" t="s">
        <v>45</v>
      </c>
      <c r="L422">
        <v>2</v>
      </c>
      <c r="M422" t="s">
        <v>40</v>
      </c>
      <c r="N422" s="2">
        <v>93</v>
      </c>
      <c r="O422">
        <v>2</v>
      </c>
      <c r="P422">
        <v>3</v>
      </c>
      <c r="Q422" t="s">
        <v>52</v>
      </c>
      <c r="R422">
        <v>3</v>
      </c>
      <c r="S422" t="s">
        <v>42</v>
      </c>
      <c r="T422" s="2">
        <v>11935</v>
      </c>
      <c r="U422" s="2">
        <v>21526</v>
      </c>
      <c r="V422">
        <v>1</v>
      </c>
      <c r="W422" t="s">
        <v>38</v>
      </c>
      <c r="X422">
        <v>18</v>
      </c>
      <c r="Y422">
        <v>3</v>
      </c>
      <c r="Z422">
        <v>3</v>
      </c>
      <c r="AA422">
        <v>80</v>
      </c>
      <c r="AB422">
        <v>0</v>
      </c>
      <c r="AC422">
        <v>10</v>
      </c>
      <c r="AD422">
        <v>2</v>
      </c>
      <c r="AE422">
        <v>3</v>
      </c>
      <c r="AF422">
        <v>10</v>
      </c>
      <c r="AG422">
        <v>2</v>
      </c>
      <c r="AH422">
        <v>0</v>
      </c>
      <c r="AI422">
        <v>7</v>
      </c>
    </row>
    <row r="423" spans="1:35" x14ac:dyDescent="0.25">
      <c r="A423">
        <v>29</v>
      </c>
      <c r="B423" t="str">
        <f t="shared" si="12"/>
        <v>25-34</v>
      </c>
      <c r="C423" s="1" t="s">
        <v>32</v>
      </c>
      <c r="D423" s="17">
        <f>IF(Table1[[#This Row],[Attrition]]="Yes",1,0)</f>
        <v>1</v>
      </c>
      <c r="E423" t="s">
        <v>57</v>
      </c>
      <c r="F423" s="2">
        <v>408</v>
      </c>
      <c r="G423" t="s">
        <v>39</v>
      </c>
      <c r="H423">
        <v>25</v>
      </c>
      <c r="I423">
        <v>5</v>
      </c>
      <c r="J423" t="str">
        <f t="shared" si="13"/>
        <v>Doctor</v>
      </c>
      <c r="K423" t="s">
        <v>54</v>
      </c>
      <c r="L423">
        <v>3</v>
      </c>
      <c r="M423" t="s">
        <v>35</v>
      </c>
      <c r="N423" s="2">
        <v>71</v>
      </c>
      <c r="O423">
        <v>2</v>
      </c>
      <c r="P423">
        <v>1</v>
      </c>
      <c r="Q423" t="s">
        <v>41</v>
      </c>
      <c r="R423">
        <v>2</v>
      </c>
      <c r="S423" t="s">
        <v>42</v>
      </c>
      <c r="T423" s="2">
        <v>2546</v>
      </c>
      <c r="U423" s="2">
        <v>18300</v>
      </c>
      <c r="V423">
        <v>5</v>
      </c>
      <c r="W423" t="s">
        <v>38</v>
      </c>
      <c r="X423">
        <v>16</v>
      </c>
      <c r="Y423">
        <v>3</v>
      </c>
      <c r="Z423">
        <v>2</v>
      </c>
      <c r="AA423">
        <v>80</v>
      </c>
      <c r="AB423">
        <v>0</v>
      </c>
      <c r="AC423">
        <v>6</v>
      </c>
      <c r="AD423">
        <v>2</v>
      </c>
      <c r="AE423">
        <v>4</v>
      </c>
      <c r="AF423">
        <v>2</v>
      </c>
      <c r="AG423">
        <v>2</v>
      </c>
      <c r="AH423">
        <v>1</v>
      </c>
      <c r="AI423">
        <v>1</v>
      </c>
    </row>
    <row r="424" spans="1:35" x14ac:dyDescent="0.25">
      <c r="A424">
        <v>19</v>
      </c>
      <c r="B424" t="str">
        <f t="shared" si="12"/>
        <v>18-24</v>
      </c>
      <c r="C424" s="1" t="s">
        <v>32</v>
      </c>
      <c r="D424" s="17">
        <f>IF(Table1[[#This Row],[Attrition]]="Yes",1,0)</f>
        <v>1</v>
      </c>
      <c r="E424" t="s">
        <v>57</v>
      </c>
      <c r="F424" s="2">
        <v>489</v>
      </c>
      <c r="G424" t="s">
        <v>55</v>
      </c>
      <c r="H424">
        <v>2</v>
      </c>
      <c r="I424">
        <v>2</v>
      </c>
      <c r="J424" t="str">
        <f t="shared" si="13"/>
        <v>College</v>
      </c>
      <c r="K424" t="s">
        <v>54</v>
      </c>
      <c r="L424">
        <v>1</v>
      </c>
      <c r="M424" t="s">
        <v>40</v>
      </c>
      <c r="N424" s="2">
        <v>52</v>
      </c>
      <c r="O424">
        <v>2</v>
      </c>
      <c r="P424">
        <v>1</v>
      </c>
      <c r="Q424" t="s">
        <v>55</v>
      </c>
      <c r="R424">
        <v>4</v>
      </c>
      <c r="S424" t="s">
        <v>37</v>
      </c>
      <c r="T424" s="2">
        <v>2564</v>
      </c>
      <c r="U424" s="2">
        <v>18437</v>
      </c>
      <c r="V424">
        <v>1</v>
      </c>
      <c r="W424" t="s">
        <v>38</v>
      </c>
      <c r="X424">
        <v>12</v>
      </c>
      <c r="Y424">
        <v>3</v>
      </c>
      <c r="Z424">
        <v>3</v>
      </c>
      <c r="AA424">
        <v>80</v>
      </c>
      <c r="AB424">
        <v>0</v>
      </c>
      <c r="AC424">
        <v>1</v>
      </c>
      <c r="AD424">
        <v>3</v>
      </c>
      <c r="AE424">
        <v>4</v>
      </c>
      <c r="AF424">
        <v>1</v>
      </c>
      <c r="AG424">
        <v>0</v>
      </c>
      <c r="AH424">
        <v>0</v>
      </c>
      <c r="AI424">
        <v>0</v>
      </c>
    </row>
    <row r="425" spans="1:35" x14ac:dyDescent="0.25">
      <c r="A425">
        <v>30</v>
      </c>
      <c r="B425" t="str">
        <f t="shared" si="12"/>
        <v>25-34</v>
      </c>
      <c r="C425" s="1" t="s">
        <v>38</v>
      </c>
      <c r="D425" s="17">
        <f>IF(Table1[[#This Row],[Attrition]]="Yes",1,0)</f>
        <v>0</v>
      </c>
      <c r="E425" t="s">
        <v>49</v>
      </c>
      <c r="F425" s="2">
        <v>1398</v>
      </c>
      <c r="G425" t="s">
        <v>33</v>
      </c>
      <c r="H425">
        <v>22</v>
      </c>
      <c r="I425">
        <v>4</v>
      </c>
      <c r="J425" t="str">
        <f t="shared" si="13"/>
        <v>Master</v>
      </c>
      <c r="K425" t="s">
        <v>43</v>
      </c>
      <c r="L425">
        <v>3</v>
      </c>
      <c r="M425" t="s">
        <v>35</v>
      </c>
      <c r="N425" s="2">
        <v>69</v>
      </c>
      <c r="O425">
        <v>3</v>
      </c>
      <c r="P425">
        <v>3</v>
      </c>
      <c r="Q425" t="s">
        <v>36</v>
      </c>
      <c r="R425">
        <v>1</v>
      </c>
      <c r="S425" t="s">
        <v>42</v>
      </c>
      <c r="T425" s="2">
        <v>8412</v>
      </c>
      <c r="U425" s="2">
        <v>2890</v>
      </c>
      <c r="V425">
        <v>0</v>
      </c>
      <c r="W425" t="s">
        <v>38</v>
      </c>
      <c r="X425">
        <v>11</v>
      </c>
      <c r="Y425">
        <v>3</v>
      </c>
      <c r="Z425">
        <v>3</v>
      </c>
      <c r="AA425">
        <v>80</v>
      </c>
      <c r="AB425">
        <v>0</v>
      </c>
      <c r="AC425">
        <v>10</v>
      </c>
      <c r="AD425">
        <v>3</v>
      </c>
      <c r="AE425">
        <v>3</v>
      </c>
      <c r="AF425">
        <v>9</v>
      </c>
      <c r="AG425">
        <v>8</v>
      </c>
      <c r="AH425">
        <v>7</v>
      </c>
      <c r="AI425">
        <v>8</v>
      </c>
    </row>
    <row r="426" spans="1:35" x14ac:dyDescent="0.25">
      <c r="A426">
        <v>57</v>
      </c>
      <c r="B426" t="str">
        <f t="shared" si="12"/>
        <v>55-64</v>
      </c>
      <c r="C426" s="1" t="s">
        <v>38</v>
      </c>
      <c r="D426" s="17">
        <f>IF(Table1[[#This Row],[Attrition]]="Yes",1,0)</f>
        <v>0</v>
      </c>
      <c r="E426" t="s">
        <v>57</v>
      </c>
      <c r="F426" s="2">
        <v>210</v>
      </c>
      <c r="G426" t="s">
        <v>33</v>
      </c>
      <c r="H426">
        <v>29</v>
      </c>
      <c r="I426">
        <v>3</v>
      </c>
      <c r="J426" t="str">
        <f t="shared" si="13"/>
        <v>Bachelor</v>
      </c>
      <c r="K426" t="s">
        <v>53</v>
      </c>
      <c r="L426">
        <v>1</v>
      </c>
      <c r="M426" t="s">
        <v>40</v>
      </c>
      <c r="N426" s="2">
        <v>56</v>
      </c>
      <c r="O426">
        <v>2</v>
      </c>
      <c r="P426">
        <v>4</v>
      </c>
      <c r="Q426" t="s">
        <v>50</v>
      </c>
      <c r="R426">
        <v>4</v>
      </c>
      <c r="S426" t="s">
        <v>46</v>
      </c>
      <c r="T426" s="2">
        <v>14118</v>
      </c>
      <c r="U426" s="2">
        <v>22102</v>
      </c>
      <c r="V426">
        <v>3</v>
      </c>
      <c r="W426" t="s">
        <v>38</v>
      </c>
      <c r="X426">
        <v>12</v>
      </c>
      <c r="Y426">
        <v>3</v>
      </c>
      <c r="Z426">
        <v>3</v>
      </c>
      <c r="AA426">
        <v>80</v>
      </c>
      <c r="AB426">
        <v>1</v>
      </c>
      <c r="AC426">
        <v>32</v>
      </c>
      <c r="AD426">
        <v>3</v>
      </c>
      <c r="AE426">
        <v>2</v>
      </c>
      <c r="AF426">
        <v>1</v>
      </c>
      <c r="AG426">
        <v>0</v>
      </c>
      <c r="AH426">
        <v>0</v>
      </c>
      <c r="AI426">
        <v>0</v>
      </c>
    </row>
    <row r="427" spans="1:35" x14ac:dyDescent="0.25">
      <c r="A427">
        <v>50</v>
      </c>
      <c r="B427" t="str">
        <f t="shared" si="12"/>
        <v>45-54</v>
      </c>
      <c r="C427" s="1" t="s">
        <v>38</v>
      </c>
      <c r="D427" s="17">
        <f>IF(Table1[[#This Row],[Attrition]]="Yes",1,0)</f>
        <v>0</v>
      </c>
      <c r="E427" t="s">
        <v>57</v>
      </c>
      <c r="F427" s="2">
        <v>1099</v>
      </c>
      <c r="G427" t="s">
        <v>39</v>
      </c>
      <c r="H427">
        <v>29</v>
      </c>
      <c r="I427">
        <v>4</v>
      </c>
      <c r="J427" t="str">
        <f t="shared" si="13"/>
        <v>Master</v>
      </c>
      <c r="K427" t="s">
        <v>34</v>
      </c>
      <c r="L427">
        <v>2</v>
      </c>
      <c r="M427" t="s">
        <v>40</v>
      </c>
      <c r="N427" s="2">
        <v>88</v>
      </c>
      <c r="O427">
        <v>2</v>
      </c>
      <c r="P427">
        <v>4</v>
      </c>
      <c r="Q427" t="s">
        <v>50</v>
      </c>
      <c r="R427">
        <v>3</v>
      </c>
      <c r="S427" t="s">
        <v>42</v>
      </c>
      <c r="T427" s="2">
        <v>17046</v>
      </c>
      <c r="U427" s="2">
        <v>9314</v>
      </c>
      <c r="V427">
        <v>0</v>
      </c>
      <c r="W427" t="s">
        <v>38</v>
      </c>
      <c r="X427">
        <v>15</v>
      </c>
      <c r="Y427">
        <v>3</v>
      </c>
      <c r="Z427">
        <v>2</v>
      </c>
      <c r="AA427">
        <v>80</v>
      </c>
      <c r="AB427">
        <v>1</v>
      </c>
      <c r="AC427">
        <v>28</v>
      </c>
      <c r="AD427">
        <v>2</v>
      </c>
      <c r="AE427">
        <v>3</v>
      </c>
      <c r="AF427">
        <v>27</v>
      </c>
      <c r="AG427">
        <v>10</v>
      </c>
      <c r="AH427">
        <v>15</v>
      </c>
      <c r="AI427">
        <v>7</v>
      </c>
    </row>
    <row r="428" spans="1:35" x14ac:dyDescent="0.25">
      <c r="A428">
        <v>30</v>
      </c>
      <c r="B428" t="str">
        <f t="shared" si="12"/>
        <v>25-34</v>
      </c>
      <c r="C428" s="1" t="s">
        <v>38</v>
      </c>
      <c r="D428" s="17">
        <f>IF(Table1[[#This Row],[Attrition]]="Yes",1,0)</f>
        <v>0</v>
      </c>
      <c r="E428" t="s">
        <v>49</v>
      </c>
      <c r="F428" s="2">
        <v>1116</v>
      </c>
      <c r="G428" t="s">
        <v>39</v>
      </c>
      <c r="H428">
        <v>2</v>
      </c>
      <c r="I428">
        <v>3</v>
      </c>
      <c r="J428" t="str">
        <f t="shared" si="13"/>
        <v>Bachelor</v>
      </c>
      <c r="K428" t="s">
        <v>45</v>
      </c>
      <c r="L428">
        <v>3</v>
      </c>
      <c r="M428" t="s">
        <v>35</v>
      </c>
      <c r="N428" s="2">
        <v>49</v>
      </c>
      <c r="O428">
        <v>3</v>
      </c>
      <c r="P428">
        <v>1</v>
      </c>
      <c r="Q428" t="s">
        <v>44</v>
      </c>
      <c r="R428">
        <v>4</v>
      </c>
      <c r="S428" t="s">
        <v>37</v>
      </c>
      <c r="T428" s="2">
        <v>2564</v>
      </c>
      <c r="U428" s="2">
        <v>7181</v>
      </c>
      <c r="V428">
        <v>0</v>
      </c>
      <c r="W428" t="s">
        <v>38</v>
      </c>
      <c r="X428">
        <v>14</v>
      </c>
      <c r="Y428">
        <v>3</v>
      </c>
      <c r="Z428">
        <v>3</v>
      </c>
      <c r="AA428">
        <v>80</v>
      </c>
      <c r="AB428">
        <v>0</v>
      </c>
      <c r="AC428">
        <v>12</v>
      </c>
      <c r="AD428">
        <v>2</v>
      </c>
      <c r="AE428">
        <v>2</v>
      </c>
      <c r="AF428">
        <v>11</v>
      </c>
      <c r="AG428">
        <v>7</v>
      </c>
      <c r="AH428">
        <v>6</v>
      </c>
      <c r="AI428">
        <v>7</v>
      </c>
    </row>
    <row r="429" spans="1:35" x14ac:dyDescent="0.25">
      <c r="A429">
        <v>60</v>
      </c>
      <c r="B429" t="str">
        <f t="shared" si="12"/>
        <v>55-64</v>
      </c>
      <c r="C429" s="1" t="s">
        <v>38</v>
      </c>
      <c r="D429" s="17">
        <f>IF(Table1[[#This Row],[Attrition]]="Yes",1,0)</f>
        <v>0</v>
      </c>
      <c r="E429" t="s">
        <v>58</v>
      </c>
      <c r="F429" s="2">
        <v>1499</v>
      </c>
      <c r="G429" t="s">
        <v>33</v>
      </c>
      <c r="H429">
        <v>28</v>
      </c>
      <c r="I429">
        <v>3</v>
      </c>
      <c r="J429" t="str">
        <f t="shared" si="13"/>
        <v>Bachelor</v>
      </c>
      <c r="K429" t="s">
        <v>53</v>
      </c>
      <c r="L429">
        <v>3</v>
      </c>
      <c r="M429" t="s">
        <v>35</v>
      </c>
      <c r="N429" s="2">
        <v>80</v>
      </c>
      <c r="O429">
        <v>2</v>
      </c>
      <c r="P429">
        <v>3</v>
      </c>
      <c r="Q429" t="s">
        <v>36</v>
      </c>
      <c r="R429">
        <v>1</v>
      </c>
      <c r="S429" t="s">
        <v>42</v>
      </c>
      <c r="T429" s="2">
        <v>10266</v>
      </c>
      <c r="U429" s="2">
        <v>2845</v>
      </c>
      <c r="V429">
        <v>4</v>
      </c>
      <c r="W429" t="s">
        <v>38</v>
      </c>
      <c r="X429">
        <v>19</v>
      </c>
      <c r="Y429">
        <v>3</v>
      </c>
      <c r="Z429">
        <v>4</v>
      </c>
      <c r="AA429">
        <v>80</v>
      </c>
      <c r="AB429">
        <v>0</v>
      </c>
      <c r="AC429">
        <v>22</v>
      </c>
      <c r="AD429">
        <v>5</v>
      </c>
      <c r="AE429">
        <v>4</v>
      </c>
      <c r="AF429">
        <v>18</v>
      </c>
      <c r="AG429">
        <v>13</v>
      </c>
      <c r="AH429">
        <v>13</v>
      </c>
      <c r="AI429">
        <v>11</v>
      </c>
    </row>
    <row r="430" spans="1:35" x14ac:dyDescent="0.25">
      <c r="A430">
        <v>47</v>
      </c>
      <c r="B430" t="str">
        <f t="shared" si="12"/>
        <v>45-54</v>
      </c>
      <c r="C430" s="1" t="s">
        <v>38</v>
      </c>
      <c r="D430" s="17">
        <f>IF(Table1[[#This Row],[Attrition]]="Yes",1,0)</f>
        <v>0</v>
      </c>
      <c r="E430" t="s">
        <v>57</v>
      </c>
      <c r="F430" s="2">
        <v>983</v>
      </c>
      <c r="G430" t="s">
        <v>39</v>
      </c>
      <c r="H430">
        <v>2</v>
      </c>
      <c r="I430">
        <v>2</v>
      </c>
      <c r="J430" t="str">
        <f t="shared" si="13"/>
        <v>College</v>
      </c>
      <c r="K430" t="s">
        <v>45</v>
      </c>
      <c r="L430">
        <v>1</v>
      </c>
      <c r="M430" t="s">
        <v>35</v>
      </c>
      <c r="N430" s="2">
        <v>65</v>
      </c>
      <c r="O430">
        <v>3</v>
      </c>
      <c r="P430">
        <v>2</v>
      </c>
      <c r="Q430" t="s">
        <v>47</v>
      </c>
      <c r="R430">
        <v>4</v>
      </c>
      <c r="S430" t="s">
        <v>46</v>
      </c>
      <c r="T430" s="2">
        <v>5070</v>
      </c>
      <c r="U430" s="2">
        <v>7389</v>
      </c>
      <c r="V430">
        <v>5</v>
      </c>
      <c r="W430" t="s">
        <v>38</v>
      </c>
      <c r="X430">
        <v>13</v>
      </c>
      <c r="Y430">
        <v>3</v>
      </c>
      <c r="Z430">
        <v>3</v>
      </c>
      <c r="AA430">
        <v>80</v>
      </c>
      <c r="AB430">
        <v>3</v>
      </c>
      <c r="AC430">
        <v>20</v>
      </c>
      <c r="AD430">
        <v>2</v>
      </c>
      <c r="AE430">
        <v>3</v>
      </c>
      <c r="AF430">
        <v>5</v>
      </c>
      <c r="AG430">
        <v>0</v>
      </c>
      <c r="AH430">
        <v>0</v>
      </c>
      <c r="AI430">
        <v>4</v>
      </c>
    </row>
    <row r="431" spans="1:35" x14ac:dyDescent="0.25">
      <c r="A431">
        <v>46</v>
      </c>
      <c r="B431" t="str">
        <f t="shared" si="12"/>
        <v>45-54</v>
      </c>
      <c r="C431" s="1" t="s">
        <v>38</v>
      </c>
      <c r="D431" s="17">
        <f>IF(Table1[[#This Row],[Attrition]]="Yes",1,0)</f>
        <v>0</v>
      </c>
      <c r="E431" t="s">
        <v>57</v>
      </c>
      <c r="F431" s="2">
        <v>1009</v>
      </c>
      <c r="G431" t="s">
        <v>39</v>
      </c>
      <c r="H431">
        <v>2</v>
      </c>
      <c r="I431">
        <v>3</v>
      </c>
      <c r="J431" t="str">
        <f t="shared" si="13"/>
        <v>Bachelor</v>
      </c>
      <c r="K431" t="s">
        <v>34</v>
      </c>
      <c r="L431">
        <v>1</v>
      </c>
      <c r="M431" t="s">
        <v>40</v>
      </c>
      <c r="N431" s="2">
        <v>51</v>
      </c>
      <c r="O431">
        <v>3</v>
      </c>
      <c r="P431">
        <v>4</v>
      </c>
      <c r="Q431" t="s">
        <v>52</v>
      </c>
      <c r="R431">
        <v>3</v>
      </c>
      <c r="S431" t="s">
        <v>42</v>
      </c>
      <c r="T431" s="2">
        <v>17861</v>
      </c>
      <c r="U431" s="2">
        <v>2288</v>
      </c>
      <c r="V431">
        <v>6</v>
      </c>
      <c r="W431" t="s">
        <v>38</v>
      </c>
      <c r="X431">
        <v>13</v>
      </c>
      <c r="Y431">
        <v>3</v>
      </c>
      <c r="Z431">
        <v>3</v>
      </c>
      <c r="AA431">
        <v>80</v>
      </c>
      <c r="AB431">
        <v>0</v>
      </c>
      <c r="AC431">
        <v>26</v>
      </c>
      <c r="AD431">
        <v>2</v>
      </c>
      <c r="AE431">
        <v>1</v>
      </c>
      <c r="AF431">
        <v>3</v>
      </c>
      <c r="AG431">
        <v>2</v>
      </c>
      <c r="AH431">
        <v>0</v>
      </c>
      <c r="AI431">
        <v>1</v>
      </c>
    </row>
    <row r="432" spans="1:35" x14ac:dyDescent="0.25">
      <c r="A432">
        <v>35</v>
      </c>
      <c r="B432" t="str">
        <f t="shared" si="12"/>
        <v>35-44</v>
      </c>
      <c r="C432" s="1" t="s">
        <v>38</v>
      </c>
      <c r="D432" s="17">
        <f>IF(Table1[[#This Row],[Attrition]]="Yes",1,0)</f>
        <v>0</v>
      </c>
      <c r="E432" t="s">
        <v>57</v>
      </c>
      <c r="F432" s="2">
        <v>144</v>
      </c>
      <c r="G432" t="s">
        <v>39</v>
      </c>
      <c r="H432">
        <v>22</v>
      </c>
      <c r="I432">
        <v>3</v>
      </c>
      <c r="J432" t="str">
        <f t="shared" si="13"/>
        <v>Bachelor</v>
      </c>
      <c r="K432" t="s">
        <v>34</v>
      </c>
      <c r="L432">
        <v>4</v>
      </c>
      <c r="M432" t="s">
        <v>40</v>
      </c>
      <c r="N432" s="2">
        <v>46</v>
      </c>
      <c r="O432">
        <v>1</v>
      </c>
      <c r="P432">
        <v>1</v>
      </c>
      <c r="Q432" t="s">
        <v>44</v>
      </c>
      <c r="R432">
        <v>3</v>
      </c>
      <c r="S432" t="s">
        <v>37</v>
      </c>
      <c r="T432" s="2">
        <v>4230</v>
      </c>
      <c r="U432" s="2">
        <v>19225</v>
      </c>
      <c r="V432">
        <v>0</v>
      </c>
      <c r="W432" t="s">
        <v>38</v>
      </c>
      <c r="X432">
        <v>15</v>
      </c>
      <c r="Y432">
        <v>3</v>
      </c>
      <c r="Z432">
        <v>3</v>
      </c>
      <c r="AA432">
        <v>80</v>
      </c>
      <c r="AB432">
        <v>0</v>
      </c>
      <c r="AC432">
        <v>6</v>
      </c>
      <c r="AD432">
        <v>2</v>
      </c>
      <c r="AE432">
        <v>3</v>
      </c>
      <c r="AF432">
        <v>5</v>
      </c>
      <c r="AG432">
        <v>4</v>
      </c>
      <c r="AH432">
        <v>4</v>
      </c>
      <c r="AI432">
        <v>3</v>
      </c>
    </row>
    <row r="433" spans="1:35" x14ac:dyDescent="0.25">
      <c r="A433">
        <v>54</v>
      </c>
      <c r="B433" t="str">
        <f t="shared" si="12"/>
        <v>45-54</v>
      </c>
      <c r="C433" s="1" t="s">
        <v>38</v>
      </c>
      <c r="D433" s="17">
        <f>IF(Table1[[#This Row],[Attrition]]="Yes",1,0)</f>
        <v>0</v>
      </c>
      <c r="E433" t="s">
        <v>57</v>
      </c>
      <c r="F433" s="2">
        <v>548</v>
      </c>
      <c r="G433" t="s">
        <v>39</v>
      </c>
      <c r="H433">
        <v>8</v>
      </c>
      <c r="I433">
        <v>4</v>
      </c>
      <c r="J433" t="str">
        <f t="shared" si="13"/>
        <v>Master</v>
      </c>
      <c r="K433" t="s">
        <v>34</v>
      </c>
      <c r="L433">
        <v>3</v>
      </c>
      <c r="M433" t="s">
        <v>35</v>
      </c>
      <c r="N433" s="2">
        <v>42</v>
      </c>
      <c r="O433">
        <v>3</v>
      </c>
      <c r="P433">
        <v>2</v>
      </c>
      <c r="Q433" t="s">
        <v>44</v>
      </c>
      <c r="R433">
        <v>3</v>
      </c>
      <c r="S433" t="s">
        <v>37</v>
      </c>
      <c r="T433" s="2">
        <v>3780</v>
      </c>
      <c r="U433" s="2">
        <v>23428</v>
      </c>
      <c r="V433">
        <v>7</v>
      </c>
      <c r="W433" t="s">
        <v>38</v>
      </c>
      <c r="X433">
        <v>11</v>
      </c>
      <c r="Y433">
        <v>3</v>
      </c>
      <c r="Z433">
        <v>3</v>
      </c>
      <c r="AA433">
        <v>80</v>
      </c>
      <c r="AB433">
        <v>0</v>
      </c>
      <c r="AC433">
        <v>19</v>
      </c>
      <c r="AD433">
        <v>3</v>
      </c>
      <c r="AE433">
        <v>3</v>
      </c>
      <c r="AF433">
        <v>1</v>
      </c>
      <c r="AG433">
        <v>0</v>
      </c>
      <c r="AH433">
        <v>0</v>
      </c>
      <c r="AI433">
        <v>0</v>
      </c>
    </row>
    <row r="434" spans="1:35" x14ac:dyDescent="0.25">
      <c r="A434">
        <v>34</v>
      </c>
      <c r="B434" t="str">
        <f t="shared" si="12"/>
        <v>25-34</v>
      </c>
      <c r="C434" s="1" t="s">
        <v>38</v>
      </c>
      <c r="D434" s="17">
        <f>IF(Table1[[#This Row],[Attrition]]="Yes",1,0)</f>
        <v>0</v>
      </c>
      <c r="E434" t="s">
        <v>57</v>
      </c>
      <c r="F434" s="2">
        <v>1303</v>
      </c>
      <c r="G434" t="s">
        <v>39</v>
      </c>
      <c r="H434">
        <v>2</v>
      </c>
      <c r="I434">
        <v>4</v>
      </c>
      <c r="J434" t="str">
        <f t="shared" si="13"/>
        <v>Master</v>
      </c>
      <c r="K434" t="s">
        <v>34</v>
      </c>
      <c r="L434">
        <v>4</v>
      </c>
      <c r="M434" t="s">
        <v>40</v>
      </c>
      <c r="N434" s="2">
        <v>62</v>
      </c>
      <c r="O434">
        <v>2</v>
      </c>
      <c r="P434">
        <v>1</v>
      </c>
      <c r="Q434" t="s">
        <v>41</v>
      </c>
      <c r="R434">
        <v>3</v>
      </c>
      <c r="S434" t="s">
        <v>46</v>
      </c>
      <c r="T434" s="2">
        <v>2768</v>
      </c>
      <c r="U434" s="2">
        <v>8416</v>
      </c>
      <c r="V434">
        <v>3</v>
      </c>
      <c r="W434" t="s">
        <v>38</v>
      </c>
      <c r="X434">
        <v>12</v>
      </c>
      <c r="Y434">
        <v>3</v>
      </c>
      <c r="Z434">
        <v>3</v>
      </c>
      <c r="AA434">
        <v>80</v>
      </c>
      <c r="AB434">
        <v>1</v>
      </c>
      <c r="AC434">
        <v>14</v>
      </c>
      <c r="AD434">
        <v>3</v>
      </c>
      <c r="AE434">
        <v>3</v>
      </c>
      <c r="AF434">
        <v>7</v>
      </c>
      <c r="AG434">
        <v>3</v>
      </c>
      <c r="AH434">
        <v>5</v>
      </c>
      <c r="AI434">
        <v>7</v>
      </c>
    </row>
    <row r="435" spans="1:35" x14ac:dyDescent="0.25">
      <c r="A435">
        <v>46</v>
      </c>
      <c r="B435" t="str">
        <f t="shared" si="12"/>
        <v>45-54</v>
      </c>
      <c r="C435" s="1" t="s">
        <v>38</v>
      </c>
      <c r="D435" s="17">
        <f>IF(Table1[[#This Row],[Attrition]]="Yes",1,0)</f>
        <v>0</v>
      </c>
      <c r="E435" t="s">
        <v>57</v>
      </c>
      <c r="F435" s="2">
        <v>1125</v>
      </c>
      <c r="G435" t="s">
        <v>33</v>
      </c>
      <c r="H435">
        <v>10</v>
      </c>
      <c r="I435">
        <v>3</v>
      </c>
      <c r="J435" t="str">
        <f t="shared" si="13"/>
        <v>Bachelor</v>
      </c>
      <c r="K435" t="s">
        <v>53</v>
      </c>
      <c r="L435">
        <v>3</v>
      </c>
      <c r="M435" t="s">
        <v>35</v>
      </c>
      <c r="N435" s="2">
        <v>94</v>
      </c>
      <c r="O435">
        <v>2</v>
      </c>
      <c r="P435">
        <v>3</v>
      </c>
      <c r="Q435" t="s">
        <v>36</v>
      </c>
      <c r="R435">
        <v>4</v>
      </c>
      <c r="S435" t="s">
        <v>42</v>
      </c>
      <c r="T435" s="2">
        <v>9071</v>
      </c>
      <c r="U435" s="2">
        <v>11563</v>
      </c>
      <c r="V435">
        <v>2</v>
      </c>
      <c r="W435" t="s">
        <v>32</v>
      </c>
      <c r="X435">
        <v>19</v>
      </c>
      <c r="Y435">
        <v>3</v>
      </c>
      <c r="Z435">
        <v>3</v>
      </c>
      <c r="AA435">
        <v>80</v>
      </c>
      <c r="AB435">
        <v>1</v>
      </c>
      <c r="AC435">
        <v>15</v>
      </c>
      <c r="AD435">
        <v>3</v>
      </c>
      <c r="AE435">
        <v>3</v>
      </c>
      <c r="AF435">
        <v>3</v>
      </c>
      <c r="AG435">
        <v>2</v>
      </c>
      <c r="AH435">
        <v>1</v>
      </c>
      <c r="AI435">
        <v>2</v>
      </c>
    </row>
    <row r="436" spans="1:35" x14ac:dyDescent="0.25">
      <c r="A436">
        <v>31</v>
      </c>
      <c r="B436" t="str">
        <f t="shared" si="12"/>
        <v>25-34</v>
      </c>
      <c r="C436" s="1" t="s">
        <v>38</v>
      </c>
      <c r="D436" s="17">
        <f>IF(Table1[[#This Row],[Attrition]]="Yes",1,0)</f>
        <v>0</v>
      </c>
      <c r="E436" t="s">
        <v>57</v>
      </c>
      <c r="F436" s="2">
        <v>1274</v>
      </c>
      <c r="G436" t="s">
        <v>39</v>
      </c>
      <c r="H436">
        <v>9</v>
      </c>
      <c r="I436">
        <v>1</v>
      </c>
      <c r="J436" t="str">
        <f t="shared" si="13"/>
        <v>Below College</v>
      </c>
      <c r="K436" t="s">
        <v>34</v>
      </c>
      <c r="L436">
        <v>3</v>
      </c>
      <c r="M436" t="s">
        <v>40</v>
      </c>
      <c r="N436" s="2">
        <v>33</v>
      </c>
      <c r="O436">
        <v>3</v>
      </c>
      <c r="P436">
        <v>3</v>
      </c>
      <c r="Q436" t="s">
        <v>47</v>
      </c>
      <c r="R436">
        <v>2</v>
      </c>
      <c r="S436" t="s">
        <v>46</v>
      </c>
      <c r="T436" s="2">
        <v>10648</v>
      </c>
      <c r="U436" s="2">
        <v>14394</v>
      </c>
      <c r="V436">
        <v>1</v>
      </c>
      <c r="W436" t="s">
        <v>38</v>
      </c>
      <c r="X436">
        <v>25</v>
      </c>
      <c r="Y436">
        <v>4</v>
      </c>
      <c r="Z436">
        <v>4</v>
      </c>
      <c r="AA436">
        <v>80</v>
      </c>
      <c r="AB436">
        <v>1</v>
      </c>
      <c r="AC436">
        <v>13</v>
      </c>
      <c r="AD436">
        <v>6</v>
      </c>
      <c r="AE436">
        <v>4</v>
      </c>
      <c r="AF436">
        <v>13</v>
      </c>
      <c r="AG436">
        <v>8</v>
      </c>
      <c r="AH436">
        <v>0</v>
      </c>
      <c r="AI436">
        <v>8</v>
      </c>
    </row>
    <row r="437" spans="1:35" x14ac:dyDescent="0.25">
      <c r="A437">
        <v>33</v>
      </c>
      <c r="B437" t="str">
        <f t="shared" si="12"/>
        <v>25-34</v>
      </c>
      <c r="C437" s="1" t="s">
        <v>32</v>
      </c>
      <c r="D437" s="17">
        <f>IF(Table1[[#This Row],[Attrition]]="Yes",1,0)</f>
        <v>1</v>
      </c>
      <c r="E437" t="s">
        <v>57</v>
      </c>
      <c r="F437" s="2">
        <v>1277</v>
      </c>
      <c r="G437" t="s">
        <v>39</v>
      </c>
      <c r="H437">
        <v>15</v>
      </c>
      <c r="I437">
        <v>1</v>
      </c>
      <c r="J437" t="str">
        <f t="shared" si="13"/>
        <v>Below College</v>
      </c>
      <c r="K437" t="s">
        <v>45</v>
      </c>
      <c r="L437">
        <v>2</v>
      </c>
      <c r="M437" t="s">
        <v>40</v>
      </c>
      <c r="N437" s="2">
        <v>56</v>
      </c>
      <c r="O437">
        <v>3</v>
      </c>
      <c r="P437">
        <v>3</v>
      </c>
      <c r="Q437" t="s">
        <v>50</v>
      </c>
      <c r="R437">
        <v>3</v>
      </c>
      <c r="S437" t="s">
        <v>42</v>
      </c>
      <c r="T437" s="2">
        <v>13610</v>
      </c>
      <c r="U437" s="2">
        <v>24619</v>
      </c>
      <c r="V437">
        <v>7</v>
      </c>
      <c r="W437" t="s">
        <v>32</v>
      </c>
      <c r="X437">
        <v>12</v>
      </c>
      <c r="Y437">
        <v>3</v>
      </c>
      <c r="Z437">
        <v>4</v>
      </c>
      <c r="AA437">
        <v>80</v>
      </c>
      <c r="AB437">
        <v>0</v>
      </c>
      <c r="AC437">
        <v>15</v>
      </c>
      <c r="AD437">
        <v>2</v>
      </c>
      <c r="AE437">
        <v>4</v>
      </c>
      <c r="AF437">
        <v>7</v>
      </c>
      <c r="AG437">
        <v>6</v>
      </c>
      <c r="AH437">
        <v>7</v>
      </c>
      <c r="AI437">
        <v>7</v>
      </c>
    </row>
    <row r="438" spans="1:35" x14ac:dyDescent="0.25">
      <c r="A438">
        <v>33</v>
      </c>
      <c r="B438" t="str">
        <f t="shared" si="12"/>
        <v>25-34</v>
      </c>
      <c r="C438" s="1" t="s">
        <v>32</v>
      </c>
      <c r="D438" s="17">
        <f>IF(Table1[[#This Row],[Attrition]]="Yes",1,0)</f>
        <v>1</v>
      </c>
      <c r="E438" t="s">
        <v>57</v>
      </c>
      <c r="F438" s="2">
        <v>587</v>
      </c>
      <c r="G438" t="s">
        <v>39</v>
      </c>
      <c r="H438">
        <v>10</v>
      </c>
      <c r="I438">
        <v>1</v>
      </c>
      <c r="J438" t="str">
        <f t="shared" si="13"/>
        <v>Below College</v>
      </c>
      <c r="K438" t="s">
        <v>45</v>
      </c>
      <c r="L438">
        <v>1</v>
      </c>
      <c r="M438" t="s">
        <v>40</v>
      </c>
      <c r="N438" s="2">
        <v>38</v>
      </c>
      <c r="O438">
        <v>1</v>
      </c>
      <c r="P438">
        <v>1</v>
      </c>
      <c r="Q438" t="s">
        <v>44</v>
      </c>
      <c r="R438">
        <v>4</v>
      </c>
      <c r="S438" t="s">
        <v>46</v>
      </c>
      <c r="T438" s="2">
        <v>3408</v>
      </c>
      <c r="U438" s="2">
        <v>6705</v>
      </c>
      <c r="V438">
        <v>7</v>
      </c>
      <c r="W438" t="s">
        <v>38</v>
      </c>
      <c r="X438">
        <v>13</v>
      </c>
      <c r="Y438">
        <v>3</v>
      </c>
      <c r="Z438">
        <v>1</v>
      </c>
      <c r="AA438">
        <v>80</v>
      </c>
      <c r="AB438">
        <v>3</v>
      </c>
      <c r="AC438">
        <v>8</v>
      </c>
      <c r="AD438">
        <v>2</v>
      </c>
      <c r="AE438">
        <v>3</v>
      </c>
      <c r="AF438">
        <v>4</v>
      </c>
      <c r="AG438">
        <v>3</v>
      </c>
      <c r="AH438">
        <v>1</v>
      </c>
      <c r="AI438">
        <v>3</v>
      </c>
    </row>
    <row r="439" spans="1:35" x14ac:dyDescent="0.25">
      <c r="A439">
        <v>30</v>
      </c>
      <c r="B439" t="str">
        <f t="shared" si="12"/>
        <v>25-34</v>
      </c>
      <c r="C439" s="1" t="s">
        <v>38</v>
      </c>
      <c r="D439" s="17">
        <f>IF(Table1[[#This Row],[Attrition]]="Yes",1,0)</f>
        <v>0</v>
      </c>
      <c r="E439" t="s">
        <v>57</v>
      </c>
      <c r="F439" s="2">
        <v>413</v>
      </c>
      <c r="G439" t="s">
        <v>33</v>
      </c>
      <c r="H439">
        <v>7</v>
      </c>
      <c r="I439">
        <v>1</v>
      </c>
      <c r="J439" t="str">
        <f t="shared" si="13"/>
        <v>Below College</v>
      </c>
      <c r="K439" t="s">
        <v>53</v>
      </c>
      <c r="L439">
        <v>4</v>
      </c>
      <c r="M439" t="s">
        <v>40</v>
      </c>
      <c r="N439" s="2">
        <v>57</v>
      </c>
      <c r="O439">
        <v>3</v>
      </c>
      <c r="P439">
        <v>1</v>
      </c>
      <c r="Q439" t="s">
        <v>51</v>
      </c>
      <c r="R439">
        <v>2</v>
      </c>
      <c r="S439" t="s">
        <v>37</v>
      </c>
      <c r="T439" s="2">
        <v>2983</v>
      </c>
      <c r="U439" s="2">
        <v>18398</v>
      </c>
      <c r="V439">
        <v>0</v>
      </c>
      <c r="W439" t="s">
        <v>38</v>
      </c>
      <c r="X439">
        <v>14</v>
      </c>
      <c r="Y439">
        <v>3</v>
      </c>
      <c r="Z439">
        <v>1</v>
      </c>
      <c r="AA439">
        <v>80</v>
      </c>
      <c r="AB439">
        <v>0</v>
      </c>
      <c r="AC439">
        <v>4</v>
      </c>
      <c r="AD439">
        <v>3</v>
      </c>
      <c r="AE439">
        <v>3</v>
      </c>
      <c r="AF439">
        <v>3</v>
      </c>
      <c r="AG439">
        <v>2</v>
      </c>
      <c r="AH439">
        <v>1</v>
      </c>
      <c r="AI439">
        <v>2</v>
      </c>
    </row>
    <row r="440" spans="1:35" x14ac:dyDescent="0.25">
      <c r="A440">
        <v>35</v>
      </c>
      <c r="B440" t="str">
        <f t="shared" si="12"/>
        <v>35-44</v>
      </c>
      <c r="C440" s="1" t="s">
        <v>38</v>
      </c>
      <c r="D440" s="17">
        <f>IF(Table1[[#This Row],[Attrition]]="Yes",1,0)</f>
        <v>0</v>
      </c>
      <c r="E440" t="s">
        <v>57</v>
      </c>
      <c r="F440" s="2">
        <v>1276</v>
      </c>
      <c r="G440" t="s">
        <v>39</v>
      </c>
      <c r="H440">
        <v>16</v>
      </c>
      <c r="I440">
        <v>3</v>
      </c>
      <c r="J440" t="str">
        <f t="shared" si="13"/>
        <v>Bachelor</v>
      </c>
      <c r="K440" t="s">
        <v>34</v>
      </c>
      <c r="L440">
        <v>4</v>
      </c>
      <c r="M440" t="s">
        <v>40</v>
      </c>
      <c r="N440" s="2">
        <v>72</v>
      </c>
      <c r="O440">
        <v>3</v>
      </c>
      <c r="P440">
        <v>3</v>
      </c>
      <c r="Q440" t="s">
        <v>48</v>
      </c>
      <c r="R440">
        <v>3</v>
      </c>
      <c r="S440" t="s">
        <v>42</v>
      </c>
      <c r="T440" s="2">
        <v>7632</v>
      </c>
      <c r="U440" s="2">
        <v>14295</v>
      </c>
      <c r="V440">
        <v>4</v>
      </c>
      <c r="W440" t="s">
        <v>32</v>
      </c>
      <c r="X440">
        <v>12</v>
      </c>
      <c r="Y440">
        <v>3</v>
      </c>
      <c r="Z440">
        <v>3</v>
      </c>
      <c r="AA440">
        <v>80</v>
      </c>
      <c r="AB440">
        <v>0</v>
      </c>
      <c r="AC440">
        <v>10</v>
      </c>
      <c r="AD440">
        <v>2</v>
      </c>
      <c r="AE440">
        <v>3</v>
      </c>
      <c r="AF440">
        <v>8</v>
      </c>
      <c r="AG440">
        <v>7</v>
      </c>
      <c r="AH440">
        <v>0</v>
      </c>
      <c r="AI440">
        <v>0</v>
      </c>
    </row>
    <row r="441" spans="1:35" x14ac:dyDescent="0.25">
      <c r="A441">
        <v>31</v>
      </c>
      <c r="B441" t="str">
        <f t="shared" si="12"/>
        <v>25-34</v>
      </c>
      <c r="C441" s="1" t="s">
        <v>32</v>
      </c>
      <c r="D441" s="17">
        <f>IF(Table1[[#This Row],[Attrition]]="Yes",1,0)</f>
        <v>1</v>
      </c>
      <c r="E441" t="s">
        <v>58</v>
      </c>
      <c r="F441" s="2">
        <v>534</v>
      </c>
      <c r="G441" t="s">
        <v>39</v>
      </c>
      <c r="H441">
        <v>20</v>
      </c>
      <c r="I441">
        <v>3</v>
      </c>
      <c r="J441" t="str">
        <f t="shared" si="13"/>
        <v>Bachelor</v>
      </c>
      <c r="K441" t="s">
        <v>34</v>
      </c>
      <c r="L441">
        <v>1</v>
      </c>
      <c r="M441" t="s">
        <v>40</v>
      </c>
      <c r="N441" s="2">
        <v>66</v>
      </c>
      <c r="O441">
        <v>3</v>
      </c>
      <c r="P441">
        <v>3</v>
      </c>
      <c r="Q441" t="s">
        <v>48</v>
      </c>
      <c r="R441">
        <v>3</v>
      </c>
      <c r="S441" t="s">
        <v>42</v>
      </c>
      <c r="T441" s="2">
        <v>9824</v>
      </c>
      <c r="U441" s="2">
        <v>22908</v>
      </c>
      <c r="V441">
        <v>3</v>
      </c>
      <c r="W441" t="s">
        <v>38</v>
      </c>
      <c r="X441">
        <v>12</v>
      </c>
      <c r="Y441">
        <v>3</v>
      </c>
      <c r="Z441">
        <v>1</v>
      </c>
      <c r="AA441">
        <v>80</v>
      </c>
      <c r="AB441">
        <v>0</v>
      </c>
      <c r="AC441">
        <v>12</v>
      </c>
      <c r="AD441">
        <v>2</v>
      </c>
      <c r="AE441">
        <v>3</v>
      </c>
      <c r="AF441">
        <v>1</v>
      </c>
      <c r="AG441">
        <v>0</v>
      </c>
      <c r="AH441">
        <v>0</v>
      </c>
      <c r="AI441">
        <v>0</v>
      </c>
    </row>
    <row r="442" spans="1:35" x14ac:dyDescent="0.25">
      <c r="A442">
        <v>34</v>
      </c>
      <c r="B442" t="str">
        <f t="shared" si="12"/>
        <v>25-34</v>
      </c>
      <c r="C442" s="1" t="s">
        <v>32</v>
      </c>
      <c r="D442" s="17">
        <f>IF(Table1[[#This Row],[Attrition]]="Yes",1,0)</f>
        <v>1</v>
      </c>
      <c r="E442" t="s">
        <v>58</v>
      </c>
      <c r="F442" s="2">
        <v>988</v>
      </c>
      <c r="G442" t="s">
        <v>55</v>
      </c>
      <c r="H442">
        <v>23</v>
      </c>
      <c r="I442">
        <v>3</v>
      </c>
      <c r="J442" t="str">
        <f t="shared" si="13"/>
        <v>Bachelor</v>
      </c>
      <c r="K442" t="s">
        <v>55</v>
      </c>
      <c r="L442">
        <v>2</v>
      </c>
      <c r="M442" t="s">
        <v>35</v>
      </c>
      <c r="N442" s="2">
        <v>43</v>
      </c>
      <c r="O442">
        <v>3</v>
      </c>
      <c r="P442">
        <v>3</v>
      </c>
      <c r="Q442" t="s">
        <v>55</v>
      </c>
      <c r="R442">
        <v>1</v>
      </c>
      <c r="S442" t="s">
        <v>46</v>
      </c>
      <c r="T442" s="2">
        <v>9950</v>
      </c>
      <c r="U442" s="2">
        <v>11533</v>
      </c>
      <c r="V442">
        <v>9</v>
      </c>
      <c r="W442" t="s">
        <v>32</v>
      </c>
      <c r="X442">
        <v>15</v>
      </c>
      <c r="Y442">
        <v>3</v>
      </c>
      <c r="Z442">
        <v>3</v>
      </c>
      <c r="AA442">
        <v>80</v>
      </c>
      <c r="AB442">
        <v>3</v>
      </c>
      <c r="AC442">
        <v>11</v>
      </c>
      <c r="AD442">
        <v>2</v>
      </c>
      <c r="AE442">
        <v>3</v>
      </c>
      <c r="AF442">
        <v>3</v>
      </c>
      <c r="AG442">
        <v>2</v>
      </c>
      <c r="AH442">
        <v>0</v>
      </c>
      <c r="AI442">
        <v>2</v>
      </c>
    </row>
    <row r="443" spans="1:35" x14ac:dyDescent="0.25">
      <c r="A443">
        <v>42</v>
      </c>
      <c r="B443" t="str">
        <f t="shared" si="12"/>
        <v>35-44</v>
      </c>
      <c r="C443" s="1" t="s">
        <v>38</v>
      </c>
      <c r="D443" s="17">
        <f>IF(Table1[[#This Row],[Attrition]]="Yes",1,0)</f>
        <v>0</v>
      </c>
      <c r="E443" t="s">
        <v>58</v>
      </c>
      <c r="F443" s="2">
        <v>1474</v>
      </c>
      <c r="G443" t="s">
        <v>39</v>
      </c>
      <c r="H443">
        <v>5</v>
      </c>
      <c r="I443">
        <v>2</v>
      </c>
      <c r="J443" t="str">
        <f t="shared" si="13"/>
        <v>College</v>
      </c>
      <c r="K443" t="s">
        <v>43</v>
      </c>
      <c r="L443">
        <v>2</v>
      </c>
      <c r="M443" t="s">
        <v>40</v>
      </c>
      <c r="N443" s="2">
        <v>97</v>
      </c>
      <c r="O443">
        <v>3</v>
      </c>
      <c r="P443">
        <v>1</v>
      </c>
      <c r="Q443" t="s">
        <v>44</v>
      </c>
      <c r="R443">
        <v>3</v>
      </c>
      <c r="S443" t="s">
        <v>42</v>
      </c>
      <c r="T443" s="2">
        <v>2093</v>
      </c>
      <c r="U443" s="2">
        <v>9260</v>
      </c>
      <c r="V443">
        <v>4</v>
      </c>
      <c r="W443" t="s">
        <v>38</v>
      </c>
      <c r="X443">
        <v>17</v>
      </c>
      <c r="Y443">
        <v>3</v>
      </c>
      <c r="Z443">
        <v>4</v>
      </c>
      <c r="AA443">
        <v>80</v>
      </c>
      <c r="AB443">
        <v>1</v>
      </c>
      <c r="AC443">
        <v>8</v>
      </c>
      <c r="AD443">
        <v>4</v>
      </c>
      <c r="AE443">
        <v>3</v>
      </c>
      <c r="AF443">
        <v>2</v>
      </c>
      <c r="AG443">
        <v>2</v>
      </c>
      <c r="AH443">
        <v>2</v>
      </c>
      <c r="AI443">
        <v>0</v>
      </c>
    </row>
    <row r="444" spans="1:35" x14ac:dyDescent="0.25">
      <c r="A444">
        <v>36</v>
      </c>
      <c r="B444" t="str">
        <f t="shared" si="12"/>
        <v>35-44</v>
      </c>
      <c r="C444" s="1" t="s">
        <v>38</v>
      </c>
      <c r="D444" s="17">
        <f>IF(Table1[[#This Row],[Attrition]]="Yes",1,0)</f>
        <v>0</v>
      </c>
      <c r="E444" t="s">
        <v>49</v>
      </c>
      <c r="F444" s="2">
        <v>635</v>
      </c>
      <c r="G444" t="s">
        <v>33</v>
      </c>
      <c r="H444">
        <v>10</v>
      </c>
      <c r="I444">
        <v>4</v>
      </c>
      <c r="J444" t="str">
        <f t="shared" si="13"/>
        <v>Master</v>
      </c>
      <c r="K444" t="s">
        <v>45</v>
      </c>
      <c r="L444">
        <v>2</v>
      </c>
      <c r="M444" t="s">
        <v>40</v>
      </c>
      <c r="N444" s="2">
        <v>32</v>
      </c>
      <c r="O444">
        <v>3</v>
      </c>
      <c r="P444">
        <v>3</v>
      </c>
      <c r="Q444" t="s">
        <v>36</v>
      </c>
      <c r="R444">
        <v>4</v>
      </c>
      <c r="S444" t="s">
        <v>37</v>
      </c>
      <c r="T444" s="2">
        <v>9980</v>
      </c>
      <c r="U444" s="2">
        <v>15318</v>
      </c>
      <c r="V444">
        <v>1</v>
      </c>
      <c r="W444" t="s">
        <v>38</v>
      </c>
      <c r="X444">
        <v>14</v>
      </c>
      <c r="Y444">
        <v>3</v>
      </c>
      <c r="Z444">
        <v>4</v>
      </c>
      <c r="AA444">
        <v>80</v>
      </c>
      <c r="AB444">
        <v>0</v>
      </c>
      <c r="AC444">
        <v>10</v>
      </c>
      <c r="AD444">
        <v>3</v>
      </c>
      <c r="AE444">
        <v>2</v>
      </c>
      <c r="AF444">
        <v>10</v>
      </c>
      <c r="AG444">
        <v>3</v>
      </c>
      <c r="AH444">
        <v>9</v>
      </c>
      <c r="AI444">
        <v>7</v>
      </c>
    </row>
    <row r="445" spans="1:35" x14ac:dyDescent="0.25">
      <c r="A445">
        <v>22</v>
      </c>
      <c r="B445" t="str">
        <f t="shared" si="12"/>
        <v>18-24</v>
      </c>
      <c r="C445" s="1" t="s">
        <v>32</v>
      </c>
      <c r="D445" s="17">
        <f>IF(Table1[[#This Row],[Attrition]]="Yes",1,0)</f>
        <v>1</v>
      </c>
      <c r="E445" t="s">
        <v>58</v>
      </c>
      <c r="F445" s="2">
        <v>1368</v>
      </c>
      <c r="G445" t="s">
        <v>39</v>
      </c>
      <c r="H445">
        <v>4</v>
      </c>
      <c r="I445">
        <v>1</v>
      </c>
      <c r="J445" t="str">
        <f t="shared" si="13"/>
        <v>Below College</v>
      </c>
      <c r="K445" t="s">
        <v>54</v>
      </c>
      <c r="L445">
        <v>3</v>
      </c>
      <c r="M445" t="s">
        <v>40</v>
      </c>
      <c r="N445" s="2">
        <v>99</v>
      </c>
      <c r="O445">
        <v>2</v>
      </c>
      <c r="P445">
        <v>1</v>
      </c>
      <c r="Q445" t="s">
        <v>44</v>
      </c>
      <c r="R445">
        <v>3</v>
      </c>
      <c r="S445" t="s">
        <v>37</v>
      </c>
      <c r="T445" s="2">
        <v>3894</v>
      </c>
      <c r="U445" s="2">
        <v>9129</v>
      </c>
      <c r="V445">
        <v>5</v>
      </c>
      <c r="W445" t="s">
        <v>38</v>
      </c>
      <c r="X445">
        <v>16</v>
      </c>
      <c r="Y445">
        <v>3</v>
      </c>
      <c r="Z445">
        <v>3</v>
      </c>
      <c r="AA445">
        <v>80</v>
      </c>
      <c r="AB445">
        <v>0</v>
      </c>
      <c r="AC445">
        <v>4</v>
      </c>
      <c r="AD445">
        <v>3</v>
      </c>
      <c r="AE445">
        <v>3</v>
      </c>
      <c r="AF445">
        <v>2</v>
      </c>
      <c r="AG445">
        <v>2</v>
      </c>
      <c r="AH445">
        <v>1</v>
      </c>
      <c r="AI445">
        <v>2</v>
      </c>
    </row>
    <row r="446" spans="1:35" x14ac:dyDescent="0.25">
      <c r="A446">
        <v>48</v>
      </c>
      <c r="B446" t="str">
        <f t="shared" si="12"/>
        <v>45-54</v>
      </c>
      <c r="C446" s="1" t="s">
        <v>38</v>
      </c>
      <c r="D446" s="17">
        <f>IF(Table1[[#This Row],[Attrition]]="Yes",1,0)</f>
        <v>0</v>
      </c>
      <c r="E446" t="s">
        <v>57</v>
      </c>
      <c r="F446" s="2">
        <v>163</v>
      </c>
      <c r="G446" t="s">
        <v>33</v>
      </c>
      <c r="H446">
        <v>2</v>
      </c>
      <c r="I446">
        <v>5</v>
      </c>
      <c r="J446" t="str">
        <f t="shared" si="13"/>
        <v>Doctor</v>
      </c>
      <c r="K446" t="s">
        <v>53</v>
      </c>
      <c r="L446">
        <v>2</v>
      </c>
      <c r="M446" t="s">
        <v>35</v>
      </c>
      <c r="N446" s="2">
        <v>37</v>
      </c>
      <c r="O446">
        <v>3</v>
      </c>
      <c r="P446">
        <v>2</v>
      </c>
      <c r="Q446" t="s">
        <v>36</v>
      </c>
      <c r="R446">
        <v>4</v>
      </c>
      <c r="S446" t="s">
        <v>42</v>
      </c>
      <c r="T446" s="2">
        <v>4051</v>
      </c>
      <c r="U446" s="2">
        <v>19658</v>
      </c>
      <c r="V446">
        <v>2</v>
      </c>
      <c r="W446" t="s">
        <v>38</v>
      </c>
      <c r="X446">
        <v>14</v>
      </c>
      <c r="Y446">
        <v>3</v>
      </c>
      <c r="Z446">
        <v>1</v>
      </c>
      <c r="AA446">
        <v>80</v>
      </c>
      <c r="AB446">
        <v>1</v>
      </c>
      <c r="AC446">
        <v>14</v>
      </c>
      <c r="AD446">
        <v>2</v>
      </c>
      <c r="AE446">
        <v>3</v>
      </c>
      <c r="AF446">
        <v>9</v>
      </c>
      <c r="AG446">
        <v>7</v>
      </c>
      <c r="AH446">
        <v>6</v>
      </c>
      <c r="AI446">
        <v>7</v>
      </c>
    </row>
    <row r="447" spans="1:35" x14ac:dyDescent="0.25">
      <c r="A447">
        <v>55</v>
      </c>
      <c r="B447" t="str">
        <f t="shared" si="12"/>
        <v>55-64</v>
      </c>
      <c r="C447" s="1" t="s">
        <v>38</v>
      </c>
      <c r="D447" s="17">
        <f>IF(Table1[[#This Row],[Attrition]]="Yes",1,0)</f>
        <v>0</v>
      </c>
      <c r="E447" t="s">
        <v>57</v>
      </c>
      <c r="F447" s="2">
        <v>1117</v>
      </c>
      <c r="G447" t="s">
        <v>33</v>
      </c>
      <c r="H447">
        <v>18</v>
      </c>
      <c r="I447">
        <v>5</v>
      </c>
      <c r="J447" t="str">
        <f t="shared" si="13"/>
        <v>Doctor</v>
      </c>
      <c r="K447" t="s">
        <v>34</v>
      </c>
      <c r="L447">
        <v>1</v>
      </c>
      <c r="M447" t="s">
        <v>35</v>
      </c>
      <c r="N447" s="2">
        <v>83</v>
      </c>
      <c r="O447">
        <v>3</v>
      </c>
      <c r="P447">
        <v>4</v>
      </c>
      <c r="Q447" t="s">
        <v>50</v>
      </c>
      <c r="R447">
        <v>2</v>
      </c>
      <c r="S447" t="s">
        <v>37</v>
      </c>
      <c r="T447" s="2">
        <v>16835</v>
      </c>
      <c r="U447" s="2">
        <v>9873</v>
      </c>
      <c r="V447">
        <v>3</v>
      </c>
      <c r="W447" t="s">
        <v>38</v>
      </c>
      <c r="X447">
        <v>23</v>
      </c>
      <c r="Y447">
        <v>4</v>
      </c>
      <c r="Z447">
        <v>4</v>
      </c>
      <c r="AA447">
        <v>80</v>
      </c>
      <c r="AB447">
        <v>0</v>
      </c>
      <c r="AC447">
        <v>37</v>
      </c>
      <c r="AD447">
        <v>2</v>
      </c>
      <c r="AE447">
        <v>3</v>
      </c>
      <c r="AF447">
        <v>10</v>
      </c>
      <c r="AG447">
        <v>9</v>
      </c>
      <c r="AH447">
        <v>7</v>
      </c>
      <c r="AI447">
        <v>7</v>
      </c>
    </row>
    <row r="448" spans="1:35" x14ac:dyDescent="0.25">
      <c r="A448">
        <v>41</v>
      </c>
      <c r="B448" t="str">
        <f t="shared" si="12"/>
        <v>35-44</v>
      </c>
      <c r="C448" s="1" t="s">
        <v>38</v>
      </c>
      <c r="D448" s="17">
        <f>IF(Table1[[#This Row],[Attrition]]="Yes",1,0)</f>
        <v>0</v>
      </c>
      <c r="E448" t="s">
        <v>49</v>
      </c>
      <c r="F448" s="2">
        <v>267</v>
      </c>
      <c r="G448" t="s">
        <v>33</v>
      </c>
      <c r="H448">
        <v>10</v>
      </c>
      <c r="I448">
        <v>2</v>
      </c>
      <c r="J448" t="str">
        <f t="shared" si="13"/>
        <v>College</v>
      </c>
      <c r="K448" t="s">
        <v>34</v>
      </c>
      <c r="L448">
        <v>4</v>
      </c>
      <c r="M448" t="s">
        <v>40</v>
      </c>
      <c r="N448" s="2">
        <v>56</v>
      </c>
      <c r="O448">
        <v>3</v>
      </c>
      <c r="P448">
        <v>2</v>
      </c>
      <c r="Q448" t="s">
        <v>36</v>
      </c>
      <c r="R448">
        <v>4</v>
      </c>
      <c r="S448" t="s">
        <v>37</v>
      </c>
      <c r="T448" s="2">
        <v>6230</v>
      </c>
      <c r="U448" s="2">
        <v>13430</v>
      </c>
      <c r="V448">
        <v>7</v>
      </c>
      <c r="W448" t="s">
        <v>38</v>
      </c>
      <c r="X448">
        <v>14</v>
      </c>
      <c r="Y448">
        <v>3</v>
      </c>
      <c r="Z448">
        <v>4</v>
      </c>
      <c r="AA448">
        <v>80</v>
      </c>
      <c r="AB448">
        <v>0</v>
      </c>
      <c r="AC448">
        <v>16</v>
      </c>
      <c r="AD448">
        <v>3</v>
      </c>
      <c r="AE448">
        <v>3</v>
      </c>
      <c r="AF448">
        <v>14</v>
      </c>
      <c r="AG448">
        <v>3</v>
      </c>
      <c r="AH448">
        <v>1</v>
      </c>
      <c r="AI448">
        <v>10</v>
      </c>
    </row>
    <row r="449" spans="1:35" x14ac:dyDescent="0.25">
      <c r="A449">
        <v>35</v>
      </c>
      <c r="B449" t="str">
        <f t="shared" si="12"/>
        <v>35-44</v>
      </c>
      <c r="C449" s="1" t="s">
        <v>38</v>
      </c>
      <c r="D449" s="17">
        <f>IF(Table1[[#This Row],[Attrition]]="Yes",1,0)</f>
        <v>0</v>
      </c>
      <c r="E449" t="s">
        <v>57</v>
      </c>
      <c r="F449" s="2">
        <v>619</v>
      </c>
      <c r="G449" t="s">
        <v>33</v>
      </c>
      <c r="H449">
        <v>1</v>
      </c>
      <c r="I449">
        <v>3</v>
      </c>
      <c r="J449" t="str">
        <f t="shared" si="13"/>
        <v>Bachelor</v>
      </c>
      <c r="K449" t="s">
        <v>53</v>
      </c>
      <c r="L449">
        <v>2</v>
      </c>
      <c r="M449" t="s">
        <v>40</v>
      </c>
      <c r="N449" s="2">
        <v>85</v>
      </c>
      <c r="O449">
        <v>3</v>
      </c>
      <c r="P449">
        <v>2</v>
      </c>
      <c r="Q449" t="s">
        <v>36</v>
      </c>
      <c r="R449">
        <v>3</v>
      </c>
      <c r="S449" t="s">
        <v>42</v>
      </c>
      <c r="T449" s="2">
        <v>4717</v>
      </c>
      <c r="U449" s="2">
        <v>18659</v>
      </c>
      <c r="V449">
        <v>9</v>
      </c>
      <c r="W449" t="s">
        <v>38</v>
      </c>
      <c r="X449">
        <v>11</v>
      </c>
      <c r="Y449">
        <v>3</v>
      </c>
      <c r="Z449">
        <v>3</v>
      </c>
      <c r="AA449">
        <v>80</v>
      </c>
      <c r="AB449">
        <v>0</v>
      </c>
      <c r="AC449">
        <v>15</v>
      </c>
      <c r="AD449">
        <v>2</v>
      </c>
      <c r="AE449">
        <v>3</v>
      </c>
      <c r="AF449">
        <v>11</v>
      </c>
      <c r="AG449">
        <v>9</v>
      </c>
      <c r="AH449">
        <v>6</v>
      </c>
      <c r="AI449">
        <v>9</v>
      </c>
    </row>
    <row r="450" spans="1:35" x14ac:dyDescent="0.25">
      <c r="A450">
        <v>40</v>
      </c>
      <c r="B450" t="str">
        <f t="shared" ref="B450:B513" si="14">IF(A450="","",IF(A450&lt;25,"18-24",
 IF(A450&lt;35,"25-34",
 IF(A450&lt;45,"35-44",
 IF(A450&lt;55,"45-54",
 IF(A450&lt;65,"55-64","65+"))))))</f>
        <v>35-44</v>
      </c>
      <c r="C450" s="1" t="s">
        <v>38</v>
      </c>
      <c r="D450" s="17">
        <f>IF(Table1[[#This Row],[Attrition]]="Yes",1,0)</f>
        <v>0</v>
      </c>
      <c r="E450" t="s">
        <v>57</v>
      </c>
      <c r="F450" s="2">
        <v>302</v>
      </c>
      <c r="G450" t="s">
        <v>39</v>
      </c>
      <c r="H450">
        <v>6</v>
      </c>
      <c r="I450">
        <v>3</v>
      </c>
      <c r="J450" t="str">
        <f t="shared" ref="J450:J513" si="15">CHOOSE(I450,"Below College","College","Bachelor","Master","Doctor")</f>
        <v>Bachelor</v>
      </c>
      <c r="K450" t="s">
        <v>34</v>
      </c>
      <c r="L450">
        <v>2</v>
      </c>
      <c r="M450" t="s">
        <v>35</v>
      </c>
      <c r="N450" s="2">
        <v>75</v>
      </c>
      <c r="O450">
        <v>3</v>
      </c>
      <c r="P450">
        <v>4</v>
      </c>
      <c r="Q450" t="s">
        <v>47</v>
      </c>
      <c r="R450">
        <v>3</v>
      </c>
      <c r="S450" t="s">
        <v>37</v>
      </c>
      <c r="T450" s="2">
        <v>13237</v>
      </c>
      <c r="U450" s="2">
        <v>20364</v>
      </c>
      <c r="V450">
        <v>7</v>
      </c>
      <c r="W450" t="s">
        <v>38</v>
      </c>
      <c r="X450">
        <v>15</v>
      </c>
      <c r="Y450">
        <v>3</v>
      </c>
      <c r="Z450">
        <v>3</v>
      </c>
      <c r="AA450">
        <v>80</v>
      </c>
      <c r="AB450">
        <v>0</v>
      </c>
      <c r="AC450">
        <v>22</v>
      </c>
      <c r="AD450">
        <v>3</v>
      </c>
      <c r="AE450">
        <v>3</v>
      </c>
      <c r="AF450">
        <v>20</v>
      </c>
      <c r="AG450">
        <v>6</v>
      </c>
      <c r="AH450">
        <v>5</v>
      </c>
      <c r="AI450">
        <v>13</v>
      </c>
    </row>
    <row r="451" spans="1:35" x14ac:dyDescent="0.25">
      <c r="A451">
        <v>39</v>
      </c>
      <c r="B451" t="str">
        <f t="shared" si="14"/>
        <v>35-44</v>
      </c>
      <c r="C451" s="1" t="s">
        <v>38</v>
      </c>
      <c r="D451" s="17">
        <f>IF(Table1[[#This Row],[Attrition]]="Yes",1,0)</f>
        <v>0</v>
      </c>
      <c r="E451" t="s">
        <v>58</v>
      </c>
      <c r="F451" s="2">
        <v>443</v>
      </c>
      <c r="G451" t="s">
        <v>39</v>
      </c>
      <c r="H451">
        <v>8</v>
      </c>
      <c r="I451">
        <v>1</v>
      </c>
      <c r="J451" t="str">
        <f t="shared" si="15"/>
        <v>Below College</v>
      </c>
      <c r="K451" t="s">
        <v>34</v>
      </c>
      <c r="L451">
        <v>3</v>
      </c>
      <c r="M451" t="s">
        <v>35</v>
      </c>
      <c r="N451" s="2">
        <v>48</v>
      </c>
      <c r="O451">
        <v>3</v>
      </c>
      <c r="P451">
        <v>1</v>
      </c>
      <c r="Q451" t="s">
        <v>44</v>
      </c>
      <c r="R451">
        <v>3</v>
      </c>
      <c r="S451" t="s">
        <v>42</v>
      </c>
      <c r="T451" s="2">
        <v>3755</v>
      </c>
      <c r="U451" s="2">
        <v>17872</v>
      </c>
      <c r="V451">
        <v>1</v>
      </c>
      <c r="W451" t="s">
        <v>38</v>
      </c>
      <c r="X451">
        <v>11</v>
      </c>
      <c r="Y451">
        <v>3</v>
      </c>
      <c r="Z451">
        <v>1</v>
      </c>
      <c r="AA451">
        <v>80</v>
      </c>
      <c r="AB451">
        <v>1</v>
      </c>
      <c r="AC451">
        <v>8</v>
      </c>
      <c r="AD451">
        <v>3</v>
      </c>
      <c r="AE451">
        <v>3</v>
      </c>
      <c r="AF451">
        <v>8</v>
      </c>
      <c r="AG451">
        <v>3</v>
      </c>
      <c r="AH451">
        <v>0</v>
      </c>
      <c r="AI451">
        <v>7</v>
      </c>
    </row>
    <row r="452" spans="1:35" x14ac:dyDescent="0.25">
      <c r="A452">
        <v>31</v>
      </c>
      <c r="B452" t="str">
        <f t="shared" si="14"/>
        <v>25-34</v>
      </c>
      <c r="C452" s="1" t="s">
        <v>38</v>
      </c>
      <c r="D452" s="17">
        <f>IF(Table1[[#This Row],[Attrition]]="Yes",1,0)</f>
        <v>0</v>
      </c>
      <c r="E452" t="s">
        <v>57</v>
      </c>
      <c r="F452" s="2">
        <v>828</v>
      </c>
      <c r="G452" t="s">
        <v>33</v>
      </c>
      <c r="H452">
        <v>2</v>
      </c>
      <c r="I452">
        <v>1</v>
      </c>
      <c r="J452" t="str">
        <f t="shared" si="15"/>
        <v>Below College</v>
      </c>
      <c r="K452" t="s">
        <v>34</v>
      </c>
      <c r="L452">
        <v>2</v>
      </c>
      <c r="M452" t="s">
        <v>40</v>
      </c>
      <c r="N452" s="2">
        <v>77</v>
      </c>
      <c r="O452">
        <v>3</v>
      </c>
      <c r="P452">
        <v>2</v>
      </c>
      <c r="Q452" t="s">
        <v>36</v>
      </c>
      <c r="R452">
        <v>4</v>
      </c>
      <c r="S452" t="s">
        <v>37</v>
      </c>
      <c r="T452" s="2">
        <v>6582</v>
      </c>
      <c r="U452" s="2">
        <v>8346</v>
      </c>
      <c r="V452">
        <v>4</v>
      </c>
      <c r="W452" t="s">
        <v>32</v>
      </c>
      <c r="X452">
        <v>13</v>
      </c>
      <c r="Y452">
        <v>3</v>
      </c>
      <c r="Z452">
        <v>3</v>
      </c>
      <c r="AA452">
        <v>80</v>
      </c>
      <c r="AB452">
        <v>0</v>
      </c>
      <c r="AC452">
        <v>10</v>
      </c>
      <c r="AD452">
        <v>2</v>
      </c>
      <c r="AE452">
        <v>4</v>
      </c>
      <c r="AF452">
        <v>6</v>
      </c>
      <c r="AG452">
        <v>5</v>
      </c>
      <c r="AH452">
        <v>0</v>
      </c>
      <c r="AI452">
        <v>5</v>
      </c>
    </row>
    <row r="453" spans="1:35" x14ac:dyDescent="0.25">
      <c r="A453">
        <v>42</v>
      </c>
      <c r="B453" t="str">
        <f t="shared" si="14"/>
        <v>35-44</v>
      </c>
      <c r="C453" s="1" t="s">
        <v>38</v>
      </c>
      <c r="D453" s="17">
        <f>IF(Table1[[#This Row],[Attrition]]="Yes",1,0)</f>
        <v>0</v>
      </c>
      <c r="E453" t="s">
        <v>57</v>
      </c>
      <c r="F453" s="2">
        <v>319</v>
      </c>
      <c r="G453" t="s">
        <v>39</v>
      </c>
      <c r="H453">
        <v>24</v>
      </c>
      <c r="I453">
        <v>3</v>
      </c>
      <c r="J453" t="str">
        <f t="shared" si="15"/>
        <v>Bachelor</v>
      </c>
      <c r="K453" t="s">
        <v>45</v>
      </c>
      <c r="L453">
        <v>4</v>
      </c>
      <c r="M453" t="s">
        <v>40</v>
      </c>
      <c r="N453" s="2">
        <v>56</v>
      </c>
      <c r="O453">
        <v>3</v>
      </c>
      <c r="P453">
        <v>3</v>
      </c>
      <c r="Q453" t="s">
        <v>47</v>
      </c>
      <c r="R453">
        <v>1</v>
      </c>
      <c r="S453" t="s">
        <v>42</v>
      </c>
      <c r="T453" s="2">
        <v>7406</v>
      </c>
      <c r="U453" s="2">
        <v>6950</v>
      </c>
      <c r="V453">
        <v>1</v>
      </c>
      <c r="W453" t="s">
        <v>32</v>
      </c>
      <c r="X453">
        <v>21</v>
      </c>
      <c r="Y453">
        <v>4</v>
      </c>
      <c r="Z453">
        <v>4</v>
      </c>
      <c r="AA453">
        <v>80</v>
      </c>
      <c r="AB453">
        <v>1</v>
      </c>
      <c r="AC453">
        <v>10</v>
      </c>
      <c r="AD453">
        <v>5</v>
      </c>
      <c r="AE453">
        <v>2</v>
      </c>
      <c r="AF453">
        <v>10</v>
      </c>
      <c r="AG453">
        <v>9</v>
      </c>
      <c r="AH453">
        <v>5</v>
      </c>
      <c r="AI453">
        <v>8</v>
      </c>
    </row>
    <row r="454" spans="1:35" x14ac:dyDescent="0.25">
      <c r="A454">
        <v>45</v>
      </c>
      <c r="B454" t="str">
        <f t="shared" si="14"/>
        <v>45-54</v>
      </c>
      <c r="C454" s="1" t="s">
        <v>38</v>
      </c>
      <c r="D454" s="17">
        <f>IF(Table1[[#This Row],[Attrition]]="Yes",1,0)</f>
        <v>0</v>
      </c>
      <c r="E454" t="s">
        <v>57</v>
      </c>
      <c r="F454" s="2">
        <v>561</v>
      </c>
      <c r="G454" t="s">
        <v>33</v>
      </c>
      <c r="H454">
        <v>2</v>
      </c>
      <c r="I454">
        <v>3</v>
      </c>
      <c r="J454" t="str">
        <f t="shared" si="15"/>
        <v>Bachelor</v>
      </c>
      <c r="K454" t="s">
        <v>43</v>
      </c>
      <c r="L454">
        <v>4</v>
      </c>
      <c r="M454" t="s">
        <v>40</v>
      </c>
      <c r="N454" s="2">
        <v>61</v>
      </c>
      <c r="O454">
        <v>3</v>
      </c>
      <c r="P454">
        <v>2</v>
      </c>
      <c r="Q454" t="s">
        <v>36</v>
      </c>
      <c r="R454">
        <v>2</v>
      </c>
      <c r="S454" t="s">
        <v>42</v>
      </c>
      <c r="T454" s="2">
        <v>4805</v>
      </c>
      <c r="U454" s="2">
        <v>16177</v>
      </c>
      <c r="V454">
        <v>0</v>
      </c>
      <c r="W454" t="s">
        <v>38</v>
      </c>
      <c r="X454">
        <v>19</v>
      </c>
      <c r="Y454">
        <v>3</v>
      </c>
      <c r="Z454">
        <v>2</v>
      </c>
      <c r="AA454">
        <v>80</v>
      </c>
      <c r="AB454">
        <v>1</v>
      </c>
      <c r="AC454">
        <v>9</v>
      </c>
      <c r="AD454">
        <v>3</v>
      </c>
      <c r="AE454">
        <v>4</v>
      </c>
      <c r="AF454">
        <v>8</v>
      </c>
      <c r="AG454">
        <v>7</v>
      </c>
      <c r="AH454">
        <v>3</v>
      </c>
      <c r="AI454">
        <v>7</v>
      </c>
    </row>
    <row r="455" spans="1:35" x14ac:dyDescent="0.25">
      <c r="A455">
        <v>26</v>
      </c>
      <c r="B455" t="str">
        <f t="shared" si="14"/>
        <v>25-34</v>
      </c>
      <c r="C455" s="1" t="s">
        <v>32</v>
      </c>
      <c r="D455" s="17">
        <f>IF(Table1[[#This Row],[Attrition]]="Yes",1,0)</f>
        <v>1</v>
      </c>
      <c r="E455" t="s">
        <v>58</v>
      </c>
      <c r="F455" s="2">
        <v>426</v>
      </c>
      <c r="G455" t="s">
        <v>55</v>
      </c>
      <c r="H455">
        <v>17</v>
      </c>
      <c r="I455">
        <v>4</v>
      </c>
      <c r="J455" t="str">
        <f t="shared" si="15"/>
        <v>Master</v>
      </c>
      <c r="K455" t="s">
        <v>34</v>
      </c>
      <c r="L455">
        <v>2</v>
      </c>
      <c r="M455" t="s">
        <v>35</v>
      </c>
      <c r="N455" s="2">
        <v>58</v>
      </c>
      <c r="O455">
        <v>3</v>
      </c>
      <c r="P455">
        <v>1</v>
      </c>
      <c r="Q455" t="s">
        <v>55</v>
      </c>
      <c r="R455">
        <v>3</v>
      </c>
      <c r="S455" t="s">
        <v>46</v>
      </c>
      <c r="T455" s="2">
        <v>2741</v>
      </c>
      <c r="U455" s="2">
        <v>22808</v>
      </c>
      <c r="V455">
        <v>0</v>
      </c>
      <c r="W455" t="s">
        <v>32</v>
      </c>
      <c r="X455">
        <v>11</v>
      </c>
      <c r="Y455">
        <v>3</v>
      </c>
      <c r="Z455">
        <v>2</v>
      </c>
      <c r="AA455">
        <v>80</v>
      </c>
      <c r="AB455">
        <v>1</v>
      </c>
      <c r="AC455">
        <v>8</v>
      </c>
      <c r="AD455">
        <v>2</v>
      </c>
      <c r="AE455">
        <v>2</v>
      </c>
      <c r="AF455">
        <v>7</v>
      </c>
      <c r="AG455">
        <v>7</v>
      </c>
      <c r="AH455">
        <v>1</v>
      </c>
      <c r="AI455">
        <v>0</v>
      </c>
    </row>
    <row r="456" spans="1:35" x14ac:dyDescent="0.25">
      <c r="A456">
        <v>29</v>
      </c>
      <c r="B456" t="str">
        <f t="shared" si="14"/>
        <v>25-34</v>
      </c>
      <c r="C456" s="1" t="s">
        <v>38</v>
      </c>
      <c r="D456" s="17">
        <f>IF(Table1[[#This Row],[Attrition]]="Yes",1,0)</f>
        <v>0</v>
      </c>
      <c r="E456" t="s">
        <v>57</v>
      </c>
      <c r="F456" s="2">
        <v>232</v>
      </c>
      <c r="G456" t="s">
        <v>39</v>
      </c>
      <c r="H456">
        <v>19</v>
      </c>
      <c r="I456">
        <v>3</v>
      </c>
      <c r="J456" t="str">
        <f t="shared" si="15"/>
        <v>Bachelor</v>
      </c>
      <c r="K456" t="s">
        <v>54</v>
      </c>
      <c r="L456">
        <v>4</v>
      </c>
      <c r="M456" t="s">
        <v>40</v>
      </c>
      <c r="N456" s="2">
        <v>34</v>
      </c>
      <c r="O456">
        <v>3</v>
      </c>
      <c r="P456">
        <v>2</v>
      </c>
      <c r="Q456" t="s">
        <v>47</v>
      </c>
      <c r="R456">
        <v>4</v>
      </c>
      <c r="S456" t="s">
        <v>46</v>
      </c>
      <c r="T456" s="2">
        <v>4262</v>
      </c>
      <c r="U456" s="2">
        <v>22645</v>
      </c>
      <c r="V456">
        <v>4</v>
      </c>
      <c r="W456" t="s">
        <v>38</v>
      </c>
      <c r="X456">
        <v>12</v>
      </c>
      <c r="Y456">
        <v>3</v>
      </c>
      <c r="Z456">
        <v>2</v>
      </c>
      <c r="AA456">
        <v>80</v>
      </c>
      <c r="AB456">
        <v>2</v>
      </c>
      <c r="AC456">
        <v>8</v>
      </c>
      <c r="AD456">
        <v>2</v>
      </c>
      <c r="AE456">
        <v>4</v>
      </c>
      <c r="AF456">
        <v>3</v>
      </c>
      <c r="AG456">
        <v>2</v>
      </c>
      <c r="AH456">
        <v>1</v>
      </c>
      <c r="AI456">
        <v>2</v>
      </c>
    </row>
    <row r="457" spans="1:35" x14ac:dyDescent="0.25">
      <c r="A457">
        <v>33</v>
      </c>
      <c r="B457" t="str">
        <f t="shared" si="14"/>
        <v>25-34</v>
      </c>
      <c r="C457" s="1" t="s">
        <v>38</v>
      </c>
      <c r="D457" s="17">
        <f>IF(Table1[[#This Row],[Attrition]]="Yes",1,0)</f>
        <v>0</v>
      </c>
      <c r="E457" t="s">
        <v>57</v>
      </c>
      <c r="F457" s="2">
        <v>922</v>
      </c>
      <c r="G457" t="s">
        <v>39</v>
      </c>
      <c r="H457">
        <v>1</v>
      </c>
      <c r="I457">
        <v>5</v>
      </c>
      <c r="J457" t="str">
        <f t="shared" si="15"/>
        <v>Doctor</v>
      </c>
      <c r="K457" t="s">
        <v>45</v>
      </c>
      <c r="L457">
        <v>1</v>
      </c>
      <c r="M457" t="s">
        <v>35</v>
      </c>
      <c r="N457" s="2">
        <v>95</v>
      </c>
      <c r="O457">
        <v>4</v>
      </c>
      <c r="P457">
        <v>4</v>
      </c>
      <c r="Q457" t="s">
        <v>52</v>
      </c>
      <c r="R457">
        <v>3</v>
      </c>
      <c r="S457" t="s">
        <v>46</v>
      </c>
      <c r="T457" s="2">
        <v>16184</v>
      </c>
      <c r="U457" s="2">
        <v>22578</v>
      </c>
      <c r="V457">
        <v>4</v>
      </c>
      <c r="W457" t="s">
        <v>38</v>
      </c>
      <c r="X457">
        <v>19</v>
      </c>
      <c r="Y457">
        <v>3</v>
      </c>
      <c r="Z457">
        <v>3</v>
      </c>
      <c r="AA457">
        <v>80</v>
      </c>
      <c r="AB457">
        <v>1</v>
      </c>
      <c r="AC457">
        <v>10</v>
      </c>
      <c r="AD457">
        <v>2</v>
      </c>
      <c r="AE457">
        <v>3</v>
      </c>
      <c r="AF457">
        <v>6</v>
      </c>
      <c r="AG457">
        <v>1</v>
      </c>
      <c r="AH457">
        <v>0</v>
      </c>
      <c r="AI457">
        <v>5</v>
      </c>
    </row>
    <row r="458" spans="1:35" x14ac:dyDescent="0.25">
      <c r="A458">
        <v>31</v>
      </c>
      <c r="B458" t="str">
        <f t="shared" si="14"/>
        <v>25-34</v>
      </c>
      <c r="C458" s="1" t="s">
        <v>38</v>
      </c>
      <c r="D458" s="17">
        <f>IF(Table1[[#This Row],[Attrition]]="Yes",1,0)</f>
        <v>0</v>
      </c>
      <c r="E458" t="s">
        <v>57</v>
      </c>
      <c r="F458" s="2">
        <v>688</v>
      </c>
      <c r="G458" t="s">
        <v>33</v>
      </c>
      <c r="H458">
        <v>7</v>
      </c>
      <c r="I458">
        <v>3</v>
      </c>
      <c r="J458" t="str">
        <f t="shared" si="15"/>
        <v>Bachelor</v>
      </c>
      <c r="K458" t="s">
        <v>34</v>
      </c>
      <c r="L458">
        <v>3</v>
      </c>
      <c r="M458" t="s">
        <v>40</v>
      </c>
      <c r="N458" s="2">
        <v>44</v>
      </c>
      <c r="O458">
        <v>2</v>
      </c>
      <c r="P458">
        <v>3</v>
      </c>
      <c r="Q458" t="s">
        <v>50</v>
      </c>
      <c r="R458">
        <v>4</v>
      </c>
      <c r="S458" t="s">
        <v>46</v>
      </c>
      <c r="T458" s="2">
        <v>11557</v>
      </c>
      <c r="U458" s="2">
        <v>25291</v>
      </c>
      <c r="V458">
        <v>9</v>
      </c>
      <c r="W458" t="s">
        <v>38</v>
      </c>
      <c r="X458">
        <v>21</v>
      </c>
      <c r="Y458">
        <v>4</v>
      </c>
      <c r="Z458">
        <v>3</v>
      </c>
      <c r="AA458">
        <v>80</v>
      </c>
      <c r="AB458">
        <v>1</v>
      </c>
      <c r="AC458">
        <v>10</v>
      </c>
      <c r="AD458">
        <v>3</v>
      </c>
      <c r="AE458">
        <v>2</v>
      </c>
      <c r="AF458">
        <v>5</v>
      </c>
      <c r="AG458">
        <v>4</v>
      </c>
      <c r="AH458">
        <v>0</v>
      </c>
      <c r="AI458">
        <v>1</v>
      </c>
    </row>
    <row r="459" spans="1:35" x14ac:dyDescent="0.25">
      <c r="A459">
        <v>18</v>
      </c>
      <c r="B459" t="str">
        <f t="shared" si="14"/>
        <v>18-24</v>
      </c>
      <c r="C459" s="1" t="s">
        <v>32</v>
      </c>
      <c r="D459" s="17">
        <f>IF(Table1[[#This Row],[Attrition]]="Yes",1,0)</f>
        <v>1</v>
      </c>
      <c r="E459" t="s">
        <v>58</v>
      </c>
      <c r="F459" s="2">
        <v>1306</v>
      </c>
      <c r="G459" t="s">
        <v>33</v>
      </c>
      <c r="H459">
        <v>5</v>
      </c>
      <c r="I459">
        <v>3</v>
      </c>
      <c r="J459" t="str">
        <f t="shared" si="15"/>
        <v>Bachelor</v>
      </c>
      <c r="K459" t="s">
        <v>53</v>
      </c>
      <c r="L459">
        <v>2</v>
      </c>
      <c r="M459" t="s">
        <v>40</v>
      </c>
      <c r="N459" s="2">
        <v>69</v>
      </c>
      <c r="O459">
        <v>3</v>
      </c>
      <c r="P459">
        <v>1</v>
      </c>
      <c r="Q459" t="s">
        <v>51</v>
      </c>
      <c r="R459">
        <v>2</v>
      </c>
      <c r="S459" t="s">
        <v>37</v>
      </c>
      <c r="T459" s="2">
        <v>1878</v>
      </c>
      <c r="U459" s="2">
        <v>8059</v>
      </c>
      <c r="V459">
        <v>1</v>
      </c>
      <c r="W459" t="s">
        <v>32</v>
      </c>
      <c r="X459">
        <v>14</v>
      </c>
      <c r="Y459">
        <v>3</v>
      </c>
      <c r="Z459">
        <v>4</v>
      </c>
      <c r="AA459">
        <v>80</v>
      </c>
      <c r="AB459">
        <v>0</v>
      </c>
      <c r="AC459">
        <v>0</v>
      </c>
      <c r="AD459">
        <v>3</v>
      </c>
      <c r="AE459">
        <v>3</v>
      </c>
      <c r="AF459">
        <v>0</v>
      </c>
      <c r="AG459">
        <v>0</v>
      </c>
      <c r="AH459">
        <v>0</v>
      </c>
      <c r="AI459">
        <v>0</v>
      </c>
    </row>
    <row r="460" spans="1:35" x14ac:dyDescent="0.25">
      <c r="A460">
        <v>40</v>
      </c>
      <c r="B460" t="str">
        <f t="shared" si="14"/>
        <v>35-44</v>
      </c>
      <c r="C460" s="1" t="s">
        <v>38</v>
      </c>
      <c r="D460" s="17">
        <f>IF(Table1[[#This Row],[Attrition]]="Yes",1,0)</f>
        <v>0</v>
      </c>
      <c r="E460" t="s">
        <v>49</v>
      </c>
      <c r="F460" s="2">
        <v>1094</v>
      </c>
      <c r="G460" t="s">
        <v>33</v>
      </c>
      <c r="H460">
        <v>28</v>
      </c>
      <c r="I460">
        <v>3</v>
      </c>
      <c r="J460" t="str">
        <f t="shared" si="15"/>
        <v>Bachelor</v>
      </c>
      <c r="K460" t="s">
        <v>43</v>
      </c>
      <c r="L460">
        <v>3</v>
      </c>
      <c r="M460" t="s">
        <v>40</v>
      </c>
      <c r="N460" s="2">
        <v>58</v>
      </c>
      <c r="O460">
        <v>1</v>
      </c>
      <c r="P460">
        <v>3</v>
      </c>
      <c r="Q460" t="s">
        <v>36</v>
      </c>
      <c r="R460">
        <v>1</v>
      </c>
      <c r="S460" t="s">
        <v>46</v>
      </c>
      <c r="T460" s="2">
        <v>10932</v>
      </c>
      <c r="U460" s="2">
        <v>11373</v>
      </c>
      <c r="V460">
        <v>3</v>
      </c>
      <c r="W460" t="s">
        <v>38</v>
      </c>
      <c r="X460">
        <v>15</v>
      </c>
      <c r="Y460">
        <v>3</v>
      </c>
      <c r="Z460">
        <v>3</v>
      </c>
      <c r="AA460">
        <v>80</v>
      </c>
      <c r="AB460">
        <v>1</v>
      </c>
      <c r="AC460">
        <v>20</v>
      </c>
      <c r="AD460">
        <v>2</v>
      </c>
      <c r="AE460">
        <v>3</v>
      </c>
      <c r="AF460">
        <v>1</v>
      </c>
      <c r="AG460">
        <v>0</v>
      </c>
      <c r="AH460">
        <v>0</v>
      </c>
      <c r="AI460">
        <v>1</v>
      </c>
    </row>
    <row r="461" spans="1:35" x14ac:dyDescent="0.25">
      <c r="A461">
        <v>41</v>
      </c>
      <c r="B461" t="str">
        <f t="shared" si="14"/>
        <v>35-44</v>
      </c>
      <c r="C461" s="1" t="s">
        <v>38</v>
      </c>
      <c r="D461" s="17">
        <f>IF(Table1[[#This Row],[Attrition]]="Yes",1,0)</f>
        <v>0</v>
      </c>
      <c r="E461" t="s">
        <v>49</v>
      </c>
      <c r="F461" s="2">
        <v>509</v>
      </c>
      <c r="G461" t="s">
        <v>39</v>
      </c>
      <c r="H461">
        <v>2</v>
      </c>
      <c r="I461">
        <v>4</v>
      </c>
      <c r="J461" t="str">
        <f t="shared" si="15"/>
        <v>Master</v>
      </c>
      <c r="K461" t="s">
        <v>43</v>
      </c>
      <c r="L461">
        <v>1</v>
      </c>
      <c r="M461" t="s">
        <v>35</v>
      </c>
      <c r="N461" s="2">
        <v>62</v>
      </c>
      <c r="O461">
        <v>2</v>
      </c>
      <c r="P461">
        <v>2</v>
      </c>
      <c r="Q461" t="s">
        <v>48</v>
      </c>
      <c r="R461">
        <v>3</v>
      </c>
      <c r="S461" t="s">
        <v>37</v>
      </c>
      <c r="T461" s="2">
        <v>6811</v>
      </c>
      <c r="U461" s="2">
        <v>2112</v>
      </c>
      <c r="V461">
        <v>2</v>
      </c>
      <c r="W461" t="s">
        <v>32</v>
      </c>
      <c r="X461">
        <v>17</v>
      </c>
      <c r="Y461">
        <v>3</v>
      </c>
      <c r="Z461">
        <v>1</v>
      </c>
      <c r="AA461">
        <v>80</v>
      </c>
      <c r="AB461">
        <v>0</v>
      </c>
      <c r="AC461">
        <v>10</v>
      </c>
      <c r="AD461">
        <v>3</v>
      </c>
      <c r="AE461">
        <v>3</v>
      </c>
      <c r="AF461">
        <v>8</v>
      </c>
      <c r="AG461">
        <v>7</v>
      </c>
      <c r="AH461">
        <v>0</v>
      </c>
      <c r="AI461">
        <v>7</v>
      </c>
    </row>
    <row r="462" spans="1:35" x14ac:dyDescent="0.25">
      <c r="A462">
        <v>26</v>
      </c>
      <c r="B462" t="str">
        <f t="shared" si="14"/>
        <v>25-34</v>
      </c>
      <c r="C462" s="1" t="s">
        <v>38</v>
      </c>
      <c r="D462" s="17">
        <f>IF(Table1[[#This Row],[Attrition]]="Yes",1,0)</f>
        <v>0</v>
      </c>
      <c r="E462" t="s">
        <v>57</v>
      </c>
      <c r="F462" s="2">
        <v>775</v>
      </c>
      <c r="G462" t="s">
        <v>33</v>
      </c>
      <c r="H462">
        <v>29</v>
      </c>
      <c r="I462">
        <v>2</v>
      </c>
      <c r="J462" t="str">
        <f t="shared" si="15"/>
        <v>College</v>
      </c>
      <c r="K462" t="s">
        <v>45</v>
      </c>
      <c r="L462">
        <v>1</v>
      </c>
      <c r="M462" t="s">
        <v>40</v>
      </c>
      <c r="N462" s="2">
        <v>45</v>
      </c>
      <c r="O462">
        <v>3</v>
      </c>
      <c r="P462">
        <v>2</v>
      </c>
      <c r="Q462" t="s">
        <v>36</v>
      </c>
      <c r="R462">
        <v>3</v>
      </c>
      <c r="S462" t="s">
        <v>46</v>
      </c>
      <c r="T462" s="2">
        <v>4306</v>
      </c>
      <c r="U462" s="2">
        <v>4267</v>
      </c>
      <c r="V462">
        <v>5</v>
      </c>
      <c r="W462" t="s">
        <v>38</v>
      </c>
      <c r="X462">
        <v>12</v>
      </c>
      <c r="Y462">
        <v>3</v>
      </c>
      <c r="Z462">
        <v>1</v>
      </c>
      <c r="AA462">
        <v>80</v>
      </c>
      <c r="AB462">
        <v>2</v>
      </c>
      <c r="AC462">
        <v>8</v>
      </c>
      <c r="AD462">
        <v>5</v>
      </c>
      <c r="AE462">
        <v>3</v>
      </c>
      <c r="AF462">
        <v>0</v>
      </c>
      <c r="AG462">
        <v>0</v>
      </c>
      <c r="AH462">
        <v>0</v>
      </c>
      <c r="AI462">
        <v>0</v>
      </c>
    </row>
    <row r="463" spans="1:35" x14ac:dyDescent="0.25">
      <c r="A463">
        <v>35</v>
      </c>
      <c r="B463" t="str">
        <f t="shared" si="14"/>
        <v>35-44</v>
      </c>
      <c r="C463" s="1" t="s">
        <v>38</v>
      </c>
      <c r="D463" s="17">
        <f>IF(Table1[[#This Row],[Attrition]]="Yes",1,0)</f>
        <v>0</v>
      </c>
      <c r="E463" t="s">
        <v>57</v>
      </c>
      <c r="F463" s="2">
        <v>195</v>
      </c>
      <c r="G463" t="s">
        <v>33</v>
      </c>
      <c r="H463">
        <v>1</v>
      </c>
      <c r="I463">
        <v>3</v>
      </c>
      <c r="J463" t="str">
        <f t="shared" si="15"/>
        <v>Bachelor</v>
      </c>
      <c r="K463" t="s">
        <v>45</v>
      </c>
      <c r="L463">
        <v>1</v>
      </c>
      <c r="M463" t="s">
        <v>35</v>
      </c>
      <c r="N463" s="2">
        <v>80</v>
      </c>
      <c r="O463">
        <v>3</v>
      </c>
      <c r="P463">
        <v>2</v>
      </c>
      <c r="Q463" t="s">
        <v>36</v>
      </c>
      <c r="R463">
        <v>3</v>
      </c>
      <c r="S463" t="s">
        <v>37</v>
      </c>
      <c r="T463" s="2">
        <v>4859</v>
      </c>
      <c r="U463" s="2">
        <v>6698</v>
      </c>
      <c r="V463">
        <v>1</v>
      </c>
      <c r="W463" t="s">
        <v>38</v>
      </c>
      <c r="X463">
        <v>16</v>
      </c>
      <c r="Y463">
        <v>3</v>
      </c>
      <c r="Z463">
        <v>4</v>
      </c>
      <c r="AA463">
        <v>80</v>
      </c>
      <c r="AB463">
        <v>0</v>
      </c>
      <c r="AC463">
        <v>5</v>
      </c>
      <c r="AD463">
        <v>3</v>
      </c>
      <c r="AE463">
        <v>3</v>
      </c>
      <c r="AF463">
        <v>5</v>
      </c>
      <c r="AG463">
        <v>4</v>
      </c>
      <c r="AH463">
        <v>0</v>
      </c>
      <c r="AI463">
        <v>3</v>
      </c>
    </row>
    <row r="464" spans="1:35" x14ac:dyDescent="0.25">
      <c r="A464">
        <v>34</v>
      </c>
      <c r="B464" t="str">
        <f t="shared" si="14"/>
        <v>25-34</v>
      </c>
      <c r="C464" s="1" t="s">
        <v>38</v>
      </c>
      <c r="D464" s="17">
        <f>IF(Table1[[#This Row],[Attrition]]="Yes",1,0)</f>
        <v>0</v>
      </c>
      <c r="E464" t="s">
        <v>57</v>
      </c>
      <c r="F464" s="2">
        <v>258</v>
      </c>
      <c r="G464" t="s">
        <v>33</v>
      </c>
      <c r="H464">
        <v>21</v>
      </c>
      <c r="I464">
        <v>4</v>
      </c>
      <c r="J464" t="str">
        <f t="shared" si="15"/>
        <v>Master</v>
      </c>
      <c r="K464" t="s">
        <v>34</v>
      </c>
      <c r="L464">
        <v>4</v>
      </c>
      <c r="M464" t="s">
        <v>40</v>
      </c>
      <c r="N464" s="2">
        <v>74</v>
      </c>
      <c r="O464">
        <v>4</v>
      </c>
      <c r="P464">
        <v>2</v>
      </c>
      <c r="Q464" t="s">
        <v>36</v>
      </c>
      <c r="R464">
        <v>4</v>
      </c>
      <c r="S464" t="s">
        <v>37</v>
      </c>
      <c r="T464" s="2">
        <v>5337</v>
      </c>
      <c r="U464" s="2">
        <v>19921</v>
      </c>
      <c r="V464">
        <v>1</v>
      </c>
      <c r="W464" t="s">
        <v>38</v>
      </c>
      <c r="X464">
        <v>12</v>
      </c>
      <c r="Y464">
        <v>3</v>
      </c>
      <c r="Z464">
        <v>4</v>
      </c>
      <c r="AA464">
        <v>80</v>
      </c>
      <c r="AB464">
        <v>0</v>
      </c>
      <c r="AC464">
        <v>10</v>
      </c>
      <c r="AD464">
        <v>3</v>
      </c>
      <c r="AE464">
        <v>3</v>
      </c>
      <c r="AF464">
        <v>10</v>
      </c>
      <c r="AG464">
        <v>7</v>
      </c>
      <c r="AH464">
        <v>5</v>
      </c>
      <c r="AI464">
        <v>7</v>
      </c>
    </row>
    <row r="465" spans="1:35" x14ac:dyDescent="0.25">
      <c r="A465">
        <v>26</v>
      </c>
      <c r="B465" t="str">
        <f t="shared" si="14"/>
        <v>25-34</v>
      </c>
      <c r="C465" s="1" t="s">
        <v>32</v>
      </c>
      <c r="D465" s="17">
        <f>IF(Table1[[#This Row],[Attrition]]="Yes",1,0)</f>
        <v>1</v>
      </c>
      <c r="E465" t="s">
        <v>57</v>
      </c>
      <c r="F465" s="2">
        <v>471</v>
      </c>
      <c r="G465" t="s">
        <v>39</v>
      </c>
      <c r="H465">
        <v>24</v>
      </c>
      <c r="I465">
        <v>3</v>
      </c>
      <c r="J465" t="str">
        <f t="shared" si="15"/>
        <v>Bachelor</v>
      </c>
      <c r="K465" t="s">
        <v>54</v>
      </c>
      <c r="L465">
        <v>3</v>
      </c>
      <c r="M465" t="s">
        <v>40</v>
      </c>
      <c r="N465" s="2">
        <v>66</v>
      </c>
      <c r="O465">
        <v>1</v>
      </c>
      <c r="P465">
        <v>1</v>
      </c>
      <c r="Q465" t="s">
        <v>44</v>
      </c>
      <c r="R465">
        <v>4</v>
      </c>
      <c r="S465" t="s">
        <v>37</v>
      </c>
      <c r="T465" s="2">
        <v>2340</v>
      </c>
      <c r="U465" s="2">
        <v>23213</v>
      </c>
      <c r="V465">
        <v>1</v>
      </c>
      <c r="W465" t="s">
        <v>32</v>
      </c>
      <c r="X465">
        <v>18</v>
      </c>
      <c r="Y465">
        <v>3</v>
      </c>
      <c r="Z465">
        <v>2</v>
      </c>
      <c r="AA465">
        <v>80</v>
      </c>
      <c r="AB465">
        <v>0</v>
      </c>
      <c r="AC465">
        <v>1</v>
      </c>
      <c r="AD465">
        <v>3</v>
      </c>
      <c r="AE465">
        <v>1</v>
      </c>
      <c r="AF465">
        <v>1</v>
      </c>
      <c r="AG465">
        <v>0</v>
      </c>
      <c r="AH465">
        <v>0</v>
      </c>
      <c r="AI465">
        <v>0</v>
      </c>
    </row>
    <row r="466" spans="1:35" x14ac:dyDescent="0.25">
      <c r="A466">
        <v>37</v>
      </c>
      <c r="B466" t="str">
        <f t="shared" si="14"/>
        <v>35-44</v>
      </c>
      <c r="C466" s="1" t="s">
        <v>38</v>
      </c>
      <c r="D466" s="17">
        <f>IF(Table1[[#This Row],[Attrition]]="Yes",1,0)</f>
        <v>0</v>
      </c>
      <c r="E466" t="s">
        <v>57</v>
      </c>
      <c r="F466" s="2">
        <v>799</v>
      </c>
      <c r="G466" t="s">
        <v>39</v>
      </c>
      <c r="H466">
        <v>1</v>
      </c>
      <c r="I466">
        <v>3</v>
      </c>
      <c r="J466" t="str">
        <f t="shared" si="15"/>
        <v>Bachelor</v>
      </c>
      <c r="K466" t="s">
        <v>54</v>
      </c>
      <c r="L466">
        <v>2</v>
      </c>
      <c r="M466" t="s">
        <v>35</v>
      </c>
      <c r="N466" s="2">
        <v>59</v>
      </c>
      <c r="O466">
        <v>3</v>
      </c>
      <c r="P466">
        <v>3</v>
      </c>
      <c r="Q466" t="s">
        <v>47</v>
      </c>
      <c r="R466">
        <v>4</v>
      </c>
      <c r="S466" t="s">
        <v>37</v>
      </c>
      <c r="T466" s="2">
        <v>7491</v>
      </c>
      <c r="U466" s="2">
        <v>23848</v>
      </c>
      <c r="V466">
        <v>4</v>
      </c>
      <c r="W466" t="s">
        <v>38</v>
      </c>
      <c r="X466">
        <v>17</v>
      </c>
      <c r="Y466">
        <v>3</v>
      </c>
      <c r="Z466">
        <v>4</v>
      </c>
      <c r="AA466">
        <v>80</v>
      </c>
      <c r="AB466">
        <v>0</v>
      </c>
      <c r="AC466">
        <v>12</v>
      </c>
      <c r="AD466">
        <v>3</v>
      </c>
      <c r="AE466">
        <v>4</v>
      </c>
      <c r="AF466">
        <v>6</v>
      </c>
      <c r="AG466">
        <v>5</v>
      </c>
      <c r="AH466">
        <v>1</v>
      </c>
      <c r="AI466">
        <v>2</v>
      </c>
    </row>
    <row r="467" spans="1:35" x14ac:dyDescent="0.25">
      <c r="A467">
        <v>46</v>
      </c>
      <c r="B467" t="str">
        <f t="shared" si="14"/>
        <v>45-54</v>
      </c>
      <c r="C467" s="1" t="s">
        <v>38</v>
      </c>
      <c r="D467" s="17">
        <f>IF(Table1[[#This Row],[Attrition]]="Yes",1,0)</f>
        <v>0</v>
      </c>
      <c r="E467" t="s">
        <v>58</v>
      </c>
      <c r="F467" s="2">
        <v>1034</v>
      </c>
      <c r="G467" t="s">
        <v>39</v>
      </c>
      <c r="H467">
        <v>18</v>
      </c>
      <c r="I467">
        <v>1</v>
      </c>
      <c r="J467" t="str">
        <f t="shared" si="15"/>
        <v>Below College</v>
      </c>
      <c r="K467" t="s">
        <v>45</v>
      </c>
      <c r="L467">
        <v>1</v>
      </c>
      <c r="M467" t="s">
        <v>35</v>
      </c>
      <c r="N467" s="2">
        <v>86</v>
      </c>
      <c r="O467">
        <v>3</v>
      </c>
      <c r="P467">
        <v>3</v>
      </c>
      <c r="Q467" t="s">
        <v>48</v>
      </c>
      <c r="R467">
        <v>3</v>
      </c>
      <c r="S467" t="s">
        <v>42</v>
      </c>
      <c r="T467" s="2">
        <v>10527</v>
      </c>
      <c r="U467" s="2">
        <v>8984</v>
      </c>
      <c r="V467">
        <v>5</v>
      </c>
      <c r="W467" t="s">
        <v>38</v>
      </c>
      <c r="X467">
        <v>11</v>
      </c>
      <c r="Y467">
        <v>3</v>
      </c>
      <c r="Z467">
        <v>4</v>
      </c>
      <c r="AA467">
        <v>80</v>
      </c>
      <c r="AB467">
        <v>0</v>
      </c>
      <c r="AC467">
        <v>28</v>
      </c>
      <c r="AD467">
        <v>3</v>
      </c>
      <c r="AE467">
        <v>2</v>
      </c>
      <c r="AF467">
        <v>2</v>
      </c>
      <c r="AG467">
        <v>2</v>
      </c>
      <c r="AH467">
        <v>1</v>
      </c>
      <c r="AI467">
        <v>2</v>
      </c>
    </row>
    <row r="468" spans="1:35" x14ac:dyDescent="0.25">
      <c r="A468">
        <v>41</v>
      </c>
      <c r="B468" t="str">
        <f t="shared" si="14"/>
        <v>35-44</v>
      </c>
      <c r="C468" s="1" t="s">
        <v>38</v>
      </c>
      <c r="D468" s="17">
        <f>IF(Table1[[#This Row],[Attrition]]="Yes",1,0)</f>
        <v>0</v>
      </c>
      <c r="E468" t="s">
        <v>57</v>
      </c>
      <c r="F468" s="2">
        <v>1276</v>
      </c>
      <c r="G468" t="s">
        <v>33</v>
      </c>
      <c r="H468">
        <v>2</v>
      </c>
      <c r="I468">
        <v>5</v>
      </c>
      <c r="J468" t="str">
        <f t="shared" si="15"/>
        <v>Doctor</v>
      </c>
      <c r="K468" t="s">
        <v>34</v>
      </c>
      <c r="L468">
        <v>2</v>
      </c>
      <c r="M468" t="s">
        <v>35</v>
      </c>
      <c r="N468" s="2">
        <v>91</v>
      </c>
      <c r="O468">
        <v>3</v>
      </c>
      <c r="P468">
        <v>4</v>
      </c>
      <c r="Q468" t="s">
        <v>50</v>
      </c>
      <c r="R468">
        <v>1</v>
      </c>
      <c r="S468" t="s">
        <v>42</v>
      </c>
      <c r="T468" s="2">
        <v>16595</v>
      </c>
      <c r="U468" s="2">
        <v>5626</v>
      </c>
      <c r="V468">
        <v>7</v>
      </c>
      <c r="W468" t="s">
        <v>38</v>
      </c>
      <c r="X468">
        <v>16</v>
      </c>
      <c r="Y468">
        <v>3</v>
      </c>
      <c r="Z468">
        <v>2</v>
      </c>
      <c r="AA468">
        <v>80</v>
      </c>
      <c r="AB468">
        <v>1</v>
      </c>
      <c r="AC468">
        <v>22</v>
      </c>
      <c r="AD468">
        <v>2</v>
      </c>
      <c r="AE468">
        <v>3</v>
      </c>
      <c r="AF468">
        <v>18</v>
      </c>
      <c r="AG468">
        <v>16</v>
      </c>
      <c r="AH468">
        <v>11</v>
      </c>
      <c r="AI468">
        <v>8</v>
      </c>
    </row>
    <row r="469" spans="1:35" x14ac:dyDescent="0.25">
      <c r="A469">
        <v>37</v>
      </c>
      <c r="B469" t="str">
        <f t="shared" si="14"/>
        <v>35-44</v>
      </c>
      <c r="C469" s="1" t="s">
        <v>38</v>
      </c>
      <c r="D469" s="17">
        <f>IF(Table1[[#This Row],[Attrition]]="Yes",1,0)</f>
        <v>0</v>
      </c>
      <c r="E469" t="s">
        <v>49</v>
      </c>
      <c r="F469" s="2">
        <v>142</v>
      </c>
      <c r="G469" t="s">
        <v>33</v>
      </c>
      <c r="H469">
        <v>9</v>
      </c>
      <c r="I469">
        <v>4</v>
      </c>
      <c r="J469" t="str">
        <f t="shared" si="15"/>
        <v>Master</v>
      </c>
      <c r="K469" t="s">
        <v>45</v>
      </c>
      <c r="L469">
        <v>1</v>
      </c>
      <c r="M469" t="s">
        <v>40</v>
      </c>
      <c r="N469" s="2">
        <v>69</v>
      </c>
      <c r="O469">
        <v>3</v>
      </c>
      <c r="P469">
        <v>3</v>
      </c>
      <c r="Q469" t="s">
        <v>36</v>
      </c>
      <c r="R469">
        <v>2</v>
      </c>
      <c r="S469" t="s">
        <v>46</v>
      </c>
      <c r="T469" s="2">
        <v>8834</v>
      </c>
      <c r="U469" s="2">
        <v>24666</v>
      </c>
      <c r="V469">
        <v>1</v>
      </c>
      <c r="W469" t="s">
        <v>38</v>
      </c>
      <c r="X469">
        <v>13</v>
      </c>
      <c r="Y469">
        <v>3</v>
      </c>
      <c r="Z469">
        <v>4</v>
      </c>
      <c r="AA469">
        <v>80</v>
      </c>
      <c r="AB469">
        <v>1</v>
      </c>
      <c r="AC469">
        <v>9</v>
      </c>
      <c r="AD469">
        <v>6</v>
      </c>
      <c r="AE469">
        <v>3</v>
      </c>
      <c r="AF469">
        <v>9</v>
      </c>
      <c r="AG469">
        <v>5</v>
      </c>
      <c r="AH469">
        <v>7</v>
      </c>
      <c r="AI469">
        <v>7</v>
      </c>
    </row>
    <row r="470" spans="1:35" x14ac:dyDescent="0.25">
      <c r="A470">
        <v>52</v>
      </c>
      <c r="B470" t="str">
        <f t="shared" si="14"/>
        <v>45-54</v>
      </c>
      <c r="C470" s="1" t="s">
        <v>38</v>
      </c>
      <c r="D470" s="17">
        <f>IF(Table1[[#This Row],[Attrition]]="Yes",1,0)</f>
        <v>0</v>
      </c>
      <c r="E470" t="s">
        <v>57</v>
      </c>
      <c r="F470" s="2">
        <v>956</v>
      </c>
      <c r="G470" t="s">
        <v>39</v>
      </c>
      <c r="H470">
        <v>6</v>
      </c>
      <c r="I470">
        <v>2</v>
      </c>
      <c r="J470" t="str">
        <f t="shared" si="15"/>
        <v>College</v>
      </c>
      <c r="K470" t="s">
        <v>54</v>
      </c>
      <c r="L470">
        <v>4</v>
      </c>
      <c r="M470" t="s">
        <v>40</v>
      </c>
      <c r="N470" s="2">
        <v>78</v>
      </c>
      <c r="O470">
        <v>3</v>
      </c>
      <c r="P470">
        <v>2</v>
      </c>
      <c r="Q470" t="s">
        <v>41</v>
      </c>
      <c r="R470">
        <v>1</v>
      </c>
      <c r="S470" t="s">
        <v>46</v>
      </c>
      <c r="T470" s="2">
        <v>5577</v>
      </c>
      <c r="U470" s="2">
        <v>22087</v>
      </c>
      <c r="V470">
        <v>3</v>
      </c>
      <c r="W470" t="s">
        <v>32</v>
      </c>
      <c r="X470">
        <v>12</v>
      </c>
      <c r="Y470">
        <v>3</v>
      </c>
      <c r="Z470">
        <v>2</v>
      </c>
      <c r="AA470">
        <v>80</v>
      </c>
      <c r="AB470">
        <v>2</v>
      </c>
      <c r="AC470">
        <v>18</v>
      </c>
      <c r="AD470">
        <v>3</v>
      </c>
      <c r="AE470">
        <v>3</v>
      </c>
      <c r="AF470">
        <v>10</v>
      </c>
      <c r="AG470">
        <v>9</v>
      </c>
      <c r="AH470">
        <v>6</v>
      </c>
      <c r="AI470">
        <v>9</v>
      </c>
    </row>
    <row r="471" spans="1:35" x14ac:dyDescent="0.25">
      <c r="A471">
        <v>32</v>
      </c>
      <c r="B471" t="str">
        <f t="shared" si="14"/>
        <v>25-34</v>
      </c>
      <c r="C471" s="1" t="s">
        <v>32</v>
      </c>
      <c r="D471" s="17">
        <f>IF(Table1[[#This Row],[Attrition]]="Yes",1,0)</f>
        <v>1</v>
      </c>
      <c r="E471" t="s">
        <v>49</v>
      </c>
      <c r="F471" s="2">
        <v>1474</v>
      </c>
      <c r="G471" t="s">
        <v>33</v>
      </c>
      <c r="H471">
        <v>11</v>
      </c>
      <c r="I471">
        <v>4</v>
      </c>
      <c r="J471" t="str">
        <f t="shared" si="15"/>
        <v>Master</v>
      </c>
      <c r="K471" t="s">
        <v>43</v>
      </c>
      <c r="L471">
        <v>4</v>
      </c>
      <c r="M471" t="s">
        <v>40</v>
      </c>
      <c r="N471" s="2">
        <v>60</v>
      </c>
      <c r="O471">
        <v>4</v>
      </c>
      <c r="P471">
        <v>2</v>
      </c>
      <c r="Q471" t="s">
        <v>36</v>
      </c>
      <c r="R471">
        <v>3</v>
      </c>
      <c r="S471" t="s">
        <v>42</v>
      </c>
      <c r="T471" s="2">
        <v>4707</v>
      </c>
      <c r="U471" s="2">
        <v>23914</v>
      </c>
      <c r="V471">
        <v>8</v>
      </c>
      <c r="W471" t="s">
        <v>38</v>
      </c>
      <c r="X471">
        <v>12</v>
      </c>
      <c r="Y471">
        <v>3</v>
      </c>
      <c r="Z471">
        <v>4</v>
      </c>
      <c r="AA471">
        <v>80</v>
      </c>
      <c r="AB471">
        <v>0</v>
      </c>
      <c r="AC471">
        <v>6</v>
      </c>
      <c r="AD471">
        <v>2</v>
      </c>
      <c r="AE471">
        <v>3</v>
      </c>
      <c r="AF471">
        <v>4</v>
      </c>
      <c r="AG471">
        <v>2</v>
      </c>
      <c r="AH471">
        <v>1</v>
      </c>
      <c r="AI471">
        <v>2</v>
      </c>
    </row>
    <row r="472" spans="1:35" x14ac:dyDescent="0.25">
      <c r="A472">
        <v>24</v>
      </c>
      <c r="B472" t="str">
        <f t="shared" si="14"/>
        <v>18-24</v>
      </c>
      <c r="C472" s="1" t="s">
        <v>38</v>
      </c>
      <c r="D472" s="17">
        <f>IF(Table1[[#This Row],[Attrition]]="Yes",1,0)</f>
        <v>0</v>
      </c>
      <c r="E472" t="s">
        <v>58</v>
      </c>
      <c r="F472" s="2">
        <v>535</v>
      </c>
      <c r="G472" t="s">
        <v>33</v>
      </c>
      <c r="H472">
        <v>24</v>
      </c>
      <c r="I472">
        <v>3</v>
      </c>
      <c r="J472" t="str">
        <f t="shared" si="15"/>
        <v>Bachelor</v>
      </c>
      <c r="K472" t="s">
        <v>45</v>
      </c>
      <c r="L472">
        <v>4</v>
      </c>
      <c r="M472" t="s">
        <v>40</v>
      </c>
      <c r="N472" s="2">
        <v>38</v>
      </c>
      <c r="O472">
        <v>3</v>
      </c>
      <c r="P472">
        <v>1</v>
      </c>
      <c r="Q472" t="s">
        <v>51</v>
      </c>
      <c r="R472">
        <v>4</v>
      </c>
      <c r="S472" t="s">
        <v>42</v>
      </c>
      <c r="T472" s="2">
        <v>2400</v>
      </c>
      <c r="U472" s="2">
        <v>5530</v>
      </c>
      <c r="V472">
        <v>0</v>
      </c>
      <c r="W472" t="s">
        <v>38</v>
      </c>
      <c r="X472">
        <v>13</v>
      </c>
      <c r="Y472">
        <v>3</v>
      </c>
      <c r="Z472">
        <v>3</v>
      </c>
      <c r="AA472">
        <v>80</v>
      </c>
      <c r="AB472">
        <v>2</v>
      </c>
      <c r="AC472">
        <v>3</v>
      </c>
      <c r="AD472">
        <v>3</v>
      </c>
      <c r="AE472">
        <v>3</v>
      </c>
      <c r="AF472">
        <v>2</v>
      </c>
      <c r="AG472">
        <v>2</v>
      </c>
      <c r="AH472">
        <v>2</v>
      </c>
      <c r="AI472">
        <v>1</v>
      </c>
    </row>
    <row r="473" spans="1:35" x14ac:dyDescent="0.25">
      <c r="A473">
        <v>38</v>
      </c>
      <c r="B473" t="str">
        <f t="shared" si="14"/>
        <v>35-44</v>
      </c>
      <c r="C473" s="1" t="s">
        <v>38</v>
      </c>
      <c r="D473" s="17">
        <f>IF(Table1[[#This Row],[Attrition]]="Yes",1,0)</f>
        <v>0</v>
      </c>
      <c r="E473" t="s">
        <v>57</v>
      </c>
      <c r="F473" s="2">
        <v>1495</v>
      </c>
      <c r="G473" t="s">
        <v>39</v>
      </c>
      <c r="H473">
        <v>10</v>
      </c>
      <c r="I473">
        <v>3</v>
      </c>
      <c r="J473" t="str">
        <f t="shared" si="15"/>
        <v>Bachelor</v>
      </c>
      <c r="K473" t="s">
        <v>45</v>
      </c>
      <c r="L473">
        <v>3</v>
      </c>
      <c r="M473" t="s">
        <v>35</v>
      </c>
      <c r="N473" s="2">
        <v>76</v>
      </c>
      <c r="O473">
        <v>3</v>
      </c>
      <c r="P473">
        <v>2</v>
      </c>
      <c r="Q473" t="s">
        <v>48</v>
      </c>
      <c r="R473">
        <v>3</v>
      </c>
      <c r="S473" t="s">
        <v>42</v>
      </c>
      <c r="T473" s="2">
        <v>9824</v>
      </c>
      <c r="U473" s="2">
        <v>22174</v>
      </c>
      <c r="V473">
        <v>3</v>
      </c>
      <c r="W473" t="s">
        <v>38</v>
      </c>
      <c r="X473">
        <v>19</v>
      </c>
      <c r="Y473">
        <v>3</v>
      </c>
      <c r="Z473">
        <v>3</v>
      </c>
      <c r="AA473">
        <v>80</v>
      </c>
      <c r="AB473">
        <v>1</v>
      </c>
      <c r="AC473">
        <v>18</v>
      </c>
      <c r="AD473">
        <v>4</v>
      </c>
      <c r="AE473">
        <v>3</v>
      </c>
      <c r="AF473">
        <v>1</v>
      </c>
      <c r="AG473">
        <v>0</v>
      </c>
      <c r="AH473">
        <v>0</v>
      </c>
      <c r="AI473">
        <v>0</v>
      </c>
    </row>
    <row r="474" spans="1:35" x14ac:dyDescent="0.25">
      <c r="A474">
        <v>37</v>
      </c>
      <c r="B474" t="str">
        <f t="shared" si="14"/>
        <v>35-44</v>
      </c>
      <c r="C474" s="1" t="s">
        <v>38</v>
      </c>
      <c r="D474" s="17">
        <f>IF(Table1[[#This Row],[Attrition]]="Yes",1,0)</f>
        <v>0</v>
      </c>
      <c r="E474" t="s">
        <v>57</v>
      </c>
      <c r="F474" s="2">
        <v>446</v>
      </c>
      <c r="G474" t="s">
        <v>39</v>
      </c>
      <c r="H474">
        <v>1</v>
      </c>
      <c r="I474">
        <v>4</v>
      </c>
      <c r="J474" t="str">
        <f t="shared" si="15"/>
        <v>Master</v>
      </c>
      <c r="K474" t="s">
        <v>34</v>
      </c>
      <c r="L474">
        <v>2</v>
      </c>
      <c r="M474" t="s">
        <v>35</v>
      </c>
      <c r="N474" s="2">
        <v>65</v>
      </c>
      <c r="O474">
        <v>3</v>
      </c>
      <c r="P474">
        <v>2</v>
      </c>
      <c r="Q474" t="s">
        <v>47</v>
      </c>
      <c r="R474">
        <v>2</v>
      </c>
      <c r="S474" t="s">
        <v>42</v>
      </c>
      <c r="T474" s="2">
        <v>6447</v>
      </c>
      <c r="U474" s="2">
        <v>15701</v>
      </c>
      <c r="V474">
        <v>6</v>
      </c>
      <c r="W474" t="s">
        <v>38</v>
      </c>
      <c r="X474">
        <v>12</v>
      </c>
      <c r="Y474">
        <v>3</v>
      </c>
      <c r="Z474">
        <v>2</v>
      </c>
      <c r="AA474">
        <v>80</v>
      </c>
      <c r="AB474">
        <v>1</v>
      </c>
      <c r="AC474">
        <v>8</v>
      </c>
      <c r="AD474">
        <v>2</v>
      </c>
      <c r="AE474">
        <v>2</v>
      </c>
      <c r="AF474">
        <v>6</v>
      </c>
      <c r="AG474">
        <v>5</v>
      </c>
      <c r="AH474">
        <v>4</v>
      </c>
      <c r="AI474">
        <v>3</v>
      </c>
    </row>
    <row r="475" spans="1:35" x14ac:dyDescent="0.25">
      <c r="A475">
        <v>49</v>
      </c>
      <c r="B475" t="str">
        <f t="shared" si="14"/>
        <v>45-54</v>
      </c>
      <c r="C475" s="1" t="s">
        <v>38</v>
      </c>
      <c r="D475" s="17">
        <f>IF(Table1[[#This Row],[Attrition]]="Yes",1,0)</f>
        <v>0</v>
      </c>
      <c r="E475" t="s">
        <v>57</v>
      </c>
      <c r="F475" s="2">
        <v>1245</v>
      </c>
      <c r="G475" t="s">
        <v>39</v>
      </c>
      <c r="H475">
        <v>18</v>
      </c>
      <c r="I475">
        <v>4</v>
      </c>
      <c r="J475" t="str">
        <f t="shared" si="15"/>
        <v>Master</v>
      </c>
      <c r="K475" t="s">
        <v>34</v>
      </c>
      <c r="L475">
        <v>4</v>
      </c>
      <c r="M475" t="s">
        <v>40</v>
      </c>
      <c r="N475" s="2">
        <v>58</v>
      </c>
      <c r="O475">
        <v>2</v>
      </c>
      <c r="P475">
        <v>5</v>
      </c>
      <c r="Q475" t="s">
        <v>52</v>
      </c>
      <c r="R475">
        <v>3</v>
      </c>
      <c r="S475" t="s">
        <v>46</v>
      </c>
      <c r="T475" s="2">
        <v>19502</v>
      </c>
      <c r="U475" s="2">
        <v>2125</v>
      </c>
      <c r="V475">
        <v>1</v>
      </c>
      <c r="W475" t="s">
        <v>32</v>
      </c>
      <c r="X475">
        <v>17</v>
      </c>
      <c r="Y475">
        <v>3</v>
      </c>
      <c r="Z475">
        <v>3</v>
      </c>
      <c r="AA475">
        <v>80</v>
      </c>
      <c r="AB475">
        <v>1</v>
      </c>
      <c r="AC475">
        <v>31</v>
      </c>
      <c r="AD475">
        <v>5</v>
      </c>
      <c r="AE475">
        <v>3</v>
      </c>
      <c r="AF475">
        <v>31</v>
      </c>
      <c r="AG475">
        <v>9</v>
      </c>
      <c r="AH475">
        <v>0</v>
      </c>
      <c r="AI475">
        <v>9</v>
      </c>
    </row>
    <row r="476" spans="1:35" x14ac:dyDescent="0.25">
      <c r="A476">
        <v>24</v>
      </c>
      <c r="B476" t="str">
        <f t="shared" si="14"/>
        <v>18-24</v>
      </c>
      <c r="C476" s="1" t="s">
        <v>38</v>
      </c>
      <c r="D476" s="17">
        <f>IF(Table1[[#This Row],[Attrition]]="Yes",1,0)</f>
        <v>0</v>
      </c>
      <c r="E476" t="s">
        <v>57</v>
      </c>
      <c r="F476" s="2">
        <v>691</v>
      </c>
      <c r="G476" t="s">
        <v>39</v>
      </c>
      <c r="H476">
        <v>23</v>
      </c>
      <c r="I476">
        <v>3</v>
      </c>
      <c r="J476" t="str">
        <f t="shared" si="15"/>
        <v>Bachelor</v>
      </c>
      <c r="K476" t="s">
        <v>45</v>
      </c>
      <c r="L476">
        <v>2</v>
      </c>
      <c r="M476" t="s">
        <v>40</v>
      </c>
      <c r="N476" s="2">
        <v>89</v>
      </c>
      <c r="O476">
        <v>4</v>
      </c>
      <c r="P476">
        <v>1</v>
      </c>
      <c r="Q476" t="s">
        <v>41</v>
      </c>
      <c r="R476">
        <v>4</v>
      </c>
      <c r="S476" t="s">
        <v>42</v>
      </c>
      <c r="T476" s="2">
        <v>2725</v>
      </c>
      <c r="U476" s="2">
        <v>21630</v>
      </c>
      <c r="V476">
        <v>1</v>
      </c>
      <c r="W476" t="s">
        <v>32</v>
      </c>
      <c r="X476">
        <v>11</v>
      </c>
      <c r="Y476">
        <v>3</v>
      </c>
      <c r="Z476">
        <v>2</v>
      </c>
      <c r="AA476">
        <v>80</v>
      </c>
      <c r="AB476">
        <v>2</v>
      </c>
      <c r="AC476">
        <v>6</v>
      </c>
      <c r="AD476">
        <v>3</v>
      </c>
      <c r="AE476">
        <v>3</v>
      </c>
      <c r="AF476">
        <v>6</v>
      </c>
      <c r="AG476">
        <v>5</v>
      </c>
      <c r="AH476">
        <v>1</v>
      </c>
      <c r="AI476">
        <v>4</v>
      </c>
    </row>
    <row r="477" spans="1:35" x14ac:dyDescent="0.25">
      <c r="A477">
        <v>26</v>
      </c>
      <c r="B477" t="str">
        <f t="shared" si="14"/>
        <v>25-34</v>
      </c>
      <c r="C477" s="1" t="s">
        <v>38</v>
      </c>
      <c r="D477" s="17">
        <f>IF(Table1[[#This Row],[Attrition]]="Yes",1,0)</f>
        <v>0</v>
      </c>
      <c r="E477" t="s">
        <v>57</v>
      </c>
      <c r="F477" s="2">
        <v>703</v>
      </c>
      <c r="G477" t="s">
        <v>33</v>
      </c>
      <c r="H477">
        <v>28</v>
      </c>
      <c r="I477">
        <v>2</v>
      </c>
      <c r="J477" t="str">
        <f t="shared" si="15"/>
        <v>College</v>
      </c>
      <c r="K477" t="s">
        <v>53</v>
      </c>
      <c r="L477">
        <v>1</v>
      </c>
      <c r="M477" t="s">
        <v>40</v>
      </c>
      <c r="N477" s="2">
        <v>66</v>
      </c>
      <c r="O477">
        <v>3</v>
      </c>
      <c r="P477">
        <v>2</v>
      </c>
      <c r="Q477" t="s">
        <v>36</v>
      </c>
      <c r="R477">
        <v>2</v>
      </c>
      <c r="S477" t="s">
        <v>42</v>
      </c>
      <c r="T477" s="2">
        <v>6272</v>
      </c>
      <c r="U477" s="2">
        <v>7428</v>
      </c>
      <c r="V477">
        <v>1</v>
      </c>
      <c r="W477" t="s">
        <v>38</v>
      </c>
      <c r="X477">
        <v>20</v>
      </c>
      <c r="Y477">
        <v>4</v>
      </c>
      <c r="Z477">
        <v>4</v>
      </c>
      <c r="AA477">
        <v>80</v>
      </c>
      <c r="AB477">
        <v>2</v>
      </c>
      <c r="AC477">
        <v>6</v>
      </c>
      <c r="AD477">
        <v>5</v>
      </c>
      <c r="AE477">
        <v>4</v>
      </c>
      <c r="AF477">
        <v>5</v>
      </c>
      <c r="AG477">
        <v>3</v>
      </c>
      <c r="AH477">
        <v>1</v>
      </c>
      <c r="AI477">
        <v>4</v>
      </c>
    </row>
    <row r="478" spans="1:35" x14ac:dyDescent="0.25">
      <c r="A478">
        <v>24</v>
      </c>
      <c r="B478" t="str">
        <f t="shared" si="14"/>
        <v>18-24</v>
      </c>
      <c r="C478" s="1" t="s">
        <v>38</v>
      </c>
      <c r="D478" s="17">
        <f>IF(Table1[[#This Row],[Attrition]]="Yes",1,0)</f>
        <v>0</v>
      </c>
      <c r="E478" t="s">
        <v>57</v>
      </c>
      <c r="F478" s="2">
        <v>823</v>
      </c>
      <c r="G478" t="s">
        <v>39</v>
      </c>
      <c r="H478">
        <v>17</v>
      </c>
      <c r="I478">
        <v>2</v>
      </c>
      <c r="J478" t="str">
        <f t="shared" si="15"/>
        <v>College</v>
      </c>
      <c r="K478" t="s">
        <v>43</v>
      </c>
      <c r="L478">
        <v>4</v>
      </c>
      <c r="M478" t="s">
        <v>40</v>
      </c>
      <c r="N478" s="2">
        <v>94</v>
      </c>
      <c r="O478">
        <v>2</v>
      </c>
      <c r="P478">
        <v>1</v>
      </c>
      <c r="Q478" t="s">
        <v>44</v>
      </c>
      <c r="R478">
        <v>2</v>
      </c>
      <c r="S478" t="s">
        <v>42</v>
      </c>
      <c r="T478" s="2">
        <v>2127</v>
      </c>
      <c r="U478" s="2">
        <v>9100</v>
      </c>
      <c r="V478">
        <v>1</v>
      </c>
      <c r="W478" t="s">
        <v>38</v>
      </c>
      <c r="X478">
        <v>21</v>
      </c>
      <c r="Y478">
        <v>4</v>
      </c>
      <c r="Z478">
        <v>4</v>
      </c>
      <c r="AA478">
        <v>80</v>
      </c>
      <c r="AB478">
        <v>1</v>
      </c>
      <c r="AC478">
        <v>1</v>
      </c>
      <c r="AD478">
        <v>2</v>
      </c>
      <c r="AE478">
        <v>3</v>
      </c>
      <c r="AF478">
        <v>1</v>
      </c>
      <c r="AG478">
        <v>0</v>
      </c>
      <c r="AH478">
        <v>0</v>
      </c>
      <c r="AI478">
        <v>0</v>
      </c>
    </row>
    <row r="479" spans="1:35" x14ac:dyDescent="0.25">
      <c r="A479">
        <v>50</v>
      </c>
      <c r="B479" t="str">
        <f t="shared" si="14"/>
        <v>45-54</v>
      </c>
      <c r="C479" s="1" t="s">
        <v>38</v>
      </c>
      <c r="D479" s="17">
        <f>IF(Table1[[#This Row],[Attrition]]="Yes",1,0)</f>
        <v>0</v>
      </c>
      <c r="E479" t="s">
        <v>58</v>
      </c>
      <c r="F479" s="2">
        <v>1246</v>
      </c>
      <c r="G479" t="s">
        <v>55</v>
      </c>
      <c r="H479">
        <v>3</v>
      </c>
      <c r="I479">
        <v>3</v>
      </c>
      <c r="J479" t="str">
        <f t="shared" si="15"/>
        <v>Bachelor</v>
      </c>
      <c r="K479" t="s">
        <v>45</v>
      </c>
      <c r="L479">
        <v>1</v>
      </c>
      <c r="M479" t="s">
        <v>40</v>
      </c>
      <c r="N479" s="2">
        <v>99</v>
      </c>
      <c r="O479">
        <v>3</v>
      </c>
      <c r="P479">
        <v>5</v>
      </c>
      <c r="Q479" t="s">
        <v>50</v>
      </c>
      <c r="R479">
        <v>2</v>
      </c>
      <c r="S479" t="s">
        <v>42</v>
      </c>
      <c r="T479" s="2">
        <v>18200</v>
      </c>
      <c r="U479" s="2">
        <v>7999</v>
      </c>
      <c r="V479">
        <v>1</v>
      </c>
      <c r="W479" t="s">
        <v>38</v>
      </c>
      <c r="X479">
        <v>11</v>
      </c>
      <c r="Y479">
        <v>3</v>
      </c>
      <c r="Z479">
        <v>3</v>
      </c>
      <c r="AA479">
        <v>80</v>
      </c>
      <c r="AB479">
        <v>1</v>
      </c>
      <c r="AC479">
        <v>32</v>
      </c>
      <c r="AD479">
        <v>2</v>
      </c>
      <c r="AE479">
        <v>3</v>
      </c>
      <c r="AF479">
        <v>32</v>
      </c>
      <c r="AG479">
        <v>5</v>
      </c>
      <c r="AH479">
        <v>10</v>
      </c>
      <c r="AI479">
        <v>7</v>
      </c>
    </row>
    <row r="480" spans="1:35" x14ac:dyDescent="0.25">
      <c r="A480">
        <v>25</v>
      </c>
      <c r="B480" t="str">
        <f t="shared" si="14"/>
        <v>25-34</v>
      </c>
      <c r="C480" s="1" t="s">
        <v>38</v>
      </c>
      <c r="D480" s="17">
        <f>IF(Table1[[#This Row],[Attrition]]="Yes",1,0)</f>
        <v>0</v>
      </c>
      <c r="E480" t="s">
        <v>57</v>
      </c>
      <c r="F480" s="2">
        <v>622</v>
      </c>
      <c r="G480" t="s">
        <v>33</v>
      </c>
      <c r="H480">
        <v>13</v>
      </c>
      <c r="I480">
        <v>1</v>
      </c>
      <c r="J480" t="str">
        <f t="shared" si="15"/>
        <v>Below College</v>
      </c>
      <c r="K480" t="s">
        <v>45</v>
      </c>
      <c r="L480">
        <v>2</v>
      </c>
      <c r="M480" t="s">
        <v>40</v>
      </c>
      <c r="N480" s="2">
        <v>40</v>
      </c>
      <c r="O480">
        <v>3</v>
      </c>
      <c r="P480">
        <v>1</v>
      </c>
      <c r="Q480" t="s">
        <v>51</v>
      </c>
      <c r="R480">
        <v>3</v>
      </c>
      <c r="S480" t="s">
        <v>42</v>
      </c>
      <c r="T480" s="2">
        <v>2096</v>
      </c>
      <c r="U480" s="2">
        <v>26376</v>
      </c>
      <c r="V480">
        <v>1</v>
      </c>
      <c r="W480" t="s">
        <v>38</v>
      </c>
      <c r="X480">
        <v>11</v>
      </c>
      <c r="Y480">
        <v>3</v>
      </c>
      <c r="Z480">
        <v>3</v>
      </c>
      <c r="AA480">
        <v>80</v>
      </c>
      <c r="AB480">
        <v>0</v>
      </c>
      <c r="AC480">
        <v>7</v>
      </c>
      <c r="AD480">
        <v>1</v>
      </c>
      <c r="AE480">
        <v>3</v>
      </c>
      <c r="AF480">
        <v>7</v>
      </c>
      <c r="AG480">
        <v>4</v>
      </c>
      <c r="AH480">
        <v>0</v>
      </c>
      <c r="AI480">
        <v>6</v>
      </c>
    </row>
    <row r="481" spans="1:35" x14ac:dyDescent="0.25">
      <c r="A481">
        <v>24</v>
      </c>
      <c r="B481" t="str">
        <f t="shared" si="14"/>
        <v>18-24</v>
      </c>
      <c r="C481" s="1" t="s">
        <v>32</v>
      </c>
      <c r="D481" s="17">
        <f>IF(Table1[[#This Row],[Attrition]]="Yes",1,0)</f>
        <v>1</v>
      </c>
      <c r="E481" t="s">
        <v>58</v>
      </c>
      <c r="F481" s="2">
        <v>1287</v>
      </c>
      <c r="G481" t="s">
        <v>39</v>
      </c>
      <c r="H481">
        <v>7</v>
      </c>
      <c r="I481">
        <v>3</v>
      </c>
      <c r="J481" t="str">
        <f t="shared" si="15"/>
        <v>Bachelor</v>
      </c>
      <c r="K481" t="s">
        <v>34</v>
      </c>
      <c r="L481">
        <v>1</v>
      </c>
      <c r="M481" t="s">
        <v>35</v>
      </c>
      <c r="N481" s="2">
        <v>55</v>
      </c>
      <c r="O481">
        <v>3</v>
      </c>
      <c r="P481">
        <v>1</v>
      </c>
      <c r="Q481" t="s">
        <v>44</v>
      </c>
      <c r="R481">
        <v>3</v>
      </c>
      <c r="S481" t="s">
        <v>42</v>
      </c>
      <c r="T481" s="2">
        <v>2886</v>
      </c>
      <c r="U481" s="2">
        <v>14168</v>
      </c>
      <c r="V481">
        <v>1</v>
      </c>
      <c r="W481" t="s">
        <v>32</v>
      </c>
      <c r="X481">
        <v>16</v>
      </c>
      <c r="Y481">
        <v>3</v>
      </c>
      <c r="Z481">
        <v>4</v>
      </c>
      <c r="AA481">
        <v>80</v>
      </c>
      <c r="AB481">
        <v>1</v>
      </c>
      <c r="AC481">
        <v>6</v>
      </c>
      <c r="AD481">
        <v>4</v>
      </c>
      <c r="AE481">
        <v>3</v>
      </c>
      <c r="AF481">
        <v>6</v>
      </c>
      <c r="AG481">
        <v>3</v>
      </c>
      <c r="AH481">
        <v>1</v>
      </c>
      <c r="AI481">
        <v>2</v>
      </c>
    </row>
    <row r="482" spans="1:35" x14ac:dyDescent="0.25">
      <c r="A482">
        <v>30</v>
      </c>
      <c r="B482" t="str">
        <f t="shared" si="14"/>
        <v>25-34</v>
      </c>
      <c r="C482" s="1" t="s">
        <v>32</v>
      </c>
      <c r="D482" s="17">
        <f>IF(Table1[[#This Row],[Attrition]]="Yes",1,0)</f>
        <v>1</v>
      </c>
      <c r="E482" t="s">
        <v>58</v>
      </c>
      <c r="F482" s="2">
        <v>448</v>
      </c>
      <c r="G482" t="s">
        <v>33</v>
      </c>
      <c r="H482">
        <v>12</v>
      </c>
      <c r="I482">
        <v>4</v>
      </c>
      <c r="J482" t="str">
        <f t="shared" si="15"/>
        <v>Master</v>
      </c>
      <c r="K482" t="s">
        <v>34</v>
      </c>
      <c r="L482">
        <v>2</v>
      </c>
      <c r="M482" t="s">
        <v>40</v>
      </c>
      <c r="N482" s="2">
        <v>74</v>
      </c>
      <c r="O482">
        <v>2</v>
      </c>
      <c r="P482">
        <v>1</v>
      </c>
      <c r="Q482" t="s">
        <v>51</v>
      </c>
      <c r="R482">
        <v>1</v>
      </c>
      <c r="S482" t="s">
        <v>42</v>
      </c>
      <c r="T482" s="2">
        <v>2033</v>
      </c>
      <c r="U482" s="2">
        <v>14470</v>
      </c>
      <c r="V482">
        <v>1</v>
      </c>
      <c r="W482" t="s">
        <v>38</v>
      </c>
      <c r="X482">
        <v>18</v>
      </c>
      <c r="Y482">
        <v>3</v>
      </c>
      <c r="Z482">
        <v>3</v>
      </c>
      <c r="AA482">
        <v>80</v>
      </c>
      <c r="AB482">
        <v>1</v>
      </c>
      <c r="AC482">
        <v>1</v>
      </c>
      <c r="AD482">
        <v>2</v>
      </c>
      <c r="AE482">
        <v>4</v>
      </c>
      <c r="AF482">
        <v>1</v>
      </c>
      <c r="AG482">
        <v>0</v>
      </c>
      <c r="AH482">
        <v>0</v>
      </c>
      <c r="AI482">
        <v>0</v>
      </c>
    </row>
    <row r="483" spans="1:35" x14ac:dyDescent="0.25">
      <c r="A483">
        <v>34</v>
      </c>
      <c r="B483" t="str">
        <f t="shared" si="14"/>
        <v>25-34</v>
      </c>
      <c r="C483" s="1" t="s">
        <v>38</v>
      </c>
      <c r="D483" s="17">
        <f>IF(Table1[[#This Row],[Attrition]]="Yes",1,0)</f>
        <v>0</v>
      </c>
      <c r="E483" t="s">
        <v>57</v>
      </c>
      <c r="F483" s="2">
        <v>254</v>
      </c>
      <c r="G483" t="s">
        <v>39</v>
      </c>
      <c r="H483">
        <v>1</v>
      </c>
      <c r="I483">
        <v>2</v>
      </c>
      <c r="J483" t="str">
        <f t="shared" si="15"/>
        <v>College</v>
      </c>
      <c r="K483" t="s">
        <v>34</v>
      </c>
      <c r="L483">
        <v>2</v>
      </c>
      <c r="M483" t="s">
        <v>40</v>
      </c>
      <c r="N483" s="2">
        <v>83</v>
      </c>
      <c r="O483">
        <v>2</v>
      </c>
      <c r="P483">
        <v>1</v>
      </c>
      <c r="Q483" t="s">
        <v>41</v>
      </c>
      <c r="R483">
        <v>4</v>
      </c>
      <c r="S483" t="s">
        <v>42</v>
      </c>
      <c r="T483" s="2">
        <v>3622</v>
      </c>
      <c r="U483" s="2">
        <v>22794</v>
      </c>
      <c r="V483">
        <v>1</v>
      </c>
      <c r="W483" t="s">
        <v>32</v>
      </c>
      <c r="X483">
        <v>13</v>
      </c>
      <c r="Y483">
        <v>3</v>
      </c>
      <c r="Z483">
        <v>4</v>
      </c>
      <c r="AA483">
        <v>80</v>
      </c>
      <c r="AB483">
        <v>1</v>
      </c>
      <c r="AC483">
        <v>6</v>
      </c>
      <c r="AD483">
        <v>3</v>
      </c>
      <c r="AE483">
        <v>3</v>
      </c>
      <c r="AF483">
        <v>6</v>
      </c>
      <c r="AG483">
        <v>5</v>
      </c>
      <c r="AH483">
        <v>1</v>
      </c>
      <c r="AI483">
        <v>3</v>
      </c>
    </row>
    <row r="484" spans="1:35" x14ac:dyDescent="0.25">
      <c r="A484">
        <v>31</v>
      </c>
      <c r="B484" t="str">
        <f t="shared" si="14"/>
        <v>25-34</v>
      </c>
      <c r="C484" s="1" t="s">
        <v>32</v>
      </c>
      <c r="D484" s="17">
        <f>IF(Table1[[#This Row],[Attrition]]="Yes",1,0)</f>
        <v>1</v>
      </c>
      <c r="E484" t="s">
        <v>57</v>
      </c>
      <c r="F484" s="2">
        <v>1365</v>
      </c>
      <c r="G484" t="s">
        <v>33</v>
      </c>
      <c r="H484">
        <v>13</v>
      </c>
      <c r="I484">
        <v>4</v>
      </c>
      <c r="J484" t="str">
        <f t="shared" si="15"/>
        <v>Master</v>
      </c>
      <c r="K484" t="s">
        <v>45</v>
      </c>
      <c r="L484">
        <v>2</v>
      </c>
      <c r="M484" t="s">
        <v>40</v>
      </c>
      <c r="N484" s="2">
        <v>46</v>
      </c>
      <c r="O484">
        <v>3</v>
      </c>
      <c r="P484">
        <v>2</v>
      </c>
      <c r="Q484" t="s">
        <v>36</v>
      </c>
      <c r="R484">
        <v>1</v>
      </c>
      <c r="S484" t="s">
        <v>46</v>
      </c>
      <c r="T484" s="2">
        <v>4233</v>
      </c>
      <c r="U484" s="2">
        <v>11512</v>
      </c>
      <c r="V484">
        <v>2</v>
      </c>
      <c r="W484" t="s">
        <v>38</v>
      </c>
      <c r="X484">
        <v>17</v>
      </c>
      <c r="Y484">
        <v>3</v>
      </c>
      <c r="Z484">
        <v>3</v>
      </c>
      <c r="AA484">
        <v>80</v>
      </c>
      <c r="AB484">
        <v>0</v>
      </c>
      <c r="AC484">
        <v>9</v>
      </c>
      <c r="AD484">
        <v>2</v>
      </c>
      <c r="AE484">
        <v>1</v>
      </c>
      <c r="AF484">
        <v>3</v>
      </c>
      <c r="AG484">
        <v>1</v>
      </c>
      <c r="AH484">
        <v>1</v>
      </c>
      <c r="AI484">
        <v>2</v>
      </c>
    </row>
    <row r="485" spans="1:35" x14ac:dyDescent="0.25">
      <c r="A485">
        <v>35</v>
      </c>
      <c r="B485" t="str">
        <f t="shared" si="14"/>
        <v>35-44</v>
      </c>
      <c r="C485" s="1" t="s">
        <v>38</v>
      </c>
      <c r="D485" s="17">
        <f>IF(Table1[[#This Row],[Attrition]]="Yes",1,0)</f>
        <v>0</v>
      </c>
      <c r="E485" t="s">
        <v>57</v>
      </c>
      <c r="F485" s="2">
        <v>538</v>
      </c>
      <c r="G485" t="s">
        <v>39</v>
      </c>
      <c r="H485">
        <v>25</v>
      </c>
      <c r="I485">
        <v>2</v>
      </c>
      <c r="J485" t="str">
        <f t="shared" si="15"/>
        <v>College</v>
      </c>
      <c r="K485" t="s">
        <v>43</v>
      </c>
      <c r="L485">
        <v>1</v>
      </c>
      <c r="M485" t="s">
        <v>40</v>
      </c>
      <c r="N485" s="2">
        <v>54</v>
      </c>
      <c r="O485">
        <v>2</v>
      </c>
      <c r="P485">
        <v>2</v>
      </c>
      <c r="Q485" t="s">
        <v>44</v>
      </c>
      <c r="R485">
        <v>4</v>
      </c>
      <c r="S485" t="s">
        <v>37</v>
      </c>
      <c r="T485" s="2">
        <v>3681</v>
      </c>
      <c r="U485" s="2">
        <v>14004</v>
      </c>
      <c r="V485">
        <v>4</v>
      </c>
      <c r="W485" t="s">
        <v>38</v>
      </c>
      <c r="X485">
        <v>14</v>
      </c>
      <c r="Y485">
        <v>3</v>
      </c>
      <c r="Z485">
        <v>4</v>
      </c>
      <c r="AA485">
        <v>80</v>
      </c>
      <c r="AB485">
        <v>0</v>
      </c>
      <c r="AC485">
        <v>9</v>
      </c>
      <c r="AD485">
        <v>3</v>
      </c>
      <c r="AE485">
        <v>3</v>
      </c>
      <c r="AF485">
        <v>3</v>
      </c>
      <c r="AG485">
        <v>2</v>
      </c>
      <c r="AH485">
        <v>0</v>
      </c>
      <c r="AI485">
        <v>2</v>
      </c>
    </row>
    <row r="486" spans="1:35" x14ac:dyDescent="0.25">
      <c r="A486">
        <v>31</v>
      </c>
      <c r="B486" t="str">
        <f t="shared" si="14"/>
        <v>25-34</v>
      </c>
      <c r="C486" s="1" t="s">
        <v>38</v>
      </c>
      <c r="D486" s="17">
        <f>IF(Table1[[#This Row],[Attrition]]="Yes",1,0)</f>
        <v>0</v>
      </c>
      <c r="E486" t="s">
        <v>57</v>
      </c>
      <c r="F486" s="2">
        <v>525</v>
      </c>
      <c r="G486" t="s">
        <v>33</v>
      </c>
      <c r="H486">
        <v>6</v>
      </c>
      <c r="I486">
        <v>4</v>
      </c>
      <c r="J486" t="str">
        <f t="shared" si="15"/>
        <v>Master</v>
      </c>
      <c r="K486" t="s">
        <v>45</v>
      </c>
      <c r="L486">
        <v>1</v>
      </c>
      <c r="M486" t="s">
        <v>40</v>
      </c>
      <c r="N486" s="2">
        <v>66</v>
      </c>
      <c r="O486">
        <v>4</v>
      </c>
      <c r="P486">
        <v>2</v>
      </c>
      <c r="Q486" t="s">
        <v>36</v>
      </c>
      <c r="R486">
        <v>4</v>
      </c>
      <c r="S486" t="s">
        <v>46</v>
      </c>
      <c r="T486" s="2">
        <v>5460</v>
      </c>
      <c r="U486" s="2">
        <v>6219</v>
      </c>
      <c r="V486">
        <v>4</v>
      </c>
      <c r="W486" t="s">
        <v>38</v>
      </c>
      <c r="X486">
        <v>22</v>
      </c>
      <c r="Y486">
        <v>4</v>
      </c>
      <c r="Z486">
        <v>4</v>
      </c>
      <c r="AA486">
        <v>80</v>
      </c>
      <c r="AB486">
        <v>2</v>
      </c>
      <c r="AC486">
        <v>13</v>
      </c>
      <c r="AD486">
        <v>4</v>
      </c>
      <c r="AE486">
        <v>4</v>
      </c>
      <c r="AF486">
        <v>7</v>
      </c>
      <c r="AG486">
        <v>7</v>
      </c>
      <c r="AH486">
        <v>5</v>
      </c>
      <c r="AI486">
        <v>7</v>
      </c>
    </row>
    <row r="487" spans="1:35" x14ac:dyDescent="0.25">
      <c r="A487">
        <v>27</v>
      </c>
      <c r="B487" t="str">
        <f t="shared" si="14"/>
        <v>25-34</v>
      </c>
      <c r="C487" s="1" t="s">
        <v>38</v>
      </c>
      <c r="D487" s="17">
        <f>IF(Table1[[#This Row],[Attrition]]="Yes",1,0)</f>
        <v>0</v>
      </c>
      <c r="E487" t="s">
        <v>57</v>
      </c>
      <c r="F487" s="2">
        <v>798</v>
      </c>
      <c r="G487" t="s">
        <v>39</v>
      </c>
      <c r="H487">
        <v>6</v>
      </c>
      <c r="I487">
        <v>4</v>
      </c>
      <c r="J487" t="str">
        <f t="shared" si="15"/>
        <v>Master</v>
      </c>
      <c r="K487" t="s">
        <v>45</v>
      </c>
      <c r="L487">
        <v>1</v>
      </c>
      <c r="M487" t="s">
        <v>35</v>
      </c>
      <c r="N487" s="2">
        <v>66</v>
      </c>
      <c r="O487">
        <v>2</v>
      </c>
      <c r="P487">
        <v>1</v>
      </c>
      <c r="Q487" t="s">
        <v>41</v>
      </c>
      <c r="R487">
        <v>3</v>
      </c>
      <c r="S487" t="s">
        <v>46</v>
      </c>
      <c r="T487" s="2">
        <v>2187</v>
      </c>
      <c r="U487" s="2">
        <v>5013</v>
      </c>
      <c r="V487">
        <v>0</v>
      </c>
      <c r="W487" t="s">
        <v>38</v>
      </c>
      <c r="X487">
        <v>12</v>
      </c>
      <c r="Y487">
        <v>3</v>
      </c>
      <c r="Z487">
        <v>3</v>
      </c>
      <c r="AA487">
        <v>80</v>
      </c>
      <c r="AB487">
        <v>2</v>
      </c>
      <c r="AC487">
        <v>6</v>
      </c>
      <c r="AD487">
        <v>5</v>
      </c>
      <c r="AE487">
        <v>2</v>
      </c>
      <c r="AF487">
        <v>5</v>
      </c>
      <c r="AG487">
        <v>3</v>
      </c>
      <c r="AH487">
        <v>0</v>
      </c>
      <c r="AI487">
        <v>3</v>
      </c>
    </row>
    <row r="488" spans="1:35" x14ac:dyDescent="0.25">
      <c r="A488">
        <v>37</v>
      </c>
      <c r="B488" t="str">
        <f t="shared" si="14"/>
        <v>35-44</v>
      </c>
      <c r="C488" s="1" t="s">
        <v>38</v>
      </c>
      <c r="D488" s="17">
        <f>IF(Table1[[#This Row],[Attrition]]="Yes",1,0)</f>
        <v>0</v>
      </c>
      <c r="E488" t="s">
        <v>57</v>
      </c>
      <c r="F488" s="2">
        <v>558</v>
      </c>
      <c r="G488" t="s">
        <v>33</v>
      </c>
      <c r="H488">
        <v>2</v>
      </c>
      <c r="I488">
        <v>3</v>
      </c>
      <c r="J488" t="str">
        <f t="shared" si="15"/>
        <v>Bachelor</v>
      </c>
      <c r="K488" t="s">
        <v>53</v>
      </c>
      <c r="L488">
        <v>4</v>
      </c>
      <c r="M488" t="s">
        <v>40</v>
      </c>
      <c r="N488" s="2">
        <v>75</v>
      </c>
      <c r="O488">
        <v>3</v>
      </c>
      <c r="P488">
        <v>2</v>
      </c>
      <c r="Q488" t="s">
        <v>36</v>
      </c>
      <c r="R488">
        <v>3</v>
      </c>
      <c r="S488" t="s">
        <v>42</v>
      </c>
      <c r="T488" s="2">
        <v>9602</v>
      </c>
      <c r="U488" s="2">
        <v>3010</v>
      </c>
      <c r="V488">
        <v>4</v>
      </c>
      <c r="W488" t="s">
        <v>32</v>
      </c>
      <c r="X488">
        <v>11</v>
      </c>
      <c r="Y488">
        <v>3</v>
      </c>
      <c r="Z488">
        <v>3</v>
      </c>
      <c r="AA488">
        <v>80</v>
      </c>
      <c r="AB488">
        <v>1</v>
      </c>
      <c r="AC488">
        <v>17</v>
      </c>
      <c r="AD488">
        <v>3</v>
      </c>
      <c r="AE488">
        <v>2</v>
      </c>
      <c r="AF488">
        <v>3</v>
      </c>
      <c r="AG488">
        <v>0</v>
      </c>
      <c r="AH488">
        <v>1</v>
      </c>
      <c r="AI488">
        <v>0</v>
      </c>
    </row>
    <row r="489" spans="1:35" x14ac:dyDescent="0.25">
      <c r="A489">
        <v>20</v>
      </c>
      <c r="B489" t="str">
        <f t="shared" si="14"/>
        <v>18-24</v>
      </c>
      <c r="C489" s="1" t="s">
        <v>38</v>
      </c>
      <c r="D489" s="17">
        <f>IF(Table1[[#This Row],[Attrition]]="Yes",1,0)</f>
        <v>0</v>
      </c>
      <c r="E489" t="s">
        <v>57</v>
      </c>
      <c r="F489" s="2">
        <v>959</v>
      </c>
      <c r="G489" t="s">
        <v>39</v>
      </c>
      <c r="H489">
        <v>1</v>
      </c>
      <c r="I489">
        <v>3</v>
      </c>
      <c r="J489" t="str">
        <f t="shared" si="15"/>
        <v>Bachelor</v>
      </c>
      <c r="K489" t="s">
        <v>34</v>
      </c>
      <c r="L489">
        <v>4</v>
      </c>
      <c r="M489" t="s">
        <v>35</v>
      </c>
      <c r="N489" s="2">
        <v>83</v>
      </c>
      <c r="O489">
        <v>2</v>
      </c>
      <c r="P489">
        <v>1</v>
      </c>
      <c r="Q489" t="s">
        <v>41</v>
      </c>
      <c r="R489">
        <v>2</v>
      </c>
      <c r="S489" t="s">
        <v>37</v>
      </c>
      <c r="T489" s="2">
        <v>2836</v>
      </c>
      <c r="U489" s="2">
        <v>11757</v>
      </c>
      <c r="V489">
        <v>1</v>
      </c>
      <c r="W489" t="s">
        <v>38</v>
      </c>
      <c r="X489">
        <v>13</v>
      </c>
      <c r="Y489">
        <v>3</v>
      </c>
      <c r="Z489">
        <v>4</v>
      </c>
      <c r="AA489">
        <v>80</v>
      </c>
      <c r="AB489">
        <v>0</v>
      </c>
      <c r="AC489">
        <v>1</v>
      </c>
      <c r="AD489">
        <v>0</v>
      </c>
      <c r="AE489">
        <v>4</v>
      </c>
      <c r="AF489">
        <v>1</v>
      </c>
      <c r="AG489">
        <v>0</v>
      </c>
      <c r="AH489">
        <v>0</v>
      </c>
      <c r="AI489">
        <v>0</v>
      </c>
    </row>
    <row r="490" spans="1:35" x14ac:dyDescent="0.25">
      <c r="A490">
        <v>42</v>
      </c>
      <c r="B490" t="str">
        <f t="shared" si="14"/>
        <v>35-44</v>
      </c>
      <c r="C490" s="1" t="s">
        <v>38</v>
      </c>
      <c r="D490" s="17">
        <f>IF(Table1[[#This Row],[Attrition]]="Yes",1,0)</f>
        <v>0</v>
      </c>
      <c r="E490" t="s">
        <v>57</v>
      </c>
      <c r="F490" s="2">
        <v>622</v>
      </c>
      <c r="G490" t="s">
        <v>39</v>
      </c>
      <c r="H490">
        <v>2</v>
      </c>
      <c r="I490">
        <v>4</v>
      </c>
      <c r="J490" t="str">
        <f t="shared" si="15"/>
        <v>Master</v>
      </c>
      <c r="K490" t="s">
        <v>34</v>
      </c>
      <c r="L490">
        <v>3</v>
      </c>
      <c r="M490" t="s">
        <v>35</v>
      </c>
      <c r="N490" s="2">
        <v>81</v>
      </c>
      <c r="O490">
        <v>3</v>
      </c>
      <c r="P490">
        <v>2</v>
      </c>
      <c r="Q490" t="s">
        <v>48</v>
      </c>
      <c r="R490">
        <v>4</v>
      </c>
      <c r="S490" t="s">
        <v>42</v>
      </c>
      <c r="T490" s="2">
        <v>4089</v>
      </c>
      <c r="U490" s="2">
        <v>5718</v>
      </c>
      <c r="V490">
        <v>1</v>
      </c>
      <c r="W490" t="s">
        <v>38</v>
      </c>
      <c r="X490">
        <v>13</v>
      </c>
      <c r="Y490">
        <v>3</v>
      </c>
      <c r="Z490">
        <v>2</v>
      </c>
      <c r="AA490">
        <v>80</v>
      </c>
      <c r="AB490">
        <v>2</v>
      </c>
      <c r="AC490">
        <v>10</v>
      </c>
      <c r="AD490">
        <v>4</v>
      </c>
      <c r="AE490">
        <v>3</v>
      </c>
      <c r="AF490">
        <v>10</v>
      </c>
      <c r="AG490">
        <v>2</v>
      </c>
      <c r="AH490">
        <v>2</v>
      </c>
      <c r="AI490">
        <v>2</v>
      </c>
    </row>
    <row r="491" spans="1:35" x14ac:dyDescent="0.25">
      <c r="A491">
        <v>43</v>
      </c>
      <c r="B491" t="str">
        <f t="shared" si="14"/>
        <v>35-44</v>
      </c>
      <c r="C491" s="1" t="s">
        <v>38</v>
      </c>
      <c r="D491" s="17">
        <f>IF(Table1[[#This Row],[Attrition]]="Yes",1,0)</f>
        <v>0</v>
      </c>
      <c r="E491" t="s">
        <v>57</v>
      </c>
      <c r="F491" s="2">
        <v>782</v>
      </c>
      <c r="G491" t="s">
        <v>39</v>
      </c>
      <c r="H491">
        <v>6</v>
      </c>
      <c r="I491">
        <v>4</v>
      </c>
      <c r="J491" t="str">
        <f t="shared" si="15"/>
        <v>Master</v>
      </c>
      <c r="K491" t="s">
        <v>43</v>
      </c>
      <c r="L491">
        <v>2</v>
      </c>
      <c r="M491" t="s">
        <v>40</v>
      </c>
      <c r="N491" s="2">
        <v>50</v>
      </c>
      <c r="O491">
        <v>2</v>
      </c>
      <c r="P491">
        <v>4</v>
      </c>
      <c r="Q491" t="s">
        <v>52</v>
      </c>
      <c r="R491">
        <v>4</v>
      </c>
      <c r="S491" t="s">
        <v>46</v>
      </c>
      <c r="T491" s="2">
        <v>16627</v>
      </c>
      <c r="U491" s="2">
        <v>2671</v>
      </c>
      <c r="V491">
        <v>4</v>
      </c>
      <c r="W491" t="s">
        <v>32</v>
      </c>
      <c r="X491">
        <v>14</v>
      </c>
      <c r="Y491">
        <v>3</v>
      </c>
      <c r="Z491">
        <v>3</v>
      </c>
      <c r="AA491">
        <v>80</v>
      </c>
      <c r="AB491">
        <v>1</v>
      </c>
      <c r="AC491">
        <v>21</v>
      </c>
      <c r="AD491">
        <v>3</v>
      </c>
      <c r="AE491">
        <v>2</v>
      </c>
      <c r="AF491">
        <v>1</v>
      </c>
      <c r="AG491">
        <v>0</v>
      </c>
      <c r="AH491">
        <v>0</v>
      </c>
      <c r="AI491">
        <v>0</v>
      </c>
    </row>
    <row r="492" spans="1:35" x14ac:dyDescent="0.25">
      <c r="A492">
        <v>38</v>
      </c>
      <c r="B492" t="str">
        <f t="shared" si="14"/>
        <v>35-44</v>
      </c>
      <c r="C492" s="1" t="s">
        <v>38</v>
      </c>
      <c r="D492" s="17">
        <f>IF(Table1[[#This Row],[Attrition]]="Yes",1,0)</f>
        <v>0</v>
      </c>
      <c r="E492" t="s">
        <v>57</v>
      </c>
      <c r="F492" s="2">
        <v>362</v>
      </c>
      <c r="G492" t="s">
        <v>39</v>
      </c>
      <c r="H492">
        <v>1</v>
      </c>
      <c r="I492">
        <v>1</v>
      </c>
      <c r="J492" t="str">
        <f t="shared" si="15"/>
        <v>Below College</v>
      </c>
      <c r="K492" t="s">
        <v>34</v>
      </c>
      <c r="L492">
        <v>3</v>
      </c>
      <c r="M492" t="s">
        <v>35</v>
      </c>
      <c r="N492" s="2">
        <v>43</v>
      </c>
      <c r="O492">
        <v>3</v>
      </c>
      <c r="P492">
        <v>1</v>
      </c>
      <c r="Q492" t="s">
        <v>41</v>
      </c>
      <c r="R492">
        <v>1</v>
      </c>
      <c r="S492" t="s">
        <v>37</v>
      </c>
      <c r="T492" s="2">
        <v>2619</v>
      </c>
      <c r="U492" s="2">
        <v>14561</v>
      </c>
      <c r="V492">
        <v>3</v>
      </c>
      <c r="W492" t="s">
        <v>38</v>
      </c>
      <c r="X492">
        <v>17</v>
      </c>
      <c r="Y492">
        <v>3</v>
      </c>
      <c r="Z492">
        <v>4</v>
      </c>
      <c r="AA492">
        <v>80</v>
      </c>
      <c r="AB492">
        <v>0</v>
      </c>
      <c r="AC492">
        <v>8</v>
      </c>
      <c r="AD492">
        <v>3</v>
      </c>
      <c r="AE492">
        <v>2</v>
      </c>
      <c r="AF492">
        <v>0</v>
      </c>
      <c r="AG492">
        <v>0</v>
      </c>
      <c r="AH492">
        <v>0</v>
      </c>
      <c r="AI492">
        <v>0</v>
      </c>
    </row>
    <row r="493" spans="1:35" x14ac:dyDescent="0.25">
      <c r="A493">
        <v>43</v>
      </c>
      <c r="B493" t="str">
        <f t="shared" si="14"/>
        <v>35-44</v>
      </c>
      <c r="C493" s="1" t="s">
        <v>38</v>
      </c>
      <c r="D493" s="17">
        <f>IF(Table1[[#This Row],[Attrition]]="Yes",1,0)</f>
        <v>0</v>
      </c>
      <c r="E493" t="s">
        <v>58</v>
      </c>
      <c r="F493" s="2">
        <v>1001</v>
      </c>
      <c r="G493" t="s">
        <v>39</v>
      </c>
      <c r="H493">
        <v>9</v>
      </c>
      <c r="I493">
        <v>5</v>
      </c>
      <c r="J493" t="str">
        <f t="shared" si="15"/>
        <v>Doctor</v>
      </c>
      <c r="K493" t="s">
        <v>45</v>
      </c>
      <c r="L493">
        <v>4</v>
      </c>
      <c r="M493" t="s">
        <v>40</v>
      </c>
      <c r="N493" s="2">
        <v>72</v>
      </c>
      <c r="O493">
        <v>3</v>
      </c>
      <c r="P493">
        <v>2</v>
      </c>
      <c r="Q493" t="s">
        <v>44</v>
      </c>
      <c r="R493">
        <v>3</v>
      </c>
      <c r="S493" t="s">
        <v>46</v>
      </c>
      <c r="T493" s="2">
        <v>5679</v>
      </c>
      <c r="U493" s="2">
        <v>19627</v>
      </c>
      <c r="V493">
        <v>3</v>
      </c>
      <c r="W493" t="s">
        <v>32</v>
      </c>
      <c r="X493">
        <v>13</v>
      </c>
      <c r="Y493">
        <v>3</v>
      </c>
      <c r="Z493">
        <v>2</v>
      </c>
      <c r="AA493">
        <v>80</v>
      </c>
      <c r="AB493">
        <v>1</v>
      </c>
      <c r="AC493">
        <v>10</v>
      </c>
      <c r="AD493">
        <v>3</v>
      </c>
      <c r="AE493">
        <v>3</v>
      </c>
      <c r="AF493">
        <v>8</v>
      </c>
      <c r="AG493">
        <v>7</v>
      </c>
      <c r="AH493">
        <v>4</v>
      </c>
      <c r="AI493">
        <v>7</v>
      </c>
    </row>
    <row r="494" spans="1:35" x14ac:dyDescent="0.25">
      <c r="A494">
        <v>48</v>
      </c>
      <c r="B494" t="str">
        <f t="shared" si="14"/>
        <v>45-54</v>
      </c>
      <c r="C494" s="1" t="s">
        <v>38</v>
      </c>
      <c r="D494" s="17">
        <f>IF(Table1[[#This Row],[Attrition]]="Yes",1,0)</f>
        <v>0</v>
      </c>
      <c r="E494" t="s">
        <v>57</v>
      </c>
      <c r="F494" s="2">
        <v>1236</v>
      </c>
      <c r="G494" t="s">
        <v>39</v>
      </c>
      <c r="H494">
        <v>1</v>
      </c>
      <c r="I494">
        <v>4</v>
      </c>
      <c r="J494" t="str">
        <f t="shared" si="15"/>
        <v>Master</v>
      </c>
      <c r="K494" t="s">
        <v>34</v>
      </c>
      <c r="L494">
        <v>4</v>
      </c>
      <c r="M494" t="s">
        <v>35</v>
      </c>
      <c r="N494" s="2">
        <v>40</v>
      </c>
      <c r="O494">
        <v>2</v>
      </c>
      <c r="P494">
        <v>4</v>
      </c>
      <c r="Q494" t="s">
        <v>50</v>
      </c>
      <c r="R494">
        <v>1</v>
      </c>
      <c r="S494" t="s">
        <v>42</v>
      </c>
      <c r="T494" s="2">
        <v>15402</v>
      </c>
      <c r="U494" s="2">
        <v>17997</v>
      </c>
      <c r="V494">
        <v>7</v>
      </c>
      <c r="W494" t="s">
        <v>38</v>
      </c>
      <c r="X494">
        <v>11</v>
      </c>
      <c r="Y494">
        <v>3</v>
      </c>
      <c r="Z494">
        <v>1</v>
      </c>
      <c r="AA494">
        <v>80</v>
      </c>
      <c r="AB494">
        <v>1</v>
      </c>
      <c r="AC494">
        <v>21</v>
      </c>
      <c r="AD494">
        <v>3</v>
      </c>
      <c r="AE494">
        <v>1</v>
      </c>
      <c r="AF494">
        <v>3</v>
      </c>
      <c r="AG494">
        <v>2</v>
      </c>
      <c r="AH494">
        <v>0</v>
      </c>
      <c r="AI494">
        <v>2</v>
      </c>
    </row>
    <row r="495" spans="1:35" x14ac:dyDescent="0.25">
      <c r="A495">
        <v>44</v>
      </c>
      <c r="B495" t="str">
        <f t="shared" si="14"/>
        <v>35-44</v>
      </c>
      <c r="C495" s="1" t="s">
        <v>38</v>
      </c>
      <c r="D495" s="17">
        <f>IF(Table1[[#This Row],[Attrition]]="Yes",1,0)</f>
        <v>0</v>
      </c>
      <c r="E495" t="s">
        <v>57</v>
      </c>
      <c r="F495" s="2">
        <v>1112</v>
      </c>
      <c r="G495" t="s">
        <v>55</v>
      </c>
      <c r="H495">
        <v>1</v>
      </c>
      <c r="I495">
        <v>4</v>
      </c>
      <c r="J495" t="str">
        <f t="shared" si="15"/>
        <v>Master</v>
      </c>
      <c r="K495" t="s">
        <v>34</v>
      </c>
      <c r="L495">
        <v>1</v>
      </c>
      <c r="M495" t="s">
        <v>35</v>
      </c>
      <c r="N495" s="2">
        <v>50</v>
      </c>
      <c r="O495">
        <v>2</v>
      </c>
      <c r="P495">
        <v>2</v>
      </c>
      <c r="Q495" t="s">
        <v>55</v>
      </c>
      <c r="R495">
        <v>3</v>
      </c>
      <c r="S495" t="s">
        <v>37</v>
      </c>
      <c r="T495" s="2">
        <v>5985</v>
      </c>
      <c r="U495" s="2">
        <v>26894</v>
      </c>
      <c r="V495">
        <v>4</v>
      </c>
      <c r="W495" t="s">
        <v>38</v>
      </c>
      <c r="X495">
        <v>11</v>
      </c>
      <c r="Y495">
        <v>3</v>
      </c>
      <c r="Z495">
        <v>2</v>
      </c>
      <c r="AA495">
        <v>80</v>
      </c>
      <c r="AB495">
        <v>0</v>
      </c>
      <c r="AC495">
        <v>10</v>
      </c>
      <c r="AD495">
        <v>1</v>
      </c>
      <c r="AE495">
        <v>4</v>
      </c>
      <c r="AF495">
        <v>2</v>
      </c>
      <c r="AG495">
        <v>2</v>
      </c>
      <c r="AH495">
        <v>0</v>
      </c>
      <c r="AI495">
        <v>2</v>
      </c>
    </row>
    <row r="496" spans="1:35" x14ac:dyDescent="0.25">
      <c r="A496">
        <v>34</v>
      </c>
      <c r="B496" t="str">
        <f t="shared" si="14"/>
        <v>25-34</v>
      </c>
      <c r="C496" s="1" t="s">
        <v>38</v>
      </c>
      <c r="D496" s="17">
        <f>IF(Table1[[#This Row],[Attrition]]="Yes",1,0)</f>
        <v>0</v>
      </c>
      <c r="E496" t="s">
        <v>57</v>
      </c>
      <c r="F496" s="2">
        <v>204</v>
      </c>
      <c r="G496" t="s">
        <v>33</v>
      </c>
      <c r="H496">
        <v>14</v>
      </c>
      <c r="I496">
        <v>3</v>
      </c>
      <c r="J496" t="str">
        <f t="shared" si="15"/>
        <v>Bachelor</v>
      </c>
      <c r="K496" t="s">
        <v>54</v>
      </c>
      <c r="L496">
        <v>3</v>
      </c>
      <c r="M496" t="s">
        <v>35</v>
      </c>
      <c r="N496" s="2">
        <v>31</v>
      </c>
      <c r="O496">
        <v>3</v>
      </c>
      <c r="P496">
        <v>1</v>
      </c>
      <c r="Q496" t="s">
        <v>51</v>
      </c>
      <c r="R496">
        <v>3</v>
      </c>
      <c r="S496" t="s">
        <v>46</v>
      </c>
      <c r="T496" s="2">
        <v>2579</v>
      </c>
      <c r="U496" s="2">
        <v>2912</v>
      </c>
      <c r="V496">
        <v>1</v>
      </c>
      <c r="W496" t="s">
        <v>32</v>
      </c>
      <c r="X496">
        <v>18</v>
      </c>
      <c r="Y496">
        <v>3</v>
      </c>
      <c r="Z496">
        <v>4</v>
      </c>
      <c r="AA496">
        <v>80</v>
      </c>
      <c r="AB496">
        <v>2</v>
      </c>
      <c r="AC496">
        <v>8</v>
      </c>
      <c r="AD496">
        <v>3</v>
      </c>
      <c r="AE496">
        <v>3</v>
      </c>
      <c r="AF496">
        <v>8</v>
      </c>
      <c r="AG496">
        <v>2</v>
      </c>
      <c r="AH496">
        <v>0</v>
      </c>
      <c r="AI496">
        <v>6</v>
      </c>
    </row>
    <row r="497" spans="1:35" x14ac:dyDescent="0.25">
      <c r="A497">
        <v>27</v>
      </c>
      <c r="B497" t="str">
        <f t="shared" si="14"/>
        <v>25-34</v>
      </c>
      <c r="C497" s="1" t="s">
        <v>32</v>
      </c>
      <c r="D497" s="17">
        <f>IF(Table1[[#This Row],[Attrition]]="Yes",1,0)</f>
        <v>1</v>
      </c>
      <c r="E497" t="s">
        <v>57</v>
      </c>
      <c r="F497" s="2">
        <v>1420</v>
      </c>
      <c r="G497" t="s">
        <v>33</v>
      </c>
      <c r="H497">
        <v>2</v>
      </c>
      <c r="I497">
        <v>1</v>
      </c>
      <c r="J497" t="str">
        <f t="shared" si="15"/>
        <v>Below College</v>
      </c>
      <c r="K497" t="s">
        <v>53</v>
      </c>
      <c r="L497">
        <v>3</v>
      </c>
      <c r="M497" t="s">
        <v>40</v>
      </c>
      <c r="N497" s="2">
        <v>85</v>
      </c>
      <c r="O497">
        <v>3</v>
      </c>
      <c r="P497">
        <v>1</v>
      </c>
      <c r="Q497" t="s">
        <v>51</v>
      </c>
      <c r="R497">
        <v>1</v>
      </c>
      <c r="S497" t="s">
        <v>46</v>
      </c>
      <c r="T497" s="2">
        <v>3041</v>
      </c>
      <c r="U497" s="2">
        <v>16346</v>
      </c>
      <c r="V497">
        <v>0</v>
      </c>
      <c r="W497" t="s">
        <v>38</v>
      </c>
      <c r="X497">
        <v>11</v>
      </c>
      <c r="Y497">
        <v>3</v>
      </c>
      <c r="Z497">
        <v>2</v>
      </c>
      <c r="AA497">
        <v>80</v>
      </c>
      <c r="AB497">
        <v>1</v>
      </c>
      <c r="AC497">
        <v>5</v>
      </c>
      <c r="AD497">
        <v>3</v>
      </c>
      <c r="AE497">
        <v>3</v>
      </c>
      <c r="AF497">
        <v>4</v>
      </c>
      <c r="AG497">
        <v>3</v>
      </c>
      <c r="AH497">
        <v>0</v>
      </c>
      <c r="AI497">
        <v>2</v>
      </c>
    </row>
    <row r="498" spans="1:35" x14ac:dyDescent="0.25">
      <c r="A498">
        <v>21</v>
      </c>
      <c r="B498" t="str">
        <f t="shared" si="14"/>
        <v>18-24</v>
      </c>
      <c r="C498" s="1" t="s">
        <v>38</v>
      </c>
      <c r="D498" s="17">
        <f>IF(Table1[[#This Row],[Attrition]]="Yes",1,0)</f>
        <v>0</v>
      </c>
      <c r="E498" t="s">
        <v>57</v>
      </c>
      <c r="F498" s="2">
        <v>1343</v>
      </c>
      <c r="G498" t="s">
        <v>33</v>
      </c>
      <c r="H498">
        <v>22</v>
      </c>
      <c r="I498">
        <v>1</v>
      </c>
      <c r="J498" t="str">
        <f t="shared" si="15"/>
        <v>Below College</v>
      </c>
      <c r="K498" t="s">
        <v>54</v>
      </c>
      <c r="L498">
        <v>3</v>
      </c>
      <c r="M498" t="s">
        <v>40</v>
      </c>
      <c r="N498" s="2">
        <v>49</v>
      </c>
      <c r="O498">
        <v>3</v>
      </c>
      <c r="P498">
        <v>1</v>
      </c>
      <c r="Q498" t="s">
        <v>51</v>
      </c>
      <c r="R498">
        <v>3</v>
      </c>
      <c r="S498" t="s">
        <v>37</v>
      </c>
      <c r="T498" s="2">
        <v>3447</v>
      </c>
      <c r="U498" s="2">
        <v>24444</v>
      </c>
      <c r="V498">
        <v>1</v>
      </c>
      <c r="W498" t="s">
        <v>38</v>
      </c>
      <c r="X498">
        <v>11</v>
      </c>
      <c r="Y498">
        <v>3</v>
      </c>
      <c r="Z498">
        <v>3</v>
      </c>
      <c r="AA498">
        <v>80</v>
      </c>
      <c r="AB498">
        <v>0</v>
      </c>
      <c r="AC498">
        <v>3</v>
      </c>
      <c r="AD498">
        <v>2</v>
      </c>
      <c r="AE498">
        <v>3</v>
      </c>
      <c r="AF498">
        <v>3</v>
      </c>
      <c r="AG498">
        <v>2</v>
      </c>
      <c r="AH498">
        <v>1</v>
      </c>
      <c r="AI498">
        <v>2</v>
      </c>
    </row>
    <row r="499" spans="1:35" x14ac:dyDescent="0.25">
      <c r="A499">
        <v>44</v>
      </c>
      <c r="B499" t="str">
        <f t="shared" si="14"/>
        <v>35-44</v>
      </c>
      <c r="C499" s="1" t="s">
        <v>38</v>
      </c>
      <c r="D499" s="17">
        <f>IF(Table1[[#This Row],[Attrition]]="Yes",1,0)</f>
        <v>0</v>
      </c>
      <c r="E499" t="s">
        <v>57</v>
      </c>
      <c r="F499" s="2">
        <v>1315</v>
      </c>
      <c r="G499" t="s">
        <v>39</v>
      </c>
      <c r="H499">
        <v>3</v>
      </c>
      <c r="I499">
        <v>4</v>
      </c>
      <c r="J499" t="str">
        <f t="shared" si="15"/>
        <v>Master</v>
      </c>
      <c r="K499" t="s">
        <v>43</v>
      </c>
      <c r="L499">
        <v>4</v>
      </c>
      <c r="M499" t="s">
        <v>40</v>
      </c>
      <c r="N499" s="2">
        <v>35</v>
      </c>
      <c r="O499">
        <v>3</v>
      </c>
      <c r="P499">
        <v>5</v>
      </c>
      <c r="Q499" t="s">
        <v>50</v>
      </c>
      <c r="R499">
        <v>4</v>
      </c>
      <c r="S499" t="s">
        <v>42</v>
      </c>
      <c r="T499" s="2">
        <v>19513</v>
      </c>
      <c r="U499" s="2">
        <v>9358</v>
      </c>
      <c r="V499">
        <v>4</v>
      </c>
      <c r="W499" t="s">
        <v>32</v>
      </c>
      <c r="X499">
        <v>12</v>
      </c>
      <c r="Y499">
        <v>3</v>
      </c>
      <c r="Z499">
        <v>1</v>
      </c>
      <c r="AA499">
        <v>80</v>
      </c>
      <c r="AB499">
        <v>1</v>
      </c>
      <c r="AC499">
        <v>26</v>
      </c>
      <c r="AD499">
        <v>2</v>
      </c>
      <c r="AE499">
        <v>4</v>
      </c>
      <c r="AF499">
        <v>2</v>
      </c>
      <c r="AG499">
        <v>2</v>
      </c>
      <c r="AH499">
        <v>0</v>
      </c>
      <c r="AI499">
        <v>1</v>
      </c>
    </row>
    <row r="500" spans="1:35" x14ac:dyDescent="0.25">
      <c r="A500">
        <v>22</v>
      </c>
      <c r="B500" t="str">
        <f t="shared" si="14"/>
        <v>18-24</v>
      </c>
      <c r="C500" s="1" t="s">
        <v>38</v>
      </c>
      <c r="D500" s="17">
        <f>IF(Table1[[#This Row],[Attrition]]="Yes",1,0)</f>
        <v>0</v>
      </c>
      <c r="E500" t="s">
        <v>57</v>
      </c>
      <c r="F500" s="2">
        <v>604</v>
      </c>
      <c r="G500" t="s">
        <v>39</v>
      </c>
      <c r="H500">
        <v>6</v>
      </c>
      <c r="I500">
        <v>1</v>
      </c>
      <c r="J500" t="str">
        <f t="shared" si="15"/>
        <v>Below College</v>
      </c>
      <c r="K500" t="s">
        <v>45</v>
      </c>
      <c r="L500">
        <v>1</v>
      </c>
      <c r="M500" t="s">
        <v>40</v>
      </c>
      <c r="N500" s="2">
        <v>69</v>
      </c>
      <c r="O500">
        <v>3</v>
      </c>
      <c r="P500">
        <v>1</v>
      </c>
      <c r="Q500" t="s">
        <v>41</v>
      </c>
      <c r="R500">
        <v>3</v>
      </c>
      <c r="S500" t="s">
        <v>42</v>
      </c>
      <c r="T500" s="2">
        <v>2773</v>
      </c>
      <c r="U500" s="2">
        <v>12145</v>
      </c>
      <c r="V500">
        <v>0</v>
      </c>
      <c r="W500" t="s">
        <v>38</v>
      </c>
      <c r="X500">
        <v>20</v>
      </c>
      <c r="Y500">
        <v>4</v>
      </c>
      <c r="Z500">
        <v>4</v>
      </c>
      <c r="AA500">
        <v>80</v>
      </c>
      <c r="AB500">
        <v>0</v>
      </c>
      <c r="AC500">
        <v>3</v>
      </c>
      <c r="AD500">
        <v>3</v>
      </c>
      <c r="AE500">
        <v>3</v>
      </c>
      <c r="AF500">
        <v>2</v>
      </c>
      <c r="AG500">
        <v>2</v>
      </c>
      <c r="AH500">
        <v>2</v>
      </c>
      <c r="AI500">
        <v>2</v>
      </c>
    </row>
    <row r="501" spans="1:35" x14ac:dyDescent="0.25">
      <c r="A501">
        <v>33</v>
      </c>
      <c r="B501" t="str">
        <f t="shared" si="14"/>
        <v>25-34</v>
      </c>
      <c r="C501" s="1" t="s">
        <v>38</v>
      </c>
      <c r="D501" s="17">
        <f>IF(Table1[[#This Row],[Attrition]]="Yes",1,0)</f>
        <v>0</v>
      </c>
      <c r="E501" t="s">
        <v>57</v>
      </c>
      <c r="F501" s="2">
        <v>1216</v>
      </c>
      <c r="G501" t="s">
        <v>33</v>
      </c>
      <c r="H501">
        <v>8</v>
      </c>
      <c r="I501">
        <v>4</v>
      </c>
      <c r="J501" t="str">
        <f t="shared" si="15"/>
        <v>Master</v>
      </c>
      <c r="K501" t="s">
        <v>53</v>
      </c>
      <c r="L501">
        <v>3</v>
      </c>
      <c r="M501" t="s">
        <v>40</v>
      </c>
      <c r="N501" s="2">
        <v>39</v>
      </c>
      <c r="O501">
        <v>3</v>
      </c>
      <c r="P501">
        <v>2</v>
      </c>
      <c r="Q501" t="s">
        <v>36</v>
      </c>
      <c r="R501">
        <v>3</v>
      </c>
      <c r="S501" t="s">
        <v>46</v>
      </c>
      <c r="T501" s="2">
        <v>7104</v>
      </c>
      <c r="U501" s="2">
        <v>20431</v>
      </c>
      <c r="V501">
        <v>0</v>
      </c>
      <c r="W501" t="s">
        <v>38</v>
      </c>
      <c r="X501">
        <v>12</v>
      </c>
      <c r="Y501">
        <v>3</v>
      </c>
      <c r="Z501">
        <v>4</v>
      </c>
      <c r="AA501">
        <v>80</v>
      </c>
      <c r="AB501">
        <v>0</v>
      </c>
      <c r="AC501">
        <v>6</v>
      </c>
      <c r="AD501">
        <v>3</v>
      </c>
      <c r="AE501">
        <v>3</v>
      </c>
      <c r="AF501">
        <v>5</v>
      </c>
      <c r="AG501">
        <v>0</v>
      </c>
      <c r="AH501">
        <v>1</v>
      </c>
      <c r="AI501">
        <v>2</v>
      </c>
    </row>
    <row r="502" spans="1:35" x14ac:dyDescent="0.25">
      <c r="A502">
        <v>32</v>
      </c>
      <c r="B502" t="str">
        <f t="shared" si="14"/>
        <v>25-34</v>
      </c>
      <c r="C502" s="1" t="s">
        <v>38</v>
      </c>
      <c r="D502" s="17">
        <f>IF(Table1[[#This Row],[Attrition]]="Yes",1,0)</f>
        <v>0</v>
      </c>
      <c r="E502" t="s">
        <v>57</v>
      </c>
      <c r="F502" s="2">
        <v>646</v>
      </c>
      <c r="G502" t="s">
        <v>39</v>
      </c>
      <c r="H502">
        <v>9</v>
      </c>
      <c r="I502">
        <v>4</v>
      </c>
      <c r="J502" t="str">
        <f t="shared" si="15"/>
        <v>Master</v>
      </c>
      <c r="K502" t="s">
        <v>34</v>
      </c>
      <c r="L502">
        <v>1</v>
      </c>
      <c r="M502" t="s">
        <v>35</v>
      </c>
      <c r="N502" s="2">
        <v>92</v>
      </c>
      <c r="O502">
        <v>3</v>
      </c>
      <c r="P502">
        <v>2</v>
      </c>
      <c r="Q502" t="s">
        <v>41</v>
      </c>
      <c r="R502">
        <v>4</v>
      </c>
      <c r="S502" t="s">
        <v>42</v>
      </c>
      <c r="T502" s="2">
        <v>6322</v>
      </c>
      <c r="U502" s="2">
        <v>18089</v>
      </c>
      <c r="V502">
        <v>1</v>
      </c>
      <c r="W502" t="s">
        <v>32</v>
      </c>
      <c r="X502">
        <v>12</v>
      </c>
      <c r="Y502">
        <v>3</v>
      </c>
      <c r="Z502">
        <v>4</v>
      </c>
      <c r="AA502">
        <v>80</v>
      </c>
      <c r="AB502">
        <v>1</v>
      </c>
      <c r="AC502">
        <v>6</v>
      </c>
      <c r="AD502">
        <v>2</v>
      </c>
      <c r="AE502">
        <v>2</v>
      </c>
      <c r="AF502">
        <v>6</v>
      </c>
      <c r="AG502">
        <v>4</v>
      </c>
      <c r="AH502">
        <v>0</v>
      </c>
      <c r="AI502">
        <v>5</v>
      </c>
    </row>
    <row r="503" spans="1:35" x14ac:dyDescent="0.25">
      <c r="A503">
        <v>30</v>
      </c>
      <c r="B503" t="str">
        <f t="shared" si="14"/>
        <v>25-34</v>
      </c>
      <c r="C503" s="1" t="s">
        <v>38</v>
      </c>
      <c r="D503" s="17">
        <f>IF(Table1[[#This Row],[Attrition]]="Yes",1,0)</f>
        <v>0</v>
      </c>
      <c r="E503" t="s">
        <v>58</v>
      </c>
      <c r="F503" s="2">
        <v>160</v>
      </c>
      <c r="G503" t="s">
        <v>39</v>
      </c>
      <c r="H503">
        <v>3</v>
      </c>
      <c r="I503">
        <v>3</v>
      </c>
      <c r="J503" t="str">
        <f t="shared" si="15"/>
        <v>Bachelor</v>
      </c>
      <c r="K503" t="s">
        <v>45</v>
      </c>
      <c r="L503">
        <v>3</v>
      </c>
      <c r="M503" t="s">
        <v>35</v>
      </c>
      <c r="N503" s="2">
        <v>71</v>
      </c>
      <c r="O503">
        <v>3</v>
      </c>
      <c r="P503">
        <v>1</v>
      </c>
      <c r="Q503" t="s">
        <v>41</v>
      </c>
      <c r="R503">
        <v>3</v>
      </c>
      <c r="S503" t="s">
        <v>46</v>
      </c>
      <c r="T503" s="2">
        <v>2083</v>
      </c>
      <c r="U503" s="2">
        <v>22653</v>
      </c>
      <c r="V503">
        <v>1</v>
      </c>
      <c r="W503" t="s">
        <v>38</v>
      </c>
      <c r="X503">
        <v>20</v>
      </c>
      <c r="Y503">
        <v>4</v>
      </c>
      <c r="Z503">
        <v>3</v>
      </c>
      <c r="AA503">
        <v>80</v>
      </c>
      <c r="AB503">
        <v>1</v>
      </c>
      <c r="AC503">
        <v>1</v>
      </c>
      <c r="AD503">
        <v>2</v>
      </c>
      <c r="AE503">
        <v>3</v>
      </c>
      <c r="AF503">
        <v>1</v>
      </c>
      <c r="AG503">
        <v>0</v>
      </c>
      <c r="AH503">
        <v>0</v>
      </c>
      <c r="AI503">
        <v>0</v>
      </c>
    </row>
    <row r="504" spans="1:35" x14ac:dyDescent="0.25">
      <c r="A504">
        <v>53</v>
      </c>
      <c r="B504" t="str">
        <f t="shared" si="14"/>
        <v>45-54</v>
      </c>
      <c r="C504" s="1" t="s">
        <v>38</v>
      </c>
      <c r="D504" s="17">
        <f>IF(Table1[[#This Row],[Attrition]]="Yes",1,0)</f>
        <v>0</v>
      </c>
      <c r="E504" t="s">
        <v>57</v>
      </c>
      <c r="F504" s="2">
        <v>238</v>
      </c>
      <c r="G504" t="s">
        <v>33</v>
      </c>
      <c r="H504">
        <v>1</v>
      </c>
      <c r="I504">
        <v>1</v>
      </c>
      <c r="J504" t="str">
        <f t="shared" si="15"/>
        <v>Below College</v>
      </c>
      <c r="K504" t="s">
        <v>45</v>
      </c>
      <c r="L504">
        <v>4</v>
      </c>
      <c r="M504" t="s">
        <v>35</v>
      </c>
      <c r="N504" s="2">
        <v>34</v>
      </c>
      <c r="O504">
        <v>3</v>
      </c>
      <c r="P504">
        <v>2</v>
      </c>
      <c r="Q504" t="s">
        <v>36</v>
      </c>
      <c r="R504">
        <v>1</v>
      </c>
      <c r="S504" t="s">
        <v>37</v>
      </c>
      <c r="T504" s="2">
        <v>8381</v>
      </c>
      <c r="U504" s="2">
        <v>7507</v>
      </c>
      <c r="V504">
        <v>7</v>
      </c>
      <c r="W504" t="s">
        <v>38</v>
      </c>
      <c r="X504">
        <v>20</v>
      </c>
      <c r="Y504">
        <v>4</v>
      </c>
      <c r="Z504">
        <v>4</v>
      </c>
      <c r="AA504">
        <v>80</v>
      </c>
      <c r="AB504">
        <v>0</v>
      </c>
      <c r="AC504">
        <v>18</v>
      </c>
      <c r="AD504">
        <v>2</v>
      </c>
      <c r="AE504">
        <v>4</v>
      </c>
      <c r="AF504">
        <v>14</v>
      </c>
      <c r="AG504">
        <v>7</v>
      </c>
      <c r="AH504">
        <v>8</v>
      </c>
      <c r="AI504">
        <v>10</v>
      </c>
    </row>
    <row r="505" spans="1:35" x14ac:dyDescent="0.25">
      <c r="A505">
        <v>34</v>
      </c>
      <c r="B505" t="str">
        <f t="shared" si="14"/>
        <v>25-34</v>
      </c>
      <c r="C505" s="1" t="s">
        <v>38</v>
      </c>
      <c r="D505" s="17">
        <f>IF(Table1[[#This Row],[Attrition]]="Yes",1,0)</f>
        <v>0</v>
      </c>
      <c r="E505" t="s">
        <v>57</v>
      </c>
      <c r="F505" s="2">
        <v>1397</v>
      </c>
      <c r="G505" t="s">
        <v>39</v>
      </c>
      <c r="H505">
        <v>1</v>
      </c>
      <c r="I505">
        <v>5</v>
      </c>
      <c r="J505" t="str">
        <f t="shared" si="15"/>
        <v>Doctor</v>
      </c>
      <c r="K505" t="s">
        <v>34</v>
      </c>
      <c r="L505">
        <v>2</v>
      </c>
      <c r="M505" t="s">
        <v>40</v>
      </c>
      <c r="N505" s="2">
        <v>42</v>
      </c>
      <c r="O505">
        <v>3</v>
      </c>
      <c r="P505">
        <v>1</v>
      </c>
      <c r="Q505" t="s">
        <v>41</v>
      </c>
      <c r="R505">
        <v>4</v>
      </c>
      <c r="S505" t="s">
        <v>42</v>
      </c>
      <c r="T505" s="2">
        <v>2691</v>
      </c>
      <c r="U505" s="2">
        <v>7660</v>
      </c>
      <c r="V505">
        <v>1</v>
      </c>
      <c r="W505" t="s">
        <v>38</v>
      </c>
      <c r="X505">
        <v>12</v>
      </c>
      <c r="Y505">
        <v>3</v>
      </c>
      <c r="Z505">
        <v>4</v>
      </c>
      <c r="AA505">
        <v>80</v>
      </c>
      <c r="AB505">
        <v>1</v>
      </c>
      <c r="AC505">
        <v>10</v>
      </c>
      <c r="AD505">
        <v>4</v>
      </c>
      <c r="AE505">
        <v>2</v>
      </c>
      <c r="AF505">
        <v>10</v>
      </c>
      <c r="AG505">
        <v>9</v>
      </c>
      <c r="AH505">
        <v>8</v>
      </c>
      <c r="AI505">
        <v>8</v>
      </c>
    </row>
    <row r="506" spans="1:35" x14ac:dyDescent="0.25">
      <c r="A506">
        <v>45</v>
      </c>
      <c r="B506" t="str">
        <f t="shared" si="14"/>
        <v>45-54</v>
      </c>
      <c r="C506" s="1" t="s">
        <v>32</v>
      </c>
      <c r="D506" s="17">
        <f>IF(Table1[[#This Row],[Attrition]]="Yes",1,0)</f>
        <v>1</v>
      </c>
      <c r="E506" t="s">
        <v>58</v>
      </c>
      <c r="F506" s="2">
        <v>306</v>
      </c>
      <c r="G506" t="s">
        <v>33</v>
      </c>
      <c r="H506">
        <v>26</v>
      </c>
      <c r="I506">
        <v>4</v>
      </c>
      <c r="J506" t="str">
        <f t="shared" si="15"/>
        <v>Master</v>
      </c>
      <c r="K506" t="s">
        <v>34</v>
      </c>
      <c r="L506">
        <v>1</v>
      </c>
      <c r="M506" t="s">
        <v>35</v>
      </c>
      <c r="N506" s="2">
        <v>100</v>
      </c>
      <c r="O506">
        <v>3</v>
      </c>
      <c r="P506">
        <v>2</v>
      </c>
      <c r="Q506" t="s">
        <v>36</v>
      </c>
      <c r="R506">
        <v>1</v>
      </c>
      <c r="S506" t="s">
        <v>42</v>
      </c>
      <c r="T506" s="2">
        <v>4286</v>
      </c>
      <c r="U506" s="2">
        <v>5630</v>
      </c>
      <c r="V506">
        <v>2</v>
      </c>
      <c r="W506" t="s">
        <v>38</v>
      </c>
      <c r="X506">
        <v>14</v>
      </c>
      <c r="Y506">
        <v>3</v>
      </c>
      <c r="Z506">
        <v>4</v>
      </c>
      <c r="AA506">
        <v>80</v>
      </c>
      <c r="AB506">
        <v>2</v>
      </c>
      <c r="AC506">
        <v>5</v>
      </c>
      <c r="AD506">
        <v>4</v>
      </c>
      <c r="AE506">
        <v>3</v>
      </c>
      <c r="AF506">
        <v>1</v>
      </c>
      <c r="AG506">
        <v>1</v>
      </c>
      <c r="AH506">
        <v>0</v>
      </c>
      <c r="AI506">
        <v>0</v>
      </c>
    </row>
    <row r="507" spans="1:35" x14ac:dyDescent="0.25">
      <c r="A507">
        <v>26</v>
      </c>
      <c r="B507" t="str">
        <f t="shared" si="14"/>
        <v>25-34</v>
      </c>
      <c r="C507" s="1" t="s">
        <v>38</v>
      </c>
      <c r="D507" s="17">
        <f>IF(Table1[[#This Row],[Attrition]]="Yes",1,0)</f>
        <v>0</v>
      </c>
      <c r="E507" t="s">
        <v>57</v>
      </c>
      <c r="F507" s="2">
        <v>991</v>
      </c>
      <c r="G507" t="s">
        <v>39</v>
      </c>
      <c r="H507">
        <v>6</v>
      </c>
      <c r="I507">
        <v>3</v>
      </c>
      <c r="J507" t="str">
        <f t="shared" si="15"/>
        <v>Bachelor</v>
      </c>
      <c r="K507" t="s">
        <v>34</v>
      </c>
      <c r="L507">
        <v>3</v>
      </c>
      <c r="M507" t="s">
        <v>35</v>
      </c>
      <c r="N507" s="2">
        <v>71</v>
      </c>
      <c r="O507">
        <v>3</v>
      </c>
      <c r="P507">
        <v>1</v>
      </c>
      <c r="Q507" t="s">
        <v>44</v>
      </c>
      <c r="R507">
        <v>4</v>
      </c>
      <c r="S507" t="s">
        <v>42</v>
      </c>
      <c r="T507" s="2">
        <v>2659</v>
      </c>
      <c r="U507" s="2">
        <v>17759</v>
      </c>
      <c r="V507">
        <v>1</v>
      </c>
      <c r="W507" t="s">
        <v>32</v>
      </c>
      <c r="X507">
        <v>13</v>
      </c>
      <c r="Y507">
        <v>3</v>
      </c>
      <c r="Z507">
        <v>3</v>
      </c>
      <c r="AA507">
        <v>80</v>
      </c>
      <c r="AB507">
        <v>1</v>
      </c>
      <c r="AC507">
        <v>3</v>
      </c>
      <c r="AD507">
        <v>2</v>
      </c>
      <c r="AE507">
        <v>3</v>
      </c>
      <c r="AF507">
        <v>3</v>
      </c>
      <c r="AG507">
        <v>2</v>
      </c>
      <c r="AH507">
        <v>0</v>
      </c>
      <c r="AI507">
        <v>2</v>
      </c>
    </row>
    <row r="508" spans="1:35" x14ac:dyDescent="0.25">
      <c r="A508">
        <v>37</v>
      </c>
      <c r="B508" t="str">
        <f t="shared" si="14"/>
        <v>35-44</v>
      </c>
      <c r="C508" s="1" t="s">
        <v>38</v>
      </c>
      <c r="D508" s="17">
        <f>IF(Table1[[#This Row],[Attrition]]="Yes",1,0)</f>
        <v>0</v>
      </c>
      <c r="E508" t="s">
        <v>57</v>
      </c>
      <c r="F508" s="2">
        <v>482</v>
      </c>
      <c r="G508" t="s">
        <v>39</v>
      </c>
      <c r="H508">
        <v>3</v>
      </c>
      <c r="I508">
        <v>3</v>
      </c>
      <c r="J508" t="str">
        <f t="shared" si="15"/>
        <v>Bachelor</v>
      </c>
      <c r="K508" t="s">
        <v>43</v>
      </c>
      <c r="L508">
        <v>3</v>
      </c>
      <c r="M508" t="s">
        <v>40</v>
      </c>
      <c r="N508" s="2">
        <v>36</v>
      </c>
      <c r="O508">
        <v>3</v>
      </c>
      <c r="P508">
        <v>3</v>
      </c>
      <c r="Q508" t="s">
        <v>47</v>
      </c>
      <c r="R508">
        <v>3</v>
      </c>
      <c r="S508" t="s">
        <v>42</v>
      </c>
      <c r="T508" s="2">
        <v>9434</v>
      </c>
      <c r="U508" s="2">
        <v>9606</v>
      </c>
      <c r="V508">
        <v>1</v>
      </c>
      <c r="W508" t="s">
        <v>38</v>
      </c>
      <c r="X508">
        <v>15</v>
      </c>
      <c r="Y508">
        <v>3</v>
      </c>
      <c r="Z508">
        <v>3</v>
      </c>
      <c r="AA508">
        <v>80</v>
      </c>
      <c r="AB508">
        <v>1</v>
      </c>
      <c r="AC508">
        <v>10</v>
      </c>
      <c r="AD508">
        <v>2</v>
      </c>
      <c r="AE508">
        <v>3</v>
      </c>
      <c r="AF508">
        <v>10</v>
      </c>
      <c r="AG508">
        <v>7</v>
      </c>
      <c r="AH508">
        <v>7</v>
      </c>
      <c r="AI508">
        <v>8</v>
      </c>
    </row>
    <row r="509" spans="1:35" x14ac:dyDescent="0.25">
      <c r="A509">
        <v>29</v>
      </c>
      <c r="B509" t="str">
        <f t="shared" si="14"/>
        <v>25-34</v>
      </c>
      <c r="C509" s="1" t="s">
        <v>38</v>
      </c>
      <c r="D509" s="17">
        <f>IF(Table1[[#This Row],[Attrition]]="Yes",1,0)</f>
        <v>0</v>
      </c>
      <c r="E509" t="s">
        <v>57</v>
      </c>
      <c r="F509" s="2">
        <v>1176</v>
      </c>
      <c r="G509" t="s">
        <v>33</v>
      </c>
      <c r="H509">
        <v>3</v>
      </c>
      <c r="I509">
        <v>2</v>
      </c>
      <c r="J509" t="str">
        <f t="shared" si="15"/>
        <v>College</v>
      </c>
      <c r="K509" t="s">
        <v>45</v>
      </c>
      <c r="L509">
        <v>2</v>
      </c>
      <c r="M509" t="s">
        <v>35</v>
      </c>
      <c r="N509" s="2">
        <v>62</v>
      </c>
      <c r="O509">
        <v>3</v>
      </c>
      <c r="P509">
        <v>2</v>
      </c>
      <c r="Q509" t="s">
        <v>36</v>
      </c>
      <c r="R509">
        <v>3</v>
      </c>
      <c r="S509" t="s">
        <v>42</v>
      </c>
      <c r="T509" s="2">
        <v>5561</v>
      </c>
      <c r="U509" s="2">
        <v>3487</v>
      </c>
      <c r="V509">
        <v>1</v>
      </c>
      <c r="W509" t="s">
        <v>38</v>
      </c>
      <c r="X509">
        <v>14</v>
      </c>
      <c r="Y509">
        <v>3</v>
      </c>
      <c r="Z509">
        <v>1</v>
      </c>
      <c r="AA509">
        <v>80</v>
      </c>
      <c r="AB509">
        <v>1</v>
      </c>
      <c r="AC509">
        <v>6</v>
      </c>
      <c r="AD509">
        <v>5</v>
      </c>
      <c r="AE509">
        <v>2</v>
      </c>
      <c r="AF509">
        <v>6</v>
      </c>
      <c r="AG509">
        <v>0</v>
      </c>
      <c r="AH509">
        <v>1</v>
      </c>
      <c r="AI509">
        <v>2</v>
      </c>
    </row>
    <row r="510" spans="1:35" x14ac:dyDescent="0.25">
      <c r="A510">
        <v>35</v>
      </c>
      <c r="B510" t="str">
        <f t="shared" si="14"/>
        <v>35-44</v>
      </c>
      <c r="C510" s="1" t="s">
        <v>38</v>
      </c>
      <c r="D510" s="17">
        <f>IF(Table1[[#This Row],[Attrition]]="Yes",1,0)</f>
        <v>0</v>
      </c>
      <c r="E510" t="s">
        <v>57</v>
      </c>
      <c r="F510" s="2">
        <v>1017</v>
      </c>
      <c r="G510" t="s">
        <v>39</v>
      </c>
      <c r="H510">
        <v>6</v>
      </c>
      <c r="I510">
        <v>4</v>
      </c>
      <c r="J510" t="str">
        <f t="shared" si="15"/>
        <v>Master</v>
      </c>
      <c r="K510" t="s">
        <v>34</v>
      </c>
      <c r="L510">
        <v>2</v>
      </c>
      <c r="M510" t="s">
        <v>40</v>
      </c>
      <c r="N510" s="2">
        <v>82</v>
      </c>
      <c r="O510">
        <v>1</v>
      </c>
      <c r="P510">
        <v>2</v>
      </c>
      <c r="Q510" t="s">
        <v>41</v>
      </c>
      <c r="R510">
        <v>4</v>
      </c>
      <c r="S510" t="s">
        <v>37</v>
      </c>
      <c r="T510" s="2">
        <v>6646</v>
      </c>
      <c r="U510" s="2">
        <v>19368</v>
      </c>
      <c r="V510">
        <v>1</v>
      </c>
      <c r="W510" t="s">
        <v>38</v>
      </c>
      <c r="X510">
        <v>13</v>
      </c>
      <c r="Y510">
        <v>3</v>
      </c>
      <c r="Z510">
        <v>2</v>
      </c>
      <c r="AA510">
        <v>80</v>
      </c>
      <c r="AB510">
        <v>0</v>
      </c>
      <c r="AC510">
        <v>17</v>
      </c>
      <c r="AD510">
        <v>3</v>
      </c>
      <c r="AE510">
        <v>3</v>
      </c>
      <c r="AF510">
        <v>17</v>
      </c>
      <c r="AG510">
        <v>11</v>
      </c>
      <c r="AH510">
        <v>11</v>
      </c>
      <c r="AI510">
        <v>8</v>
      </c>
    </row>
    <row r="511" spans="1:35" x14ac:dyDescent="0.25">
      <c r="A511">
        <v>33</v>
      </c>
      <c r="B511" t="str">
        <f t="shared" si="14"/>
        <v>25-34</v>
      </c>
      <c r="C511" s="1" t="s">
        <v>38</v>
      </c>
      <c r="D511" s="17">
        <f>IF(Table1[[#This Row],[Attrition]]="Yes",1,0)</f>
        <v>0</v>
      </c>
      <c r="E511" t="s">
        <v>58</v>
      </c>
      <c r="F511" s="2">
        <v>1296</v>
      </c>
      <c r="G511" t="s">
        <v>39</v>
      </c>
      <c r="H511">
        <v>6</v>
      </c>
      <c r="I511">
        <v>3</v>
      </c>
      <c r="J511" t="str">
        <f t="shared" si="15"/>
        <v>Bachelor</v>
      </c>
      <c r="K511" t="s">
        <v>34</v>
      </c>
      <c r="L511">
        <v>3</v>
      </c>
      <c r="M511" t="s">
        <v>40</v>
      </c>
      <c r="N511" s="2">
        <v>30</v>
      </c>
      <c r="O511">
        <v>3</v>
      </c>
      <c r="P511">
        <v>2</v>
      </c>
      <c r="Q511" t="s">
        <v>48</v>
      </c>
      <c r="R511">
        <v>4</v>
      </c>
      <c r="S511" t="s">
        <v>46</v>
      </c>
      <c r="T511" s="2">
        <v>7725</v>
      </c>
      <c r="U511" s="2">
        <v>5335</v>
      </c>
      <c r="V511">
        <v>3</v>
      </c>
      <c r="W511" t="s">
        <v>38</v>
      </c>
      <c r="X511">
        <v>23</v>
      </c>
      <c r="Y511">
        <v>4</v>
      </c>
      <c r="Z511">
        <v>3</v>
      </c>
      <c r="AA511">
        <v>80</v>
      </c>
      <c r="AB511">
        <v>1</v>
      </c>
      <c r="AC511">
        <v>15</v>
      </c>
      <c r="AD511">
        <v>2</v>
      </c>
      <c r="AE511">
        <v>1</v>
      </c>
      <c r="AF511">
        <v>13</v>
      </c>
      <c r="AG511">
        <v>11</v>
      </c>
      <c r="AH511">
        <v>4</v>
      </c>
      <c r="AI511">
        <v>7</v>
      </c>
    </row>
    <row r="512" spans="1:35" x14ac:dyDescent="0.25">
      <c r="A512">
        <v>54</v>
      </c>
      <c r="B512" t="str">
        <f t="shared" si="14"/>
        <v>45-54</v>
      </c>
      <c r="C512" s="1" t="s">
        <v>38</v>
      </c>
      <c r="D512" s="17">
        <f>IF(Table1[[#This Row],[Attrition]]="Yes",1,0)</f>
        <v>0</v>
      </c>
      <c r="E512" t="s">
        <v>57</v>
      </c>
      <c r="F512" s="2">
        <v>397</v>
      </c>
      <c r="G512" t="s">
        <v>55</v>
      </c>
      <c r="H512">
        <v>19</v>
      </c>
      <c r="I512">
        <v>4</v>
      </c>
      <c r="J512" t="str">
        <f t="shared" si="15"/>
        <v>Master</v>
      </c>
      <c r="K512" t="s">
        <v>45</v>
      </c>
      <c r="L512">
        <v>3</v>
      </c>
      <c r="M512" t="s">
        <v>40</v>
      </c>
      <c r="N512" s="2">
        <v>88</v>
      </c>
      <c r="O512">
        <v>3</v>
      </c>
      <c r="P512">
        <v>3</v>
      </c>
      <c r="Q512" t="s">
        <v>55</v>
      </c>
      <c r="R512">
        <v>2</v>
      </c>
      <c r="S512" t="s">
        <v>42</v>
      </c>
      <c r="T512" s="2">
        <v>10725</v>
      </c>
      <c r="U512" s="2">
        <v>6729</v>
      </c>
      <c r="V512">
        <v>2</v>
      </c>
      <c r="W512" t="s">
        <v>38</v>
      </c>
      <c r="X512">
        <v>15</v>
      </c>
      <c r="Y512">
        <v>3</v>
      </c>
      <c r="Z512">
        <v>3</v>
      </c>
      <c r="AA512">
        <v>80</v>
      </c>
      <c r="AB512">
        <v>1</v>
      </c>
      <c r="AC512">
        <v>16</v>
      </c>
      <c r="AD512">
        <v>1</v>
      </c>
      <c r="AE512">
        <v>4</v>
      </c>
      <c r="AF512">
        <v>9</v>
      </c>
      <c r="AG512">
        <v>7</v>
      </c>
      <c r="AH512">
        <v>7</v>
      </c>
      <c r="AI512">
        <v>1</v>
      </c>
    </row>
    <row r="513" spans="1:35" x14ac:dyDescent="0.25">
      <c r="A513">
        <v>36</v>
      </c>
      <c r="B513" t="str">
        <f t="shared" si="14"/>
        <v>35-44</v>
      </c>
      <c r="C513" s="1" t="s">
        <v>38</v>
      </c>
      <c r="D513" s="17">
        <f>IF(Table1[[#This Row],[Attrition]]="Yes",1,0)</f>
        <v>0</v>
      </c>
      <c r="E513" t="s">
        <v>57</v>
      </c>
      <c r="F513" s="2">
        <v>913</v>
      </c>
      <c r="G513" t="s">
        <v>39</v>
      </c>
      <c r="H513">
        <v>9</v>
      </c>
      <c r="I513">
        <v>2</v>
      </c>
      <c r="J513" t="str">
        <f t="shared" si="15"/>
        <v>College</v>
      </c>
      <c r="K513" t="s">
        <v>45</v>
      </c>
      <c r="L513">
        <v>2</v>
      </c>
      <c r="M513" t="s">
        <v>40</v>
      </c>
      <c r="N513" s="2">
        <v>48</v>
      </c>
      <c r="O513">
        <v>2</v>
      </c>
      <c r="P513">
        <v>2</v>
      </c>
      <c r="Q513" t="s">
        <v>47</v>
      </c>
      <c r="R513">
        <v>2</v>
      </c>
      <c r="S513" t="s">
        <v>46</v>
      </c>
      <c r="T513" s="2">
        <v>8847</v>
      </c>
      <c r="U513" s="2">
        <v>13934</v>
      </c>
      <c r="V513">
        <v>2</v>
      </c>
      <c r="W513" t="s">
        <v>32</v>
      </c>
      <c r="X513">
        <v>11</v>
      </c>
      <c r="Y513">
        <v>3</v>
      </c>
      <c r="Z513">
        <v>3</v>
      </c>
      <c r="AA513">
        <v>80</v>
      </c>
      <c r="AB513">
        <v>1</v>
      </c>
      <c r="AC513">
        <v>13</v>
      </c>
      <c r="AD513">
        <v>2</v>
      </c>
      <c r="AE513">
        <v>3</v>
      </c>
      <c r="AF513">
        <v>3</v>
      </c>
      <c r="AG513">
        <v>2</v>
      </c>
      <c r="AH513">
        <v>0</v>
      </c>
      <c r="AI513">
        <v>2</v>
      </c>
    </row>
    <row r="514" spans="1:35" x14ac:dyDescent="0.25">
      <c r="A514">
        <v>27</v>
      </c>
      <c r="B514" t="str">
        <f t="shared" ref="B514:B577" si="16">IF(A514="","",IF(A514&lt;25,"18-24",
 IF(A514&lt;35,"25-34",
 IF(A514&lt;45,"35-44",
 IF(A514&lt;55,"45-54",
 IF(A514&lt;65,"55-64","65+"))))))</f>
        <v>25-34</v>
      </c>
      <c r="C514" s="1" t="s">
        <v>38</v>
      </c>
      <c r="D514" s="17">
        <f>IF(Table1[[#This Row],[Attrition]]="Yes",1,0)</f>
        <v>0</v>
      </c>
      <c r="E514" t="s">
        <v>57</v>
      </c>
      <c r="F514" s="2">
        <v>1115</v>
      </c>
      <c r="G514" t="s">
        <v>39</v>
      </c>
      <c r="H514">
        <v>3</v>
      </c>
      <c r="I514">
        <v>4</v>
      </c>
      <c r="J514" t="str">
        <f t="shared" ref="J514:J577" si="17">CHOOSE(I514,"Below College","College","Bachelor","Master","Doctor")</f>
        <v>Master</v>
      </c>
      <c r="K514" t="s">
        <v>45</v>
      </c>
      <c r="L514">
        <v>1</v>
      </c>
      <c r="M514" t="s">
        <v>40</v>
      </c>
      <c r="N514" s="2">
        <v>54</v>
      </c>
      <c r="O514">
        <v>2</v>
      </c>
      <c r="P514">
        <v>1</v>
      </c>
      <c r="Q514" t="s">
        <v>41</v>
      </c>
      <c r="R514">
        <v>4</v>
      </c>
      <c r="S514" t="s">
        <v>37</v>
      </c>
      <c r="T514" s="2">
        <v>2045</v>
      </c>
      <c r="U514" s="2">
        <v>15174</v>
      </c>
      <c r="V514">
        <v>0</v>
      </c>
      <c r="W514" t="s">
        <v>38</v>
      </c>
      <c r="X514">
        <v>13</v>
      </c>
      <c r="Y514">
        <v>3</v>
      </c>
      <c r="Z514">
        <v>4</v>
      </c>
      <c r="AA514">
        <v>80</v>
      </c>
      <c r="AB514">
        <v>0</v>
      </c>
      <c r="AC514">
        <v>5</v>
      </c>
      <c r="AD514">
        <v>0</v>
      </c>
      <c r="AE514">
        <v>3</v>
      </c>
      <c r="AF514">
        <v>4</v>
      </c>
      <c r="AG514">
        <v>2</v>
      </c>
      <c r="AH514">
        <v>1</v>
      </c>
      <c r="AI514">
        <v>1</v>
      </c>
    </row>
    <row r="515" spans="1:35" x14ac:dyDescent="0.25">
      <c r="A515">
        <v>20</v>
      </c>
      <c r="B515" t="str">
        <f t="shared" si="16"/>
        <v>18-24</v>
      </c>
      <c r="C515" s="1" t="s">
        <v>32</v>
      </c>
      <c r="D515" s="17">
        <f>IF(Table1[[#This Row],[Attrition]]="Yes",1,0)</f>
        <v>1</v>
      </c>
      <c r="E515" t="s">
        <v>57</v>
      </c>
      <c r="F515" s="2">
        <v>1362</v>
      </c>
      <c r="G515" t="s">
        <v>39</v>
      </c>
      <c r="H515">
        <v>10</v>
      </c>
      <c r="I515">
        <v>1</v>
      </c>
      <c r="J515" t="str">
        <f t="shared" si="17"/>
        <v>Below College</v>
      </c>
      <c r="K515" t="s">
        <v>45</v>
      </c>
      <c r="L515">
        <v>4</v>
      </c>
      <c r="M515" t="s">
        <v>40</v>
      </c>
      <c r="N515" s="2">
        <v>32</v>
      </c>
      <c r="O515">
        <v>3</v>
      </c>
      <c r="P515">
        <v>1</v>
      </c>
      <c r="Q515" t="s">
        <v>41</v>
      </c>
      <c r="R515">
        <v>3</v>
      </c>
      <c r="S515" t="s">
        <v>37</v>
      </c>
      <c r="T515" s="2">
        <v>1009</v>
      </c>
      <c r="U515" s="2">
        <v>26999</v>
      </c>
      <c r="V515">
        <v>1</v>
      </c>
      <c r="W515" t="s">
        <v>32</v>
      </c>
      <c r="X515">
        <v>11</v>
      </c>
      <c r="Y515">
        <v>3</v>
      </c>
      <c r="Z515">
        <v>4</v>
      </c>
      <c r="AA515">
        <v>80</v>
      </c>
      <c r="AB515">
        <v>0</v>
      </c>
      <c r="AC515">
        <v>1</v>
      </c>
      <c r="AD515">
        <v>5</v>
      </c>
      <c r="AE515">
        <v>3</v>
      </c>
      <c r="AF515">
        <v>1</v>
      </c>
      <c r="AG515">
        <v>0</v>
      </c>
      <c r="AH515">
        <v>1</v>
      </c>
      <c r="AI515">
        <v>1</v>
      </c>
    </row>
    <row r="516" spans="1:35" x14ac:dyDescent="0.25">
      <c r="A516">
        <v>33</v>
      </c>
      <c r="B516" t="str">
        <f t="shared" si="16"/>
        <v>25-34</v>
      </c>
      <c r="C516" s="1" t="s">
        <v>32</v>
      </c>
      <c r="D516" s="17">
        <f>IF(Table1[[#This Row],[Attrition]]="Yes",1,0)</f>
        <v>1</v>
      </c>
      <c r="E516" t="s">
        <v>58</v>
      </c>
      <c r="F516" s="2">
        <v>1076</v>
      </c>
      <c r="G516" t="s">
        <v>39</v>
      </c>
      <c r="H516">
        <v>3</v>
      </c>
      <c r="I516">
        <v>3</v>
      </c>
      <c r="J516" t="str">
        <f t="shared" si="17"/>
        <v>Bachelor</v>
      </c>
      <c r="K516" t="s">
        <v>34</v>
      </c>
      <c r="L516">
        <v>1</v>
      </c>
      <c r="M516" t="s">
        <v>40</v>
      </c>
      <c r="N516" s="2">
        <v>70</v>
      </c>
      <c r="O516">
        <v>3</v>
      </c>
      <c r="P516">
        <v>1</v>
      </c>
      <c r="Q516" t="s">
        <v>41</v>
      </c>
      <c r="R516">
        <v>1</v>
      </c>
      <c r="S516" t="s">
        <v>37</v>
      </c>
      <c r="T516" s="2">
        <v>3348</v>
      </c>
      <c r="U516" s="2">
        <v>3164</v>
      </c>
      <c r="V516">
        <v>1</v>
      </c>
      <c r="W516" t="s">
        <v>32</v>
      </c>
      <c r="X516">
        <v>11</v>
      </c>
      <c r="Y516">
        <v>3</v>
      </c>
      <c r="Z516">
        <v>1</v>
      </c>
      <c r="AA516">
        <v>80</v>
      </c>
      <c r="AB516">
        <v>0</v>
      </c>
      <c r="AC516">
        <v>10</v>
      </c>
      <c r="AD516">
        <v>3</v>
      </c>
      <c r="AE516">
        <v>3</v>
      </c>
      <c r="AF516">
        <v>10</v>
      </c>
      <c r="AG516">
        <v>8</v>
      </c>
      <c r="AH516">
        <v>9</v>
      </c>
      <c r="AI516">
        <v>7</v>
      </c>
    </row>
    <row r="517" spans="1:35" x14ac:dyDescent="0.25">
      <c r="A517">
        <v>35</v>
      </c>
      <c r="B517" t="str">
        <f t="shared" si="16"/>
        <v>35-44</v>
      </c>
      <c r="C517" s="1" t="s">
        <v>38</v>
      </c>
      <c r="D517" s="17">
        <f>IF(Table1[[#This Row],[Attrition]]="Yes",1,0)</f>
        <v>0</v>
      </c>
      <c r="E517" t="s">
        <v>49</v>
      </c>
      <c r="F517" s="2">
        <v>727</v>
      </c>
      <c r="G517" t="s">
        <v>39</v>
      </c>
      <c r="H517">
        <v>3</v>
      </c>
      <c r="I517">
        <v>3</v>
      </c>
      <c r="J517" t="str">
        <f t="shared" si="17"/>
        <v>Bachelor</v>
      </c>
      <c r="K517" t="s">
        <v>34</v>
      </c>
      <c r="L517">
        <v>3</v>
      </c>
      <c r="M517" t="s">
        <v>40</v>
      </c>
      <c r="N517" s="2">
        <v>41</v>
      </c>
      <c r="O517">
        <v>2</v>
      </c>
      <c r="P517">
        <v>1</v>
      </c>
      <c r="Q517" t="s">
        <v>44</v>
      </c>
      <c r="R517">
        <v>3</v>
      </c>
      <c r="S517" t="s">
        <v>42</v>
      </c>
      <c r="T517" s="2">
        <v>1281</v>
      </c>
      <c r="U517" s="2">
        <v>16900</v>
      </c>
      <c r="V517">
        <v>1</v>
      </c>
      <c r="W517" t="s">
        <v>38</v>
      </c>
      <c r="X517">
        <v>18</v>
      </c>
      <c r="Y517">
        <v>3</v>
      </c>
      <c r="Z517">
        <v>3</v>
      </c>
      <c r="AA517">
        <v>80</v>
      </c>
      <c r="AB517">
        <v>2</v>
      </c>
      <c r="AC517">
        <v>1</v>
      </c>
      <c r="AD517">
        <v>3</v>
      </c>
      <c r="AE517">
        <v>3</v>
      </c>
      <c r="AF517">
        <v>1</v>
      </c>
      <c r="AG517">
        <v>0</v>
      </c>
      <c r="AH517">
        <v>0</v>
      </c>
      <c r="AI517">
        <v>0</v>
      </c>
    </row>
    <row r="518" spans="1:35" x14ac:dyDescent="0.25">
      <c r="A518">
        <v>23</v>
      </c>
      <c r="B518" t="str">
        <f t="shared" si="16"/>
        <v>18-24</v>
      </c>
      <c r="C518" s="1" t="s">
        <v>38</v>
      </c>
      <c r="D518" s="17">
        <f>IF(Table1[[#This Row],[Attrition]]="Yes",1,0)</f>
        <v>0</v>
      </c>
      <c r="E518" t="s">
        <v>57</v>
      </c>
      <c r="F518" s="2">
        <v>885</v>
      </c>
      <c r="G518" t="s">
        <v>39</v>
      </c>
      <c r="H518">
        <v>4</v>
      </c>
      <c r="I518">
        <v>3</v>
      </c>
      <c r="J518" t="str">
        <f t="shared" si="17"/>
        <v>Bachelor</v>
      </c>
      <c r="K518" t="s">
        <v>45</v>
      </c>
      <c r="L518">
        <v>1</v>
      </c>
      <c r="M518" t="s">
        <v>40</v>
      </c>
      <c r="N518" s="2">
        <v>58</v>
      </c>
      <c r="O518">
        <v>4</v>
      </c>
      <c r="P518">
        <v>1</v>
      </c>
      <c r="Q518" t="s">
        <v>41</v>
      </c>
      <c r="R518">
        <v>1</v>
      </c>
      <c r="S518" t="s">
        <v>42</v>
      </c>
      <c r="T518" s="2">
        <v>2819</v>
      </c>
      <c r="U518" s="2">
        <v>8544</v>
      </c>
      <c r="V518">
        <v>2</v>
      </c>
      <c r="W518" t="s">
        <v>38</v>
      </c>
      <c r="X518">
        <v>16</v>
      </c>
      <c r="Y518">
        <v>3</v>
      </c>
      <c r="Z518">
        <v>1</v>
      </c>
      <c r="AA518">
        <v>80</v>
      </c>
      <c r="AB518">
        <v>1</v>
      </c>
      <c r="AC518">
        <v>5</v>
      </c>
      <c r="AD518">
        <v>3</v>
      </c>
      <c r="AE518">
        <v>4</v>
      </c>
      <c r="AF518">
        <v>3</v>
      </c>
      <c r="AG518">
        <v>2</v>
      </c>
      <c r="AH518">
        <v>0</v>
      </c>
      <c r="AI518">
        <v>2</v>
      </c>
    </row>
    <row r="519" spans="1:35" x14ac:dyDescent="0.25">
      <c r="A519">
        <v>25</v>
      </c>
      <c r="B519" t="str">
        <f t="shared" si="16"/>
        <v>25-34</v>
      </c>
      <c r="C519" s="1" t="s">
        <v>38</v>
      </c>
      <c r="D519" s="17">
        <f>IF(Table1[[#This Row],[Attrition]]="Yes",1,0)</f>
        <v>0</v>
      </c>
      <c r="E519" t="s">
        <v>57</v>
      </c>
      <c r="F519" s="2">
        <v>810</v>
      </c>
      <c r="G519" t="s">
        <v>33</v>
      </c>
      <c r="H519">
        <v>8</v>
      </c>
      <c r="I519">
        <v>3</v>
      </c>
      <c r="J519" t="str">
        <f t="shared" si="17"/>
        <v>Bachelor</v>
      </c>
      <c r="K519" t="s">
        <v>34</v>
      </c>
      <c r="L519">
        <v>4</v>
      </c>
      <c r="M519" t="s">
        <v>40</v>
      </c>
      <c r="N519" s="2">
        <v>57</v>
      </c>
      <c r="O519">
        <v>4</v>
      </c>
      <c r="P519">
        <v>2</v>
      </c>
      <c r="Q519" t="s">
        <v>36</v>
      </c>
      <c r="R519">
        <v>2</v>
      </c>
      <c r="S519" t="s">
        <v>42</v>
      </c>
      <c r="T519" s="2">
        <v>4851</v>
      </c>
      <c r="U519" s="2">
        <v>15678</v>
      </c>
      <c r="V519">
        <v>0</v>
      </c>
      <c r="W519" t="s">
        <v>38</v>
      </c>
      <c r="X519">
        <v>22</v>
      </c>
      <c r="Y519">
        <v>4</v>
      </c>
      <c r="Z519">
        <v>3</v>
      </c>
      <c r="AA519">
        <v>80</v>
      </c>
      <c r="AB519">
        <v>1</v>
      </c>
      <c r="AC519">
        <v>4</v>
      </c>
      <c r="AD519">
        <v>4</v>
      </c>
      <c r="AE519">
        <v>3</v>
      </c>
      <c r="AF519">
        <v>3</v>
      </c>
      <c r="AG519">
        <v>2</v>
      </c>
      <c r="AH519">
        <v>1</v>
      </c>
      <c r="AI519">
        <v>2</v>
      </c>
    </row>
    <row r="520" spans="1:35" x14ac:dyDescent="0.25">
      <c r="A520">
        <v>38</v>
      </c>
      <c r="B520" t="str">
        <f t="shared" si="16"/>
        <v>35-44</v>
      </c>
      <c r="C520" s="1" t="s">
        <v>38</v>
      </c>
      <c r="D520" s="17">
        <f>IF(Table1[[#This Row],[Attrition]]="Yes",1,0)</f>
        <v>0</v>
      </c>
      <c r="E520" t="s">
        <v>57</v>
      </c>
      <c r="F520" s="2">
        <v>243</v>
      </c>
      <c r="G520" t="s">
        <v>33</v>
      </c>
      <c r="H520">
        <v>7</v>
      </c>
      <c r="I520">
        <v>4</v>
      </c>
      <c r="J520" t="str">
        <f t="shared" si="17"/>
        <v>Master</v>
      </c>
      <c r="K520" t="s">
        <v>53</v>
      </c>
      <c r="L520">
        <v>4</v>
      </c>
      <c r="M520" t="s">
        <v>35</v>
      </c>
      <c r="N520" s="2">
        <v>46</v>
      </c>
      <c r="O520">
        <v>2</v>
      </c>
      <c r="P520">
        <v>2</v>
      </c>
      <c r="Q520" t="s">
        <v>36</v>
      </c>
      <c r="R520">
        <v>4</v>
      </c>
      <c r="S520" t="s">
        <v>37</v>
      </c>
      <c r="T520" s="2">
        <v>4028</v>
      </c>
      <c r="U520" s="2">
        <v>7791</v>
      </c>
      <c r="V520">
        <v>0</v>
      </c>
      <c r="W520" t="s">
        <v>38</v>
      </c>
      <c r="X520">
        <v>20</v>
      </c>
      <c r="Y520">
        <v>4</v>
      </c>
      <c r="Z520">
        <v>1</v>
      </c>
      <c r="AA520">
        <v>80</v>
      </c>
      <c r="AB520">
        <v>0</v>
      </c>
      <c r="AC520">
        <v>8</v>
      </c>
      <c r="AD520">
        <v>2</v>
      </c>
      <c r="AE520">
        <v>3</v>
      </c>
      <c r="AF520">
        <v>7</v>
      </c>
      <c r="AG520">
        <v>7</v>
      </c>
      <c r="AH520">
        <v>0</v>
      </c>
      <c r="AI520">
        <v>5</v>
      </c>
    </row>
    <row r="521" spans="1:35" x14ac:dyDescent="0.25">
      <c r="A521">
        <v>29</v>
      </c>
      <c r="B521" t="str">
        <f t="shared" si="16"/>
        <v>25-34</v>
      </c>
      <c r="C521" s="1" t="s">
        <v>38</v>
      </c>
      <c r="D521" s="17">
        <f>IF(Table1[[#This Row],[Attrition]]="Yes",1,0)</f>
        <v>0</v>
      </c>
      <c r="E521" t="s">
        <v>58</v>
      </c>
      <c r="F521" s="2">
        <v>806</v>
      </c>
      <c r="G521" t="s">
        <v>39</v>
      </c>
      <c r="H521">
        <v>1</v>
      </c>
      <c r="I521">
        <v>4</v>
      </c>
      <c r="J521" t="str">
        <f t="shared" si="17"/>
        <v>Master</v>
      </c>
      <c r="K521" t="s">
        <v>34</v>
      </c>
      <c r="L521">
        <v>2</v>
      </c>
      <c r="M521" t="s">
        <v>40</v>
      </c>
      <c r="N521" s="2">
        <v>76</v>
      </c>
      <c r="O521">
        <v>1</v>
      </c>
      <c r="P521">
        <v>1</v>
      </c>
      <c r="Q521" t="s">
        <v>41</v>
      </c>
      <c r="R521">
        <v>4</v>
      </c>
      <c r="S521" t="s">
        <v>46</v>
      </c>
      <c r="T521" s="2">
        <v>2720</v>
      </c>
      <c r="U521" s="2">
        <v>18959</v>
      </c>
      <c r="V521">
        <v>1</v>
      </c>
      <c r="W521" t="s">
        <v>38</v>
      </c>
      <c r="X521">
        <v>18</v>
      </c>
      <c r="Y521">
        <v>3</v>
      </c>
      <c r="Z521">
        <v>4</v>
      </c>
      <c r="AA521">
        <v>80</v>
      </c>
      <c r="AB521">
        <v>1</v>
      </c>
      <c r="AC521">
        <v>10</v>
      </c>
      <c r="AD521">
        <v>5</v>
      </c>
      <c r="AE521">
        <v>3</v>
      </c>
      <c r="AF521">
        <v>10</v>
      </c>
      <c r="AG521">
        <v>7</v>
      </c>
      <c r="AH521">
        <v>2</v>
      </c>
      <c r="AI521">
        <v>8</v>
      </c>
    </row>
    <row r="522" spans="1:35" x14ac:dyDescent="0.25">
      <c r="A522">
        <v>48</v>
      </c>
      <c r="B522" t="str">
        <f t="shared" si="16"/>
        <v>45-54</v>
      </c>
      <c r="C522" s="1" t="s">
        <v>38</v>
      </c>
      <c r="D522" s="17">
        <f>IF(Table1[[#This Row],[Attrition]]="Yes",1,0)</f>
        <v>0</v>
      </c>
      <c r="E522" t="s">
        <v>57</v>
      </c>
      <c r="F522" s="2">
        <v>817</v>
      </c>
      <c r="G522" t="s">
        <v>33</v>
      </c>
      <c r="H522">
        <v>2</v>
      </c>
      <c r="I522">
        <v>1</v>
      </c>
      <c r="J522" t="str">
        <f t="shared" si="17"/>
        <v>Below College</v>
      </c>
      <c r="K522" t="s">
        <v>53</v>
      </c>
      <c r="L522">
        <v>2</v>
      </c>
      <c r="M522" t="s">
        <v>40</v>
      </c>
      <c r="N522" s="2">
        <v>56</v>
      </c>
      <c r="O522">
        <v>4</v>
      </c>
      <c r="P522">
        <v>2</v>
      </c>
      <c r="Q522" t="s">
        <v>36</v>
      </c>
      <c r="R522">
        <v>2</v>
      </c>
      <c r="S522" t="s">
        <v>42</v>
      </c>
      <c r="T522" s="2">
        <v>8120</v>
      </c>
      <c r="U522" s="2">
        <v>18597</v>
      </c>
      <c r="V522">
        <v>3</v>
      </c>
      <c r="W522" t="s">
        <v>38</v>
      </c>
      <c r="X522">
        <v>12</v>
      </c>
      <c r="Y522">
        <v>3</v>
      </c>
      <c r="Z522">
        <v>4</v>
      </c>
      <c r="AA522">
        <v>80</v>
      </c>
      <c r="AB522">
        <v>0</v>
      </c>
      <c r="AC522">
        <v>12</v>
      </c>
      <c r="AD522">
        <v>3</v>
      </c>
      <c r="AE522">
        <v>3</v>
      </c>
      <c r="AF522">
        <v>2</v>
      </c>
      <c r="AG522">
        <v>2</v>
      </c>
      <c r="AH522">
        <v>2</v>
      </c>
      <c r="AI522">
        <v>2</v>
      </c>
    </row>
    <row r="523" spans="1:35" x14ac:dyDescent="0.25">
      <c r="A523">
        <v>27</v>
      </c>
      <c r="B523" t="str">
        <f t="shared" si="16"/>
        <v>25-34</v>
      </c>
      <c r="C523" s="1" t="s">
        <v>38</v>
      </c>
      <c r="D523" s="17">
        <f>IF(Table1[[#This Row],[Attrition]]="Yes",1,0)</f>
        <v>0</v>
      </c>
      <c r="E523" t="s">
        <v>58</v>
      </c>
      <c r="F523" s="2">
        <v>1410</v>
      </c>
      <c r="G523" t="s">
        <v>33</v>
      </c>
      <c r="H523">
        <v>3</v>
      </c>
      <c r="I523">
        <v>1</v>
      </c>
      <c r="J523" t="str">
        <f t="shared" si="17"/>
        <v>Below College</v>
      </c>
      <c r="K523" t="s">
        <v>45</v>
      </c>
      <c r="L523">
        <v>4</v>
      </c>
      <c r="M523" t="s">
        <v>35</v>
      </c>
      <c r="N523" s="2">
        <v>71</v>
      </c>
      <c r="O523">
        <v>4</v>
      </c>
      <c r="P523">
        <v>2</v>
      </c>
      <c r="Q523" t="s">
        <v>36</v>
      </c>
      <c r="R523">
        <v>4</v>
      </c>
      <c r="S523" t="s">
        <v>46</v>
      </c>
      <c r="T523" s="2">
        <v>4647</v>
      </c>
      <c r="U523" s="2">
        <v>16673</v>
      </c>
      <c r="V523">
        <v>1</v>
      </c>
      <c r="W523" t="s">
        <v>32</v>
      </c>
      <c r="X523">
        <v>20</v>
      </c>
      <c r="Y523">
        <v>4</v>
      </c>
      <c r="Z523">
        <v>2</v>
      </c>
      <c r="AA523">
        <v>80</v>
      </c>
      <c r="AB523">
        <v>2</v>
      </c>
      <c r="AC523">
        <v>6</v>
      </c>
      <c r="AD523">
        <v>3</v>
      </c>
      <c r="AE523">
        <v>3</v>
      </c>
      <c r="AF523">
        <v>6</v>
      </c>
      <c r="AG523">
        <v>5</v>
      </c>
      <c r="AH523">
        <v>0</v>
      </c>
      <c r="AI523">
        <v>4</v>
      </c>
    </row>
    <row r="524" spans="1:35" x14ac:dyDescent="0.25">
      <c r="A524">
        <v>37</v>
      </c>
      <c r="B524" t="str">
        <f t="shared" si="16"/>
        <v>35-44</v>
      </c>
      <c r="C524" s="1" t="s">
        <v>38</v>
      </c>
      <c r="D524" s="17">
        <f>IF(Table1[[#This Row],[Attrition]]="Yes",1,0)</f>
        <v>0</v>
      </c>
      <c r="E524" t="s">
        <v>57</v>
      </c>
      <c r="F524" s="2">
        <v>1225</v>
      </c>
      <c r="G524" t="s">
        <v>39</v>
      </c>
      <c r="H524">
        <v>10</v>
      </c>
      <c r="I524">
        <v>2</v>
      </c>
      <c r="J524" t="str">
        <f t="shared" si="17"/>
        <v>College</v>
      </c>
      <c r="K524" t="s">
        <v>34</v>
      </c>
      <c r="L524">
        <v>4</v>
      </c>
      <c r="M524" t="s">
        <v>40</v>
      </c>
      <c r="N524" s="2">
        <v>80</v>
      </c>
      <c r="O524">
        <v>4</v>
      </c>
      <c r="P524">
        <v>1</v>
      </c>
      <c r="Q524" t="s">
        <v>41</v>
      </c>
      <c r="R524">
        <v>4</v>
      </c>
      <c r="S524" t="s">
        <v>37</v>
      </c>
      <c r="T524" s="2">
        <v>4680</v>
      </c>
      <c r="U524" s="2">
        <v>15232</v>
      </c>
      <c r="V524">
        <v>3</v>
      </c>
      <c r="W524" t="s">
        <v>38</v>
      </c>
      <c r="X524">
        <v>17</v>
      </c>
      <c r="Y524">
        <v>3</v>
      </c>
      <c r="Z524">
        <v>1</v>
      </c>
      <c r="AA524">
        <v>80</v>
      </c>
      <c r="AB524">
        <v>0</v>
      </c>
      <c r="AC524">
        <v>4</v>
      </c>
      <c r="AD524">
        <v>2</v>
      </c>
      <c r="AE524">
        <v>3</v>
      </c>
      <c r="AF524">
        <v>1</v>
      </c>
      <c r="AG524">
        <v>0</v>
      </c>
      <c r="AH524">
        <v>0</v>
      </c>
      <c r="AI524">
        <v>0</v>
      </c>
    </row>
    <row r="525" spans="1:35" x14ac:dyDescent="0.25">
      <c r="A525">
        <v>50</v>
      </c>
      <c r="B525" t="str">
        <f t="shared" si="16"/>
        <v>45-54</v>
      </c>
      <c r="C525" s="1" t="s">
        <v>38</v>
      </c>
      <c r="D525" s="17">
        <f>IF(Table1[[#This Row],[Attrition]]="Yes",1,0)</f>
        <v>0</v>
      </c>
      <c r="E525" t="s">
        <v>57</v>
      </c>
      <c r="F525" s="2">
        <v>1207</v>
      </c>
      <c r="G525" t="s">
        <v>39</v>
      </c>
      <c r="H525">
        <v>28</v>
      </c>
      <c r="I525">
        <v>1</v>
      </c>
      <c r="J525" t="str">
        <f t="shared" si="17"/>
        <v>Below College</v>
      </c>
      <c r="K525" t="s">
        <v>45</v>
      </c>
      <c r="L525">
        <v>4</v>
      </c>
      <c r="M525" t="s">
        <v>40</v>
      </c>
      <c r="N525" s="2">
        <v>74</v>
      </c>
      <c r="O525">
        <v>4</v>
      </c>
      <c r="P525">
        <v>1</v>
      </c>
      <c r="Q525" t="s">
        <v>44</v>
      </c>
      <c r="R525">
        <v>3</v>
      </c>
      <c r="S525" t="s">
        <v>42</v>
      </c>
      <c r="T525" s="2">
        <v>3221</v>
      </c>
      <c r="U525" s="2">
        <v>3297</v>
      </c>
      <c r="V525">
        <v>1</v>
      </c>
      <c r="W525" t="s">
        <v>32</v>
      </c>
      <c r="X525">
        <v>11</v>
      </c>
      <c r="Y525">
        <v>3</v>
      </c>
      <c r="Z525">
        <v>3</v>
      </c>
      <c r="AA525">
        <v>80</v>
      </c>
      <c r="AB525">
        <v>3</v>
      </c>
      <c r="AC525">
        <v>20</v>
      </c>
      <c r="AD525">
        <v>3</v>
      </c>
      <c r="AE525">
        <v>3</v>
      </c>
      <c r="AF525">
        <v>20</v>
      </c>
      <c r="AG525">
        <v>8</v>
      </c>
      <c r="AH525">
        <v>3</v>
      </c>
      <c r="AI525">
        <v>8</v>
      </c>
    </row>
    <row r="526" spans="1:35" x14ac:dyDescent="0.25">
      <c r="A526">
        <v>34</v>
      </c>
      <c r="B526" t="str">
        <f t="shared" si="16"/>
        <v>25-34</v>
      </c>
      <c r="C526" s="1" t="s">
        <v>38</v>
      </c>
      <c r="D526" s="17">
        <f>IF(Table1[[#This Row],[Attrition]]="Yes",1,0)</f>
        <v>0</v>
      </c>
      <c r="E526" t="s">
        <v>57</v>
      </c>
      <c r="F526" s="2">
        <v>1442</v>
      </c>
      <c r="G526" t="s">
        <v>39</v>
      </c>
      <c r="H526">
        <v>9</v>
      </c>
      <c r="I526">
        <v>3</v>
      </c>
      <c r="J526" t="str">
        <f t="shared" si="17"/>
        <v>Bachelor</v>
      </c>
      <c r="K526" t="s">
        <v>45</v>
      </c>
      <c r="L526">
        <v>4</v>
      </c>
      <c r="M526" t="s">
        <v>35</v>
      </c>
      <c r="N526" s="2">
        <v>46</v>
      </c>
      <c r="O526">
        <v>2</v>
      </c>
      <c r="P526">
        <v>3</v>
      </c>
      <c r="Q526" t="s">
        <v>48</v>
      </c>
      <c r="R526">
        <v>2</v>
      </c>
      <c r="S526" t="s">
        <v>37</v>
      </c>
      <c r="T526" s="2">
        <v>8621</v>
      </c>
      <c r="U526" s="2">
        <v>17654</v>
      </c>
      <c r="V526">
        <v>1</v>
      </c>
      <c r="W526" t="s">
        <v>38</v>
      </c>
      <c r="X526">
        <v>14</v>
      </c>
      <c r="Y526">
        <v>3</v>
      </c>
      <c r="Z526">
        <v>2</v>
      </c>
      <c r="AA526">
        <v>80</v>
      </c>
      <c r="AB526">
        <v>0</v>
      </c>
      <c r="AC526">
        <v>9</v>
      </c>
      <c r="AD526">
        <v>3</v>
      </c>
      <c r="AE526">
        <v>4</v>
      </c>
      <c r="AF526">
        <v>8</v>
      </c>
      <c r="AG526">
        <v>7</v>
      </c>
      <c r="AH526">
        <v>7</v>
      </c>
      <c r="AI526">
        <v>7</v>
      </c>
    </row>
    <row r="527" spans="1:35" x14ac:dyDescent="0.25">
      <c r="A527">
        <v>24</v>
      </c>
      <c r="B527" t="str">
        <f t="shared" si="16"/>
        <v>18-24</v>
      </c>
      <c r="C527" s="1" t="s">
        <v>32</v>
      </c>
      <c r="D527" s="17">
        <f>IF(Table1[[#This Row],[Attrition]]="Yes",1,0)</f>
        <v>1</v>
      </c>
      <c r="E527" t="s">
        <v>57</v>
      </c>
      <c r="F527" s="2">
        <v>693</v>
      </c>
      <c r="G527" t="s">
        <v>33</v>
      </c>
      <c r="H527">
        <v>3</v>
      </c>
      <c r="I527">
        <v>2</v>
      </c>
      <c r="J527" t="str">
        <f t="shared" si="17"/>
        <v>College</v>
      </c>
      <c r="K527" t="s">
        <v>34</v>
      </c>
      <c r="L527">
        <v>1</v>
      </c>
      <c r="M527" t="s">
        <v>35</v>
      </c>
      <c r="N527" s="2">
        <v>65</v>
      </c>
      <c r="O527">
        <v>3</v>
      </c>
      <c r="P527">
        <v>2</v>
      </c>
      <c r="Q527" t="s">
        <v>36</v>
      </c>
      <c r="R527">
        <v>3</v>
      </c>
      <c r="S527" t="s">
        <v>37</v>
      </c>
      <c r="T527" s="2">
        <v>4577</v>
      </c>
      <c r="U527" s="2">
        <v>24785</v>
      </c>
      <c r="V527">
        <v>9</v>
      </c>
      <c r="W527" t="s">
        <v>38</v>
      </c>
      <c r="X527">
        <v>14</v>
      </c>
      <c r="Y527">
        <v>3</v>
      </c>
      <c r="Z527">
        <v>1</v>
      </c>
      <c r="AA527">
        <v>80</v>
      </c>
      <c r="AB527">
        <v>0</v>
      </c>
      <c r="AC527">
        <v>4</v>
      </c>
      <c r="AD527">
        <v>3</v>
      </c>
      <c r="AE527">
        <v>3</v>
      </c>
      <c r="AF527">
        <v>2</v>
      </c>
      <c r="AG527">
        <v>2</v>
      </c>
      <c r="AH527">
        <v>2</v>
      </c>
      <c r="AI527">
        <v>0</v>
      </c>
    </row>
    <row r="528" spans="1:35" x14ac:dyDescent="0.25">
      <c r="A528">
        <v>39</v>
      </c>
      <c r="B528" t="str">
        <f t="shared" si="16"/>
        <v>35-44</v>
      </c>
      <c r="C528" s="1" t="s">
        <v>38</v>
      </c>
      <c r="D528" s="17">
        <f>IF(Table1[[#This Row],[Attrition]]="Yes",1,0)</f>
        <v>0</v>
      </c>
      <c r="E528" t="s">
        <v>57</v>
      </c>
      <c r="F528" s="2">
        <v>408</v>
      </c>
      <c r="G528" t="s">
        <v>39</v>
      </c>
      <c r="H528">
        <v>2</v>
      </c>
      <c r="I528">
        <v>4</v>
      </c>
      <c r="J528" t="str">
        <f t="shared" si="17"/>
        <v>Master</v>
      </c>
      <c r="K528" t="s">
        <v>54</v>
      </c>
      <c r="L528">
        <v>4</v>
      </c>
      <c r="M528" t="s">
        <v>35</v>
      </c>
      <c r="N528" s="2">
        <v>80</v>
      </c>
      <c r="O528">
        <v>2</v>
      </c>
      <c r="P528">
        <v>2</v>
      </c>
      <c r="Q528" t="s">
        <v>48</v>
      </c>
      <c r="R528">
        <v>3</v>
      </c>
      <c r="S528" t="s">
        <v>37</v>
      </c>
      <c r="T528" s="2">
        <v>4553</v>
      </c>
      <c r="U528" s="2">
        <v>20978</v>
      </c>
      <c r="V528">
        <v>1</v>
      </c>
      <c r="W528" t="s">
        <v>38</v>
      </c>
      <c r="X528">
        <v>11</v>
      </c>
      <c r="Y528">
        <v>3</v>
      </c>
      <c r="Z528">
        <v>1</v>
      </c>
      <c r="AA528">
        <v>80</v>
      </c>
      <c r="AB528">
        <v>0</v>
      </c>
      <c r="AC528">
        <v>20</v>
      </c>
      <c r="AD528">
        <v>4</v>
      </c>
      <c r="AE528">
        <v>3</v>
      </c>
      <c r="AF528">
        <v>20</v>
      </c>
      <c r="AG528">
        <v>7</v>
      </c>
      <c r="AH528">
        <v>11</v>
      </c>
      <c r="AI528">
        <v>10</v>
      </c>
    </row>
    <row r="529" spans="1:35" x14ac:dyDescent="0.25">
      <c r="A529">
        <v>32</v>
      </c>
      <c r="B529" t="str">
        <f t="shared" si="16"/>
        <v>25-34</v>
      </c>
      <c r="C529" s="1" t="s">
        <v>38</v>
      </c>
      <c r="D529" s="17">
        <f>IF(Table1[[#This Row],[Attrition]]="Yes",1,0)</f>
        <v>0</v>
      </c>
      <c r="E529" t="s">
        <v>57</v>
      </c>
      <c r="F529" s="2">
        <v>929</v>
      </c>
      <c r="G529" t="s">
        <v>33</v>
      </c>
      <c r="H529">
        <v>10</v>
      </c>
      <c r="I529">
        <v>3</v>
      </c>
      <c r="J529" t="str">
        <f t="shared" si="17"/>
        <v>Bachelor</v>
      </c>
      <c r="K529" t="s">
        <v>53</v>
      </c>
      <c r="L529">
        <v>4</v>
      </c>
      <c r="M529" t="s">
        <v>40</v>
      </c>
      <c r="N529" s="2">
        <v>55</v>
      </c>
      <c r="O529">
        <v>3</v>
      </c>
      <c r="P529">
        <v>2</v>
      </c>
      <c r="Q529" t="s">
        <v>36</v>
      </c>
      <c r="R529">
        <v>4</v>
      </c>
      <c r="S529" t="s">
        <v>37</v>
      </c>
      <c r="T529" s="2">
        <v>5396</v>
      </c>
      <c r="U529" s="2">
        <v>21703</v>
      </c>
      <c r="V529">
        <v>1</v>
      </c>
      <c r="W529" t="s">
        <v>38</v>
      </c>
      <c r="X529">
        <v>12</v>
      </c>
      <c r="Y529">
        <v>3</v>
      </c>
      <c r="Z529">
        <v>4</v>
      </c>
      <c r="AA529">
        <v>80</v>
      </c>
      <c r="AB529">
        <v>0</v>
      </c>
      <c r="AC529">
        <v>10</v>
      </c>
      <c r="AD529">
        <v>2</v>
      </c>
      <c r="AE529">
        <v>2</v>
      </c>
      <c r="AF529">
        <v>10</v>
      </c>
      <c r="AG529">
        <v>7</v>
      </c>
      <c r="AH529">
        <v>0</v>
      </c>
      <c r="AI529">
        <v>8</v>
      </c>
    </row>
    <row r="530" spans="1:35" x14ac:dyDescent="0.25">
      <c r="A530">
        <v>50</v>
      </c>
      <c r="B530" t="str">
        <f t="shared" si="16"/>
        <v>45-54</v>
      </c>
      <c r="C530" s="1" t="s">
        <v>32</v>
      </c>
      <c r="D530" s="17">
        <f>IF(Table1[[#This Row],[Attrition]]="Yes",1,0)</f>
        <v>1</v>
      </c>
      <c r="E530" t="s">
        <v>58</v>
      </c>
      <c r="F530" s="2">
        <v>562</v>
      </c>
      <c r="G530" t="s">
        <v>33</v>
      </c>
      <c r="H530">
        <v>8</v>
      </c>
      <c r="I530">
        <v>2</v>
      </c>
      <c r="J530" t="str">
        <f t="shared" si="17"/>
        <v>College</v>
      </c>
      <c r="K530" t="s">
        <v>54</v>
      </c>
      <c r="L530">
        <v>2</v>
      </c>
      <c r="M530" t="s">
        <v>40</v>
      </c>
      <c r="N530" s="2">
        <v>50</v>
      </c>
      <c r="O530">
        <v>3</v>
      </c>
      <c r="P530">
        <v>2</v>
      </c>
      <c r="Q530" t="s">
        <v>36</v>
      </c>
      <c r="R530">
        <v>3</v>
      </c>
      <c r="S530" t="s">
        <v>42</v>
      </c>
      <c r="T530" s="2">
        <v>6796</v>
      </c>
      <c r="U530" s="2">
        <v>23452</v>
      </c>
      <c r="V530">
        <v>3</v>
      </c>
      <c r="W530" t="s">
        <v>32</v>
      </c>
      <c r="X530">
        <v>14</v>
      </c>
      <c r="Y530">
        <v>3</v>
      </c>
      <c r="Z530">
        <v>1</v>
      </c>
      <c r="AA530">
        <v>80</v>
      </c>
      <c r="AB530">
        <v>1</v>
      </c>
      <c r="AC530">
        <v>18</v>
      </c>
      <c r="AD530">
        <v>4</v>
      </c>
      <c r="AE530">
        <v>3</v>
      </c>
      <c r="AF530">
        <v>4</v>
      </c>
      <c r="AG530">
        <v>3</v>
      </c>
      <c r="AH530">
        <v>1</v>
      </c>
      <c r="AI530">
        <v>3</v>
      </c>
    </row>
    <row r="531" spans="1:35" x14ac:dyDescent="0.25">
      <c r="A531">
        <v>38</v>
      </c>
      <c r="B531" t="str">
        <f t="shared" si="16"/>
        <v>35-44</v>
      </c>
      <c r="C531" s="1" t="s">
        <v>38</v>
      </c>
      <c r="D531" s="17">
        <f>IF(Table1[[#This Row],[Attrition]]="Yes",1,0)</f>
        <v>0</v>
      </c>
      <c r="E531" t="s">
        <v>57</v>
      </c>
      <c r="F531" s="2">
        <v>827</v>
      </c>
      <c r="G531" t="s">
        <v>39</v>
      </c>
      <c r="H531">
        <v>1</v>
      </c>
      <c r="I531">
        <v>4</v>
      </c>
      <c r="J531" t="str">
        <f t="shared" si="17"/>
        <v>Master</v>
      </c>
      <c r="K531" t="s">
        <v>34</v>
      </c>
      <c r="L531">
        <v>2</v>
      </c>
      <c r="M531" t="s">
        <v>35</v>
      </c>
      <c r="N531" s="2">
        <v>33</v>
      </c>
      <c r="O531">
        <v>4</v>
      </c>
      <c r="P531">
        <v>2</v>
      </c>
      <c r="Q531" t="s">
        <v>48</v>
      </c>
      <c r="R531">
        <v>4</v>
      </c>
      <c r="S531" t="s">
        <v>37</v>
      </c>
      <c r="T531" s="2">
        <v>7625</v>
      </c>
      <c r="U531" s="2">
        <v>19383</v>
      </c>
      <c r="V531">
        <v>0</v>
      </c>
      <c r="W531" t="s">
        <v>38</v>
      </c>
      <c r="X531">
        <v>13</v>
      </c>
      <c r="Y531">
        <v>3</v>
      </c>
      <c r="Z531">
        <v>3</v>
      </c>
      <c r="AA531">
        <v>80</v>
      </c>
      <c r="AB531">
        <v>0</v>
      </c>
      <c r="AC531">
        <v>10</v>
      </c>
      <c r="AD531">
        <v>4</v>
      </c>
      <c r="AE531">
        <v>2</v>
      </c>
      <c r="AF531">
        <v>9</v>
      </c>
      <c r="AG531">
        <v>7</v>
      </c>
      <c r="AH531">
        <v>1</v>
      </c>
      <c r="AI531">
        <v>8</v>
      </c>
    </row>
    <row r="532" spans="1:35" x14ac:dyDescent="0.25">
      <c r="A532">
        <v>27</v>
      </c>
      <c r="B532" t="str">
        <f t="shared" si="16"/>
        <v>25-34</v>
      </c>
      <c r="C532" s="1" t="s">
        <v>38</v>
      </c>
      <c r="D532" s="17">
        <f>IF(Table1[[#This Row],[Attrition]]="Yes",1,0)</f>
        <v>0</v>
      </c>
      <c r="E532" t="s">
        <v>57</v>
      </c>
      <c r="F532" s="2">
        <v>608</v>
      </c>
      <c r="G532" t="s">
        <v>39</v>
      </c>
      <c r="H532">
        <v>1</v>
      </c>
      <c r="I532">
        <v>2</v>
      </c>
      <c r="J532" t="str">
        <f t="shared" si="17"/>
        <v>College</v>
      </c>
      <c r="K532" t="s">
        <v>34</v>
      </c>
      <c r="L532">
        <v>3</v>
      </c>
      <c r="M532" t="s">
        <v>35</v>
      </c>
      <c r="N532" s="2">
        <v>68</v>
      </c>
      <c r="O532">
        <v>3</v>
      </c>
      <c r="P532">
        <v>3</v>
      </c>
      <c r="Q532" t="s">
        <v>47</v>
      </c>
      <c r="R532">
        <v>1</v>
      </c>
      <c r="S532" t="s">
        <v>42</v>
      </c>
      <c r="T532" s="2">
        <v>7412</v>
      </c>
      <c r="U532" s="2">
        <v>6009</v>
      </c>
      <c r="V532">
        <v>1</v>
      </c>
      <c r="W532" t="s">
        <v>38</v>
      </c>
      <c r="X532">
        <v>11</v>
      </c>
      <c r="Y532">
        <v>3</v>
      </c>
      <c r="Z532">
        <v>4</v>
      </c>
      <c r="AA532">
        <v>80</v>
      </c>
      <c r="AB532">
        <v>0</v>
      </c>
      <c r="AC532">
        <v>9</v>
      </c>
      <c r="AD532">
        <v>3</v>
      </c>
      <c r="AE532">
        <v>3</v>
      </c>
      <c r="AF532">
        <v>9</v>
      </c>
      <c r="AG532">
        <v>7</v>
      </c>
      <c r="AH532">
        <v>0</v>
      </c>
      <c r="AI532">
        <v>7</v>
      </c>
    </row>
    <row r="533" spans="1:35" x14ac:dyDescent="0.25">
      <c r="A533">
        <v>32</v>
      </c>
      <c r="B533" t="str">
        <f t="shared" si="16"/>
        <v>25-34</v>
      </c>
      <c r="C533" s="1" t="s">
        <v>38</v>
      </c>
      <c r="D533" s="17">
        <f>IF(Table1[[#This Row],[Attrition]]="Yes",1,0)</f>
        <v>0</v>
      </c>
      <c r="E533" t="s">
        <v>57</v>
      </c>
      <c r="F533" s="2">
        <v>1018</v>
      </c>
      <c r="G533" t="s">
        <v>39</v>
      </c>
      <c r="H533">
        <v>3</v>
      </c>
      <c r="I533">
        <v>2</v>
      </c>
      <c r="J533" t="str">
        <f t="shared" si="17"/>
        <v>College</v>
      </c>
      <c r="K533" t="s">
        <v>34</v>
      </c>
      <c r="L533">
        <v>3</v>
      </c>
      <c r="M533" t="s">
        <v>35</v>
      </c>
      <c r="N533" s="2">
        <v>39</v>
      </c>
      <c r="O533">
        <v>3</v>
      </c>
      <c r="P533">
        <v>3</v>
      </c>
      <c r="Q533" t="s">
        <v>52</v>
      </c>
      <c r="R533">
        <v>4</v>
      </c>
      <c r="S533" t="s">
        <v>37</v>
      </c>
      <c r="T533" s="2">
        <v>11159</v>
      </c>
      <c r="U533" s="2">
        <v>19373</v>
      </c>
      <c r="V533">
        <v>3</v>
      </c>
      <c r="W533" t="s">
        <v>38</v>
      </c>
      <c r="X533">
        <v>15</v>
      </c>
      <c r="Y533">
        <v>3</v>
      </c>
      <c r="Z533">
        <v>4</v>
      </c>
      <c r="AA533">
        <v>80</v>
      </c>
      <c r="AB533">
        <v>0</v>
      </c>
      <c r="AC533">
        <v>10</v>
      </c>
      <c r="AD533">
        <v>6</v>
      </c>
      <c r="AE533">
        <v>3</v>
      </c>
      <c r="AF533">
        <v>7</v>
      </c>
      <c r="AG533">
        <v>7</v>
      </c>
      <c r="AH533">
        <v>7</v>
      </c>
      <c r="AI533">
        <v>7</v>
      </c>
    </row>
    <row r="534" spans="1:35" x14ac:dyDescent="0.25">
      <c r="A534">
        <v>47</v>
      </c>
      <c r="B534" t="str">
        <f t="shared" si="16"/>
        <v>45-54</v>
      </c>
      <c r="C534" s="1" t="s">
        <v>38</v>
      </c>
      <c r="D534" s="17">
        <f>IF(Table1[[#This Row],[Attrition]]="Yes",1,0)</f>
        <v>0</v>
      </c>
      <c r="E534" t="s">
        <v>57</v>
      </c>
      <c r="F534" s="2">
        <v>703</v>
      </c>
      <c r="G534" t="s">
        <v>33</v>
      </c>
      <c r="H534">
        <v>14</v>
      </c>
      <c r="I534">
        <v>4</v>
      </c>
      <c r="J534" t="str">
        <f t="shared" si="17"/>
        <v>Master</v>
      </c>
      <c r="K534" t="s">
        <v>53</v>
      </c>
      <c r="L534">
        <v>4</v>
      </c>
      <c r="M534" t="s">
        <v>40</v>
      </c>
      <c r="N534" s="2">
        <v>42</v>
      </c>
      <c r="O534">
        <v>3</v>
      </c>
      <c r="P534">
        <v>2</v>
      </c>
      <c r="Q534" t="s">
        <v>36</v>
      </c>
      <c r="R534">
        <v>1</v>
      </c>
      <c r="S534" t="s">
        <v>37</v>
      </c>
      <c r="T534" s="2">
        <v>4960</v>
      </c>
      <c r="U534" s="2">
        <v>11825</v>
      </c>
      <c r="V534">
        <v>2</v>
      </c>
      <c r="W534" t="s">
        <v>38</v>
      </c>
      <c r="X534">
        <v>12</v>
      </c>
      <c r="Y534">
        <v>3</v>
      </c>
      <c r="Z534">
        <v>4</v>
      </c>
      <c r="AA534">
        <v>80</v>
      </c>
      <c r="AB534">
        <v>0</v>
      </c>
      <c r="AC534">
        <v>20</v>
      </c>
      <c r="AD534">
        <v>2</v>
      </c>
      <c r="AE534">
        <v>3</v>
      </c>
      <c r="AF534">
        <v>7</v>
      </c>
      <c r="AG534">
        <v>7</v>
      </c>
      <c r="AH534">
        <v>1</v>
      </c>
      <c r="AI534">
        <v>7</v>
      </c>
    </row>
    <row r="535" spans="1:35" x14ac:dyDescent="0.25">
      <c r="A535">
        <v>40</v>
      </c>
      <c r="B535" t="str">
        <f t="shared" si="16"/>
        <v>35-44</v>
      </c>
      <c r="C535" s="1" t="s">
        <v>38</v>
      </c>
      <c r="D535" s="17">
        <f>IF(Table1[[#This Row],[Attrition]]="Yes",1,0)</f>
        <v>0</v>
      </c>
      <c r="E535" t="s">
        <v>58</v>
      </c>
      <c r="F535" s="2">
        <v>580</v>
      </c>
      <c r="G535" t="s">
        <v>33</v>
      </c>
      <c r="H535">
        <v>5</v>
      </c>
      <c r="I535">
        <v>4</v>
      </c>
      <c r="J535" t="str">
        <f t="shared" si="17"/>
        <v>Master</v>
      </c>
      <c r="K535" t="s">
        <v>34</v>
      </c>
      <c r="L535">
        <v>4</v>
      </c>
      <c r="M535" t="s">
        <v>40</v>
      </c>
      <c r="N535" s="2">
        <v>48</v>
      </c>
      <c r="O535">
        <v>2</v>
      </c>
      <c r="P535">
        <v>3</v>
      </c>
      <c r="Q535" t="s">
        <v>36</v>
      </c>
      <c r="R535">
        <v>1</v>
      </c>
      <c r="S535" t="s">
        <v>42</v>
      </c>
      <c r="T535" s="2">
        <v>10475</v>
      </c>
      <c r="U535" s="2">
        <v>23772</v>
      </c>
      <c r="V535">
        <v>5</v>
      </c>
      <c r="W535" t="s">
        <v>32</v>
      </c>
      <c r="X535">
        <v>21</v>
      </c>
      <c r="Y535">
        <v>4</v>
      </c>
      <c r="Z535">
        <v>3</v>
      </c>
      <c r="AA535">
        <v>80</v>
      </c>
      <c r="AB535">
        <v>1</v>
      </c>
      <c r="AC535">
        <v>20</v>
      </c>
      <c r="AD535">
        <v>2</v>
      </c>
      <c r="AE535">
        <v>3</v>
      </c>
      <c r="AF535">
        <v>18</v>
      </c>
      <c r="AG535">
        <v>13</v>
      </c>
      <c r="AH535">
        <v>1</v>
      </c>
      <c r="AI535">
        <v>12</v>
      </c>
    </row>
    <row r="536" spans="1:35" x14ac:dyDescent="0.25">
      <c r="A536">
        <v>53</v>
      </c>
      <c r="B536" t="str">
        <f t="shared" si="16"/>
        <v>45-54</v>
      </c>
      <c r="C536" s="1" t="s">
        <v>38</v>
      </c>
      <c r="D536" s="17">
        <f>IF(Table1[[#This Row],[Attrition]]="Yes",1,0)</f>
        <v>0</v>
      </c>
      <c r="E536" t="s">
        <v>57</v>
      </c>
      <c r="F536" s="2">
        <v>970</v>
      </c>
      <c r="G536" t="s">
        <v>39</v>
      </c>
      <c r="H536">
        <v>7</v>
      </c>
      <c r="I536">
        <v>3</v>
      </c>
      <c r="J536" t="str">
        <f t="shared" si="17"/>
        <v>Bachelor</v>
      </c>
      <c r="K536" t="s">
        <v>34</v>
      </c>
      <c r="L536">
        <v>3</v>
      </c>
      <c r="M536" t="s">
        <v>40</v>
      </c>
      <c r="N536" s="2">
        <v>59</v>
      </c>
      <c r="O536">
        <v>4</v>
      </c>
      <c r="P536">
        <v>4</v>
      </c>
      <c r="Q536" t="s">
        <v>52</v>
      </c>
      <c r="R536">
        <v>3</v>
      </c>
      <c r="S536" t="s">
        <v>42</v>
      </c>
      <c r="T536" s="2">
        <v>14814</v>
      </c>
      <c r="U536" s="2">
        <v>13514</v>
      </c>
      <c r="V536">
        <v>3</v>
      </c>
      <c r="W536" t="s">
        <v>38</v>
      </c>
      <c r="X536">
        <v>19</v>
      </c>
      <c r="Y536">
        <v>3</v>
      </c>
      <c r="Z536">
        <v>3</v>
      </c>
      <c r="AA536">
        <v>80</v>
      </c>
      <c r="AB536">
        <v>0</v>
      </c>
      <c r="AC536">
        <v>32</v>
      </c>
      <c r="AD536">
        <v>3</v>
      </c>
      <c r="AE536">
        <v>3</v>
      </c>
      <c r="AF536">
        <v>5</v>
      </c>
      <c r="AG536">
        <v>1</v>
      </c>
      <c r="AH536">
        <v>1</v>
      </c>
      <c r="AI536">
        <v>3</v>
      </c>
    </row>
    <row r="537" spans="1:35" x14ac:dyDescent="0.25">
      <c r="A537">
        <v>41</v>
      </c>
      <c r="B537" t="str">
        <f t="shared" si="16"/>
        <v>35-44</v>
      </c>
      <c r="C537" s="1" t="s">
        <v>38</v>
      </c>
      <c r="D537" s="17">
        <f>IF(Table1[[#This Row],[Attrition]]="Yes",1,0)</f>
        <v>0</v>
      </c>
      <c r="E537" t="s">
        <v>57</v>
      </c>
      <c r="F537" s="2">
        <v>427</v>
      </c>
      <c r="G537" t="s">
        <v>55</v>
      </c>
      <c r="H537">
        <v>10</v>
      </c>
      <c r="I537">
        <v>4</v>
      </c>
      <c r="J537" t="str">
        <f t="shared" si="17"/>
        <v>Master</v>
      </c>
      <c r="K537" t="s">
        <v>55</v>
      </c>
      <c r="L537">
        <v>2</v>
      </c>
      <c r="M537" t="s">
        <v>40</v>
      </c>
      <c r="N537" s="2">
        <v>73</v>
      </c>
      <c r="O537">
        <v>2</v>
      </c>
      <c r="P537">
        <v>5</v>
      </c>
      <c r="Q537" t="s">
        <v>50</v>
      </c>
      <c r="R537">
        <v>4</v>
      </c>
      <c r="S537" t="s">
        <v>46</v>
      </c>
      <c r="T537" s="2">
        <v>19141</v>
      </c>
      <c r="U537" s="2">
        <v>8861</v>
      </c>
      <c r="V537">
        <v>3</v>
      </c>
      <c r="W537" t="s">
        <v>38</v>
      </c>
      <c r="X537">
        <v>15</v>
      </c>
      <c r="Y537">
        <v>3</v>
      </c>
      <c r="Z537">
        <v>2</v>
      </c>
      <c r="AA537">
        <v>80</v>
      </c>
      <c r="AB537">
        <v>3</v>
      </c>
      <c r="AC537">
        <v>23</v>
      </c>
      <c r="AD537">
        <v>2</v>
      </c>
      <c r="AE537">
        <v>2</v>
      </c>
      <c r="AF537">
        <v>21</v>
      </c>
      <c r="AG537">
        <v>6</v>
      </c>
      <c r="AH537">
        <v>12</v>
      </c>
      <c r="AI537">
        <v>6</v>
      </c>
    </row>
    <row r="538" spans="1:35" x14ac:dyDescent="0.25">
      <c r="A538">
        <v>60</v>
      </c>
      <c r="B538" t="str">
        <f t="shared" si="16"/>
        <v>55-64</v>
      </c>
      <c r="C538" s="1" t="s">
        <v>38</v>
      </c>
      <c r="D538" s="17">
        <f>IF(Table1[[#This Row],[Attrition]]="Yes",1,0)</f>
        <v>0</v>
      </c>
      <c r="E538" t="s">
        <v>57</v>
      </c>
      <c r="F538" s="2">
        <v>1179</v>
      </c>
      <c r="G538" t="s">
        <v>33</v>
      </c>
      <c r="H538">
        <v>16</v>
      </c>
      <c r="I538">
        <v>4</v>
      </c>
      <c r="J538" t="str">
        <f t="shared" si="17"/>
        <v>Master</v>
      </c>
      <c r="K538" t="s">
        <v>53</v>
      </c>
      <c r="L538">
        <v>1</v>
      </c>
      <c r="M538" t="s">
        <v>40</v>
      </c>
      <c r="N538" s="2">
        <v>84</v>
      </c>
      <c r="O538">
        <v>3</v>
      </c>
      <c r="P538">
        <v>2</v>
      </c>
      <c r="Q538" t="s">
        <v>36</v>
      </c>
      <c r="R538">
        <v>1</v>
      </c>
      <c r="S538" t="s">
        <v>37</v>
      </c>
      <c r="T538" s="2">
        <v>5405</v>
      </c>
      <c r="U538" s="2">
        <v>11924</v>
      </c>
      <c r="V538">
        <v>8</v>
      </c>
      <c r="W538" t="s">
        <v>38</v>
      </c>
      <c r="X538">
        <v>14</v>
      </c>
      <c r="Y538">
        <v>3</v>
      </c>
      <c r="Z538">
        <v>4</v>
      </c>
      <c r="AA538">
        <v>80</v>
      </c>
      <c r="AB538">
        <v>0</v>
      </c>
      <c r="AC538">
        <v>10</v>
      </c>
      <c r="AD538">
        <v>1</v>
      </c>
      <c r="AE538">
        <v>3</v>
      </c>
      <c r="AF538">
        <v>2</v>
      </c>
      <c r="AG538">
        <v>2</v>
      </c>
      <c r="AH538">
        <v>2</v>
      </c>
      <c r="AI538">
        <v>2</v>
      </c>
    </row>
    <row r="539" spans="1:35" x14ac:dyDescent="0.25">
      <c r="A539">
        <v>27</v>
      </c>
      <c r="B539" t="str">
        <f t="shared" si="16"/>
        <v>25-34</v>
      </c>
      <c r="C539" s="1" t="s">
        <v>38</v>
      </c>
      <c r="D539" s="17">
        <f>IF(Table1[[#This Row],[Attrition]]="Yes",1,0)</f>
        <v>0</v>
      </c>
      <c r="E539" t="s">
        <v>58</v>
      </c>
      <c r="F539" s="2">
        <v>294</v>
      </c>
      <c r="G539" t="s">
        <v>39</v>
      </c>
      <c r="H539">
        <v>10</v>
      </c>
      <c r="I539">
        <v>2</v>
      </c>
      <c r="J539" t="str">
        <f t="shared" si="17"/>
        <v>College</v>
      </c>
      <c r="K539" t="s">
        <v>34</v>
      </c>
      <c r="L539">
        <v>4</v>
      </c>
      <c r="M539" t="s">
        <v>40</v>
      </c>
      <c r="N539" s="2">
        <v>32</v>
      </c>
      <c r="O539">
        <v>3</v>
      </c>
      <c r="P539">
        <v>3</v>
      </c>
      <c r="Q539" t="s">
        <v>47</v>
      </c>
      <c r="R539">
        <v>1</v>
      </c>
      <c r="S539" t="s">
        <v>46</v>
      </c>
      <c r="T539" s="2">
        <v>8793</v>
      </c>
      <c r="U539" s="2">
        <v>4809</v>
      </c>
      <c r="V539">
        <v>1</v>
      </c>
      <c r="W539" t="s">
        <v>38</v>
      </c>
      <c r="X539">
        <v>21</v>
      </c>
      <c r="Y539">
        <v>4</v>
      </c>
      <c r="Z539">
        <v>3</v>
      </c>
      <c r="AA539">
        <v>80</v>
      </c>
      <c r="AB539">
        <v>2</v>
      </c>
      <c r="AC539">
        <v>9</v>
      </c>
      <c r="AD539">
        <v>4</v>
      </c>
      <c r="AE539">
        <v>2</v>
      </c>
      <c r="AF539">
        <v>9</v>
      </c>
      <c r="AG539">
        <v>7</v>
      </c>
      <c r="AH539">
        <v>1</v>
      </c>
      <c r="AI539">
        <v>7</v>
      </c>
    </row>
    <row r="540" spans="1:35" x14ac:dyDescent="0.25">
      <c r="A540">
        <v>41</v>
      </c>
      <c r="B540" t="str">
        <f t="shared" si="16"/>
        <v>35-44</v>
      </c>
      <c r="C540" s="1" t="s">
        <v>38</v>
      </c>
      <c r="D540" s="17">
        <f>IF(Table1[[#This Row],[Attrition]]="Yes",1,0)</f>
        <v>0</v>
      </c>
      <c r="E540" t="s">
        <v>57</v>
      </c>
      <c r="F540" s="2">
        <v>314</v>
      </c>
      <c r="G540" t="s">
        <v>55</v>
      </c>
      <c r="H540">
        <v>1</v>
      </c>
      <c r="I540">
        <v>3</v>
      </c>
      <c r="J540" t="str">
        <f t="shared" si="17"/>
        <v>Bachelor</v>
      </c>
      <c r="K540" t="s">
        <v>55</v>
      </c>
      <c r="L540">
        <v>4</v>
      </c>
      <c r="M540" t="s">
        <v>40</v>
      </c>
      <c r="N540" s="2">
        <v>59</v>
      </c>
      <c r="O540">
        <v>2</v>
      </c>
      <c r="P540">
        <v>5</v>
      </c>
      <c r="Q540" t="s">
        <v>50</v>
      </c>
      <c r="R540">
        <v>3</v>
      </c>
      <c r="S540" t="s">
        <v>42</v>
      </c>
      <c r="T540" s="2">
        <v>19189</v>
      </c>
      <c r="U540" s="2">
        <v>19562</v>
      </c>
      <c r="V540">
        <v>1</v>
      </c>
      <c r="W540" t="s">
        <v>38</v>
      </c>
      <c r="X540">
        <v>12</v>
      </c>
      <c r="Y540">
        <v>3</v>
      </c>
      <c r="Z540">
        <v>2</v>
      </c>
      <c r="AA540">
        <v>80</v>
      </c>
      <c r="AB540">
        <v>1</v>
      </c>
      <c r="AC540">
        <v>22</v>
      </c>
      <c r="AD540">
        <v>3</v>
      </c>
      <c r="AE540">
        <v>3</v>
      </c>
      <c r="AF540">
        <v>22</v>
      </c>
      <c r="AG540">
        <v>7</v>
      </c>
      <c r="AH540">
        <v>2</v>
      </c>
      <c r="AI540">
        <v>10</v>
      </c>
    </row>
    <row r="541" spans="1:35" x14ac:dyDescent="0.25">
      <c r="A541">
        <v>50</v>
      </c>
      <c r="B541" t="str">
        <f t="shared" si="16"/>
        <v>45-54</v>
      </c>
      <c r="C541" s="1" t="s">
        <v>38</v>
      </c>
      <c r="D541" s="17">
        <f>IF(Table1[[#This Row],[Attrition]]="Yes",1,0)</f>
        <v>0</v>
      </c>
      <c r="E541" t="s">
        <v>57</v>
      </c>
      <c r="F541" s="2">
        <v>316</v>
      </c>
      <c r="G541" t="s">
        <v>33</v>
      </c>
      <c r="H541">
        <v>8</v>
      </c>
      <c r="I541">
        <v>4</v>
      </c>
      <c r="J541" t="str">
        <f t="shared" si="17"/>
        <v>Master</v>
      </c>
      <c r="K541" t="s">
        <v>53</v>
      </c>
      <c r="L541">
        <v>4</v>
      </c>
      <c r="M541" t="s">
        <v>40</v>
      </c>
      <c r="N541" s="2">
        <v>54</v>
      </c>
      <c r="O541">
        <v>3</v>
      </c>
      <c r="P541">
        <v>1</v>
      </c>
      <c r="Q541" t="s">
        <v>51</v>
      </c>
      <c r="R541">
        <v>2</v>
      </c>
      <c r="S541" t="s">
        <v>42</v>
      </c>
      <c r="T541" s="2">
        <v>3875</v>
      </c>
      <c r="U541" s="2">
        <v>9983</v>
      </c>
      <c r="V541">
        <v>7</v>
      </c>
      <c r="W541" t="s">
        <v>38</v>
      </c>
      <c r="X541">
        <v>15</v>
      </c>
      <c r="Y541">
        <v>3</v>
      </c>
      <c r="Z541">
        <v>4</v>
      </c>
      <c r="AA541">
        <v>80</v>
      </c>
      <c r="AB541">
        <v>1</v>
      </c>
      <c r="AC541">
        <v>4</v>
      </c>
      <c r="AD541">
        <v>2</v>
      </c>
      <c r="AE541">
        <v>3</v>
      </c>
      <c r="AF541">
        <v>2</v>
      </c>
      <c r="AG541">
        <v>2</v>
      </c>
      <c r="AH541">
        <v>2</v>
      </c>
      <c r="AI541">
        <v>2</v>
      </c>
    </row>
    <row r="542" spans="1:35" x14ac:dyDescent="0.25">
      <c r="A542">
        <v>28</v>
      </c>
      <c r="B542" t="str">
        <f t="shared" si="16"/>
        <v>25-34</v>
      </c>
      <c r="C542" s="1" t="s">
        <v>32</v>
      </c>
      <c r="D542" s="17">
        <f>IF(Table1[[#This Row],[Attrition]]="Yes",1,0)</f>
        <v>1</v>
      </c>
      <c r="E542" t="s">
        <v>57</v>
      </c>
      <c r="F542" s="2">
        <v>654</v>
      </c>
      <c r="G542" t="s">
        <v>39</v>
      </c>
      <c r="H542">
        <v>1</v>
      </c>
      <c r="I542">
        <v>2</v>
      </c>
      <c r="J542" t="str">
        <f t="shared" si="17"/>
        <v>College</v>
      </c>
      <c r="K542" t="s">
        <v>34</v>
      </c>
      <c r="L542">
        <v>1</v>
      </c>
      <c r="M542" t="s">
        <v>35</v>
      </c>
      <c r="N542" s="2">
        <v>67</v>
      </c>
      <c r="O542">
        <v>1</v>
      </c>
      <c r="P542">
        <v>1</v>
      </c>
      <c r="Q542" t="s">
        <v>41</v>
      </c>
      <c r="R542">
        <v>2</v>
      </c>
      <c r="S542" t="s">
        <v>37</v>
      </c>
      <c r="T542" s="2">
        <v>2216</v>
      </c>
      <c r="U542" s="2">
        <v>3872</v>
      </c>
      <c r="V542">
        <v>7</v>
      </c>
      <c r="W542" t="s">
        <v>32</v>
      </c>
      <c r="X542">
        <v>13</v>
      </c>
      <c r="Y542">
        <v>3</v>
      </c>
      <c r="Z542">
        <v>4</v>
      </c>
      <c r="AA542">
        <v>80</v>
      </c>
      <c r="AB542">
        <v>0</v>
      </c>
      <c r="AC542">
        <v>10</v>
      </c>
      <c r="AD542">
        <v>4</v>
      </c>
      <c r="AE542">
        <v>3</v>
      </c>
      <c r="AF542">
        <v>7</v>
      </c>
      <c r="AG542">
        <v>7</v>
      </c>
      <c r="AH542">
        <v>3</v>
      </c>
      <c r="AI542">
        <v>7</v>
      </c>
    </row>
    <row r="543" spans="1:35" x14ac:dyDescent="0.25">
      <c r="A543">
        <v>36</v>
      </c>
      <c r="B543" t="str">
        <f t="shared" si="16"/>
        <v>35-44</v>
      </c>
      <c r="C543" s="1" t="s">
        <v>38</v>
      </c>
      <c r="D543" s="17">
        <f>IF(Table1[[#This Row],[Attrition]]="Yes",1,0)</f>
        <v>0</v>
      </c>
      <c r="E543" t="s">
        <v>49</v>
      </c>
      <c r="F543" s="2">
        <v>427</v>
      </c>
      <c r="G543" t="s">
        <v>39</v>
      </c>
      <c r="H543">
        <v>8</v>
      </c>
      <c r="I543">
        <v>3</v>
      </c>
      <c r="J543" t="str">
        <f t="shared" si="17"/>
        <v>Bachelor</v>
      </c>
      <c r="K543" t="s">
        <v>34</v>
      </c>
      <c r="L543">
        <v>1</v>
      </c>
      <c r="M543" t="s">
        <v>35</v>
      </c>
      <c r="N543" s="2">
        <v>63</v>
      </c>
      <c r="O543">
        <v>4</v>
      </c>
      <c r="P543">
        <v>3</v>
      </c>
      <c r="Q543" t="s">
        <v>52</v>
      </c>
      <c r="R543">
        <v>1</v>
      </c>
      <c r="S543" t="s">
        <v>42</v>
      </c>
      <c r="T543" s="2">
        <v>11713</v>
      </c>
      <c r="U543" s="2">
        <v>20335</v>
      </c>
      <c r="V543">
        <v>9</v>
      </c>
      <c r="W543" t="s">
        <v>38</v>
      </c>
      <c r="X543">
        <v>14</v>
      </c>
      <c r="Y543">
        <v>3</v>
      </c>
      <c r="Z543">
        <v>1</v>
      </c>
      <c r="AA543">
        <v>80</v>
      </c>
      <c r="AB543">
        <v>1</v>
      </c>
      <c r="AC543">
        <v>10</v>
      </c>
      <c r="AD543">
        <v>2</v>
      </c>
      <c r="AE543">
        <v>3</v>
      </c>
      <c r="AF543">
        <v>8</v>
      </c>
      <c r="AG543">
        <v>7</v>
      </c>
      <c r="AH543">
        <v>0</v>
      </c>
      <c r="AI543">
        <v>5</v>
      </c>
    </row>
    <row r="544" spans="1:35" x14ac:dyDescent="0.25">
      <c r="A544">
        <v>38</v>
      </c>
      <c r="B544" t="str">
        <f t="shared" si="16"/>
        <v>35-44</v>
      </c>
      <c r="C544" s="1" t="s">
        <v>38</v>
      </c>
      <c r="D544" s="17">
        <f>IF(Table1[[#This Row],[Attrition]]="Yes",1,0)</f>
        <v>0</v>
      </c>
      <c r="E544" t="s">
        <v>57</v>
      </c>
      <c r="F544" s="2">
        <v>168</v>
      </c>
      <c r="G544" t="s">
        <v>39</v>
      </c>
      <c r="H544">
        <v>1</v>
      </c>
      <c r="I544">
        <v>3</v>
      </c>
      <c r="J544" t="str">
        <f t="shared" si="17"/>
        <v>Bachelor</v>
      </c>
      <c r="K544" t="s">
        <v>34</v>
      </c>
      <c r="L544">
        <v>3</v>
      </c>
      <c r="M544" t="s">
        <v>35</v>
      </c>
      <c r="N544" s="2">
        <v>81</v>
      </c>
      <c r="O544">
        <v>3</v>
      </c>
      <c r="P544">
        <v>3</v>
      </c>
      <c r="Q544" t="s">
        <v>47</v>
      </c>
      <c r="R544">
        <v>3</v>
      </c>
      <c r="S544" t="s">
        <v>37</v>
      </c>
      <c r="T544" s="2">
        <v>7861</v>
      </c>
      <c r="U544" s="2">
        <v>15397</v>
      </c>
      <c r="V544">
        <v>4</v>
      </c>
      <c r="W544" t="s">
        <v>32</v>
      </c>
      <c r="X544">
        <v>14</v>
      </c>
      <c r="Y544">
        <v>3</v>
      </c>
      <c r="Z544">
        <v>4</v>
      </c>
      <c r="AA544">
        <v>80</v>
      </c>
      <c r="AB544">
        <v>0</v>
      </c>
      <c r="AC544">
        <v>10</v>
      </c>
      <c r="AD544">
        <v>4</v>
      </c>
      <c r="AE544">
        <v>4</v>
      </c>
      <c r="AF544">
        <v>1</v>
      </c>
      <c r="AG544">
        <v>0</v>
      </c>
      <c r="AH544">
        <v>0</v>
      </c>
      <c r="AI544">
        <v>0</v>
      </c>
    </row>
    <row r="545" spans="1:35" x14ac:dyDescent="0.25">
      <c r="A545">
        <v>44</v>
      </c>
      <c r="B545" t="str">
        <f t="shared" si="16"/>
        <v>35-44</v>
      </c>
      <c r="C545" s="1" t="s">
        <v>38</v>
      </c>
      <c r="D545" s="17">
        <f>IF(Table1[[#This Row],[Attrition]]="Yes",1,0)</f>
        <v>0</v>
      </c>
      <c r="E545" t="s">
        <v>49</v>
      </c>
      <c r="F545" s="2">
        <v>381</v>
      </c>
      <c r="G545" t="s">
        <v>39</v>
      </c>
      <c r="H545">
        <v>24</v>
      </c>
      <c r="I545">
        <v>3</v>
      </c>
      <c r="J545" t="str">
        <f t="shared" si="17"/>
        <v>Bachelor</v>
      </c>
      <c r="K545" t="s">
        <v>45</v>
      </c>
      <c r="L545">
        <v>1</v>
      </c>
      <c r="M545" t="s">
        <v>40</v>
      </c>
      <c r="N545" s="2">
        <v>49</v>
      </c>
      <c r="O545">
        <v>1</v>
      </c>
      <c r="P545">
        <v>1</v>
      </c>
      <c r="Q545" t="s">
        <v>44</v>
      </c>
      <c r="R545">
        <v>3</v>
      </c>
      <c r="S545" t="s">
        <v>37</v>
      </c>
      <c r="T545" s="2">
        <v>3708</v>
      </c>
      <c r="U545" s="2">
        <v>2104</v>
      </c>
      <c r="V545">
        <v>2</v>
      </c>
      <c r="W545" t="s">
        <v>38</v>
      </c>
      <c r="X545">
        <v>14</v>
      </c>
      <c r="Y545">
        <v>3</v>
      </c>
      <c r="Z545">
        <v>3</v>
      </c>
      <c r="AA545">
        <v>80</v>
      </c>
      <c r="AB545">
        <v>0</v>
      </c>
      <c r="AC545">
        <v>9</v>
      </c>
      <c r="AD545">
        <v>5</v>
      </c>
      <c r="AE545">
        <v>3</v>
      </c>
      <c r="AF545">
        <v>5</v>
      </c>
      <c r="AG545">
        <v>2</v>
      </c>
      <c r="AH545">
        <v>1</v>
      </c>
      <c r="AI545">
        <v>4</v>
      </c>
    </row>
    <row r="546" spans="1:35" x14ac:dyDescent="0.25">
      <c r="A546">
        <v>47</v>
      </c>
      <c r="B546" t="str">
        <f t="shared" si="16"/>
        <v>45-54</v>
      </c>
      <c r="C546" s="1" t="s">
        <v>38</v>
      </c>
      <c r="D546" s="17">
        <f>IF(Table1[[#This Row],[Attrition]]="Yes",1,0)</f>
        <v>0</v>
      </c>
      <c r="E546" t="s">
        <v>58</v>
      </c>
      <c r="F546" s="2">
        <v>217</v>
      </c>
      <c r="G546" t="s">
        <v>33</v>
      </c>
      <c r="H546">
        <v>3</v>
      </c>
      <c r="I546">
        <v>3</v>
      </c>
      <c r="J546" t="str">
        <f t="shared" si="17"/>
        <v>Bachelor</v>
      </c>
      <c r="K546" t="s">
        <v>45</v>
      </c>
      <c r="L546">
        <v>4</v>
      </c>
      <c r="M546" t="s">
        <v>35</v>
      </c>
      <c r="N546" s="2">
        <v>49</v>
      </c>
      <c r="O546">
        <v>3</v>
      </c>
      <c r="P546">
        <v>4</v>
      </c>
      <c r="Q546" t="s">
        <v>36</v>
      </c>
      <c r="R546">
        <v>3</v>
      </c>
      <c r="S546" t="s">
        <v>46</v>
      </c>
      <c r="T546" s="2">
        <v>13770</v>
      </c>
      <c r="U546" s="2">
        <v>10225</v>
      </c>
      <c r="V546">
        <v>9</v>
      </c>
      <c r="W546" t="s">
        <v>32</v>
      </c>
      <c r="X546">
        <v>12</v>
      </c>
      <c r="Y546">
        <v>3</v>
      </c>
      <c r="Z546">
        <v>4</v>
      </c>
      <c r="AA546">
        <v>80</v>
      </c>
      <c r="AB546">
        <v>2</v>
      </c>
      <c r="AC546">
        <v>28</v>
      </c>
      <c r="AD546">
        <v>2</v>
      </c>
      <c r="AE546">
        <v>2</v>
      </c>
      <c r="AF546">
        <v>22</v>
      </c>
      <c r="AG546">
        <v>2</v>
      </c>
      <c r="AH546">
        <v>11</v>
      </c>
      <c r="AI546">
        <v>13</v>
      </c>
    </row>
    <row r="547" spans="1:35" x14ac:dyDescent="0.25">
      <c r="A547">
        <v>30</v>
      </c>
      <c r="B547" t="str">
        <f t="shared" si="16"/>
        <v>25-34</v>
      </c>
      <c r="C547" s="1" t="s">
        <v>38</v>
      </c>
      <c r="D547" s="17">
        <f>IF(Table1[[#This Row],[Attrition]]="Yes",1,0)</f>
        <v>0</v>
      </c>
      <c r="E547" t="s">
        <v>57</v>
      </c>
      <c r="F547" s="2">
        <v>501</v>
      </c>
      <c r="G547" t="s">
        <v>33</v>
      </c>
      <c r="H547">
        <v>27</v>
      </c>
      <c r="I547">
        <v>5</v>
      </c>
      <c r="J547" t="str">
        <f t="shared" si="17"/>
        <v>Doctor</v>
      </c>
      <c r="K547" t="s">
        <v>53</v>
      </c>
      <c r="L547">
        <v>3</v>
      </c>
      <c r="M547" t="s">
        <v>40</v>
      </c>
      <c r="N547" s="2">
        <v>99</v>
      </c>
      <c r="O547">
        <v>3</v>
      </c>
      <c r="P547">
        <v>2</v>
      </c>
      <c r="Q547" t="s">
        <v>36</v>
      </c>
      <c r="R547">
        <v>4</v>
      </c>
      <c r="S547" t="s">
        <v>46</v>
      </c>
      <c r="T547" s="2">
        <v>5304</v>
      </c>
      <c r="U547" s="2">
        <v>25275</v>
      </c>
      <c r="V547">
        <v>7</v>
      </c>
      <c r="W547" t="s">
        <v>38</v>
      </c>
      <c r="X547">
        <v>23</v>
      </c>
      <c r="Y547">
        <v>4</v>
      </c>
      <c r="Z547">
        <v>4</v>
      </c>
      <c r="AA547">
        <v>80</v>
      </c>
      <c r="AB547">
        <v>1</v>
      </c>
      <c r="AC547">
        <v>10</v>
      </c>
      <c r="AD547">
        <v>2</v>
      </c>
      <c r="AE547">
        <v>2</v>
      </c>
      <c r="AF547">
        <v>8</v>
      </c>
      <c r="AG547">
        <v>7</v>
      </c>
      <c r="AH547">
        <v>7</v>
      </c>
      <c r="AI547">
        <v>7</v>
      </c>
    </row>
    <row r="548" spans="1:35" x14ac:dyDescent="0.25">
      <c r="A548">
        <v>29</v>
      </c>
      <c r="B548" t="str">
        <f t="shared" si="16"/>
        <v>25-34</v>
      </c>
      <c r="C548" s="1" t="s">
        <v>38</v>
      </c>
      <c r="D548" s="17">
        <f>IF(Table1[[#This Row],[Attrition]]="Yes",1,0)</f>
        <v>0</v>
      </c>
      <c r="E548" t="s">
        <v>57</v>
      </c>
      <c r="F548" s="2">
        <v>1396</v>
      </c>
      <c r="G548" t="s">
        <v>33</v>
      </c>
      <c r="H548">
        <v>10</v>
      </c>
      <c r="I548">
        <v>3</v>
      </c>
      <c r="J548" t="str">
        <f t="shared" si="17"/>
        <v>Bachelor</v>
      </c>
      <c r="K548" t="s">
        <v>34</v>
      </c>
      <c r="L548">
        <v>3</v>
      </c>
      <c r="M548" t="s">
        <v>40</v>
      </c>
      <c r="N548" s="2">
        <v>99</v>
      </c>
      <c r="O548">
        <v>3</v>
      </c>
      <c r="P548">
        <v>1</v>
      </c>
      <c r="Q548" t="s">
        <v>51</v>
      </c>
      <c r="R548">
        <v>3</v>
      </c>
      <c r="S548" t="s">
        <v>37</v>
      </c>
      <c r="T548" s="2">
        <v>2642</v>
      </c>
      <c r="U548" s="2">
        <v>2755</v>
      </c>
      <c r="V548">
        <v>1</v>
      </c>
      <c r="W548" t="s">
        <v>38</v>
      </c>
      <c r="X548">
        <v>11</v>
      </c>
      <c r="Y548">
        <v>3</v>
      </c>
      <c r="Z548">
        <v>3</v>
      </c>
      <c r="AA548">
        <v>80</v>
      </c>
      <c r="AB548">
        <v>0</v>
      </c>
      <c r="AC548">
        <v>1</v>
      </c>
      <c r="AD548">
        <v>6</v>
      </c>
      <c r="AE548">
        <v>3</v>
      </c>
      <c r="AF548">
        <v>1</v>
      </c>
      <c r="AG548">
        <v>0</v>
      </c>
      <c r="AH548">
        <v>0</v>
      </c>
      <c r="AI548">
        <v>0</v>
      </c>
    </row>
    <row r="549" spans="1:35" x14ac:dyDescent="0.25">
      <c r="A549">
        <v>42</v>
      </c>
      <c r="B549" t="str">
        <f t="shared" si="16"/>
        <v>35-44</v>
      </c>
      <c r="C549" s="1" t="s">
        <v>32</v>
      </c>
      <c r="D549" s="17">
        <f>IF(Table1[[#This Row],[Attrition]]="Yes",1,0)</f>
        <v>1</v>
      </c>
      <c r="E549" t="s">
        <v>58</v>
      </c>
      <c r="F549" s="2">
        <v>933</v>
      </c>
      <c r="G549" t="s">
        <v>39</v>
      </c>
      <c r="H549">
        <v>19</v>
      </c>
      <c r="I549">
        <v>3</v>
      </c>
      <c r="J549" t="str">
        <f t="shared" si="17"/>
        <v>Bachelor</v>
      </c>
      <c r="K549" t="s">
        <v>45</v>
      </c>
      <c r="L549">
        <v>3</v>
      </c>
      <c r="M549" t="s">
        <v>40</v>
      </c>
      <c r="N549" s="2">
        <v>57</v>
      </c>
      <c r="O549">
        <v>4</v>
      </c>
      <c r="P549">
        <v>1</v>
      </c>
      <c r="Q549" t="s">
        <v>41</v>
      </c>
      <c r="R549">
        <v>3</v>
      </c>
      <c r="S549" t="s">
        <v>46</v>
      </c>
      <c r="T549" s="2">
        <v>2759</v>
      </c>
      <c r="U549" s="2">
        <v>20366</v>
      </c>
      <c r="V549">
        <v>6</v>
      </c>
      <c r="W549" t="s">
        <v>32</v>
      </c>
      <c r="X549">
        <v>12</v>
      </c>
      <c r="Y549">
        <v>3</v>
      </c>
      <c r="Z549">
        <v>4</v>
      </c>
      <c r="AA549">
        <v>80</v>
      </c>
      <c r="AB549">
        <v>0</v>
      </c>
      <c r="AC549">
        <v>7</v>
      </c>
      <c r="AD549">
        <v>2</v>
      </c>
      <c r="AE549">
        <v>3</v>
      </c>
      <c r="AF549">
        <v>2</v>
      </c>
      <c r="AG549">
        <v>2</v>
      </c>
      <c r="AH549">
        <v>2</v>
      </c>
      <c r="AI549">
        <v>2</v>
      </c>
    </row>
    <row r="550" spans="1:35" x14ac:dyDescent="0.25">
      <c r="A550">
        <v>43</v>
      </c>
      <c r="B550" t="str">
        <f t="shared" si="16"/>
        <v>35-44</v>
      </c>
      <c r="C550" s="1" t="s">
        <v>38</v>
      </c>
      <c r="D550" s="17">
        <f>IF(Table1[[#This Row],[Attrition]]="Yes",1,0)</f>
        <v>0</v>
      </c>
      <c r="E550" t="s">
        <v>58</v>
      </c>
      <c r="F550" s="2">
        <v>775</v>
      </c>
      <c r="G550" t="s">
        <v>33</v>
      </c>
      <c r="H550">
        <v>15</v>
      </c>
      <c r="I550">
        <v>3</v>
      </c>
      <c r="J550" t="str">
        <f t="shared" si="17"/>
        <v>Bachelor</v>
      </c>
      <c r="K550" t="s">
        <v>34</v>
      </c>
      <c r="L550">
        <v>4</v>
      </c>
      <c r="M550" t="s">
        <v>40</v>
      </c>
      <c r="N550" s="2">
        <v>47</v>
      </c>
      <c r="O550">
        <v>2</v>
      </c>
      <c r="P550">
        <v>2</v>
      </c>
      <c r="Q550" t="s">
        <v>36</v>
      </c>
      <c r="R550">
        <v>4</v>
      </c>
      <c r="S550" t="s">
        <v>42</v>
      </c>
      <c r="T550" s="2">
        <v>6804</v>
      </c>
      <c r="U550" s="2">
        <v>23683</v>
      </c>
      <c r="V550">
        <v>3</v>
      </c>
      <c r="W550" t="s">
        <v>38</v>
      </c>
      <c r="X550">
        <v>18</v>
      </c>
      <c r="Y550">
        <v>3</v>
      </c>
      <c r="Z550">
        <v>3</v>
      </c>
      <c r="AA550">
        <v>80</v>
      </c>
      <c r="AB550">
        <v>1</v>
      </c>
      <c r="AC550">
        <v>7</v>
      </c>
      <c r="AD550">
        <v>5</v>
      </c>
      <c r="AE550">
        <v>3</v>
      </c>
      <c r="AF550">
        <v>2</v>
      </c>
      <c r="AG550">
        <v>2</v>
      </c>
      <c r="AH550">
        <v>2</v>
      </c>
      <c r="AI550">
        <v>2</v>
      </c>
    </row>
    <row r="551" spans="1:35" x14ac:dyDescent="0.25">
      <c r="A551">
        <v>34</v>
      </c>
      <c r="B551" t="str">
        <f t="shared" si="16"/>
        <v>25-34</v>
      </c>
      <c r="C551" s="1" t="s">
        <v>38</v>
      </c>
      <c r="D551" s="17">
        <f>IF(Table1[[#This Row],[Attrition]]="Yes",1,0)</f>
        <v>0</v>
      </c>
      <c r="E551" t="s">
        <v>57</v>
      </c>
      <c r="F551" s="2">
        <v>970</v>
      </c>
      <c r="G551" t="s">
        <v>39</v>
      </c>
      <c r="H551">
        <v>8</v>
      </c>
      <c r="I551">
        <v>2</v>
      </c>
      <c r="J551" t="str">
        <f t="shared" si="17"/>
        <v>College</v>
      </c>
      <c r="K551" t="s">
        <v>45</v>
      </c>
      <c r="L551">
        <v>2</v>
      </c>
      <c r="M551" t="s">
        <v>35</v>
      </c>
      <c r="N551" s="2">
        <v>96</v>
      </c>
      <c r="O551">
        <v>3</v>
      </c>
      <c r="P551">
        <v>2</v>
      </c>
      <c r="Q551" t="s">
        <v>48</v>
      </c>
      <c r="R551">
        <v>3</v>
      </c>
      <c r="S551" t="s">
        <v>37</v>
      </c>
      <c r="T551" s="2">
        <v>6142</v>
      </c>
      <c r="U551" s="2">
        <v>7360</v>
      </c>
      <c r="V551">
        <v>3</v>
      </c>
      <c r="W551" t="s">
        <v>38</v>
      </c>
      <c r="X551">
        <v>11</v>
      </c>
      <c r="Y551">
        <v>3</v>
      </c>
      <c r="Z551">
        <v>4</v>
      </c>
      <c r="AA551">
        <v>80</v>
      </c>
      <c r="AB551">
        <v>0</v>
      </c>
      <c r="AC551">
        <v>10</v>
      </c>
      <c r="AD551">
        <v>2</v>
      </c>
      <c r="AE551">
        <v>3</v>
      </c>
      <c r="AF551">
        <v>5</v>
      </c>
      <c r="AG551">
        <v>1</v>
      </c>
      <c r="AH551">
        <v>4</v>
      </c>
      <c r="AI551">
        <v>3</v>
      </c>
    </row>
    <row r="552" spans="1:35" x14ac:dyDescent="0.25">
      <c r="A552">
        <v>23</v>
      </c>
      <c r="B552" t="str">
        <f t="shared" si="16"/>
        <v>18-24</v>
      </c>
      <c r="C552" s="1" t="s">
        <v>38</v>
      </c>
      <c r="D552" s="17">
        <f>IF(Table1[[#This Row],[Attrition]]="Yes",1,0)</f>
        <v>0</v>
      </c>
      <c r="E552" t="s">
        <v>57</v>
      </c>
      <c r="F552" s="2">
        <v>650</v>
      </c>
      <c r="G552" t="s">
        <v>39</v>
      </c>
      <c r="H552">
        <v>9</v>
      </c>
      <c r="I552">
        <v>1</v>
      </c>
      <c r="J552" t="str">
        <f t="shared" si="17"/>
        <v>Below College</v>
      </c>
      <c r="K552" t="s">
        <v>45</v>
      </c>
      <c r="L552">
        <v>2</v>
      </c>
      <c r="M552" t="s">
        <v>40</v>
      </c>
      <c r="N552" s="2">
        <v>37</v>
      </c>
      <c r="O552">
        <v>3</v>
      </c>
      <c r="P552">
        <v>1</v>
      </c>
      <c r="Q552" t="s">
        <v>44</v>
      </c>
      <c r="R552">
        <v>1</v>
      </c>
      <c r="S552" t="s">
        <v>42</v>
      </c>
      <c r="T552" s="2">
        <v>2500</v>
      </c>
      <c r="U552" s="2">
        <v>4344</v>
      </c>
      <c r="V552">
        <v>1</v>
      </c>
      <c r="W552" t="s">
        <v>38</v>
      </c>
      <c r="X552">
        <v>14</v>
      </c>
      <c r="Y552">
        <v>3</v>
      </c>
      <c r="Z552">
        <v>4</v>
      </c>
      <c r="AA552">
        <v>80</v>
      </c>
      <c r="AB552">
        <v>1</v>
      </c>
      <c r="AC552">
        <v>5</v>
      </c>
      <c r="AD552">
        <v>2</v>
      </c>
      <c r="AE552">
        <v>4</v>
      </c>
      <c r="AF552">
        <v>4</v>
      </c>
      <c r="AG552">
        <v>3</v>
      </c>
      <c r="AH552">
        <v>0</v>
      </c>
      <c r="AI552">
        <v>2</v>
      </c>
    </row>
    <row r="553" spans="1:35" x14ac:dyDescent="0.25">
      <c r="A553">
        <v>39</v>
      </c>
      <c r="B553" t="str">
        <f t="shared" si="16"/>
        <v>35-44</v>
      </c>
      <c r="C553" s="1" t="s">
        <v>38</v>
      </c>
      <c r="D553" s="17">
        <f>IF(Table1[[#This Row],[Attrition]]="Yes",1,0)</f>
        <v>0</v>
      </c>
      <c r="E553" t="s">
        <v>57</v>
      </c>
      <c r="F553" s="2">
        <v>141</v>
      </c>
      <c r="G553" t="s">
        <v>55</v>
      </c>
      <c r="H553">
        <v>3</v>
      </c>
      <c r="I553">
        <v>3</v>
      </c>
      <c r="J553" t="str">
        <f t="shared" si="17"/>
        <v>Bachelor</v>
      </c>
      <c r="K553" t="s">
        <v>55</v>
      </c>
      <c r="L553">
        <v>3</v>
      </c>
      <c r="M553" t="s">
        <v>35</v>
      </c>
      <c r="N553" s="2">
        <v>44</v>
      </c>
      <c r="O553">
        <v>4</v>
      </c>
      <c r="P553">
        <v>2</v>
      </c>
      <c r="Q553" t="s">
        <v>55</v>
      </c>
      <c r="R553">
        <v>2</v>
      </c>
      <c r="S553" t="s">
        <v>42</v>
      </c>
      <c r="T553" s="2">
        <v>6389</v>
      </c>
      <c r="U553" s="2">
        <v>18767</v>
      </c>
      <c r="V553">
        <v>9</v>
      </c>
      <c r="W553" t="s">
        <v>38</v>
      </c>
      <c r="X553">
        <v>15</v>
      </c>
      <c r="Y553">
        <v>3</v>
      </c>
      <c r="Z553">
        <v>3</v>
      </c>
      <c r="AA553">
        <v>80</v>
      </c>
      <c r="AB553">
        <v>1</v>
      </c>
      <c r="AC553">
        <v>12</v>
      </c>
      <c r="AD553">
        <v>3</v>
      </c>
      <c r="AE553">
        <v>1</v>
      </c>
      <c r="AF553">
        <v>8</v>
      </c>
      <c r="AG553">
        <v>3</v>
      </c>
      <c r="AH553">
        <v>3</v>
      </c>
      <c r="AI553">
        <v>6</v>
      </c>
    </row>
    <row r="554" spans="1:35" x14ac:dyDescent="0.25">
      <c r="A554">
        <v>56</v>
      </c>
      <c r="B554" t="str">
        <f t="shared" si="16"/>
        <v>55-64</v>
      </c>
      <c r="C554" s="1" t="s">
        <v>38</v>
      </c>
      <c r="D554" s="17">
        <f>IF(Table1[[#This Row],[Attrition]]="Yes",1,0)</f>
        <v>0</v>
      </c>
      <c r="E554" t="s">
        <v>57</v>
      </c>
      <c r="F554" s="2">
        <v>832</v>
      </c>
      <c r="G554" t="s">
        <v>39</v>
      </c>
      <c r="H554">
        <v>9</v>
      </c>
      <c r="I554">
        <v>3</v>
      </c>
      <c r="J554" t="str">
        <f t="shared" si="17"/>
        <v>Bachelor</v>
      </c>
      <c r="K554" t="s">
        <v>45</v>
      </c>
      <c r="L554">
        <v>3</v>
      </c>
      <c r="M554" t="s">
        <v>40</v>
      </c>
      <c r="N554" s="2">
        <v>81</v>
      </c>
      <c r="O554">
        <v>3</v>
      </c>
      <c r="P554">
        <v>4</v>
      </c>
      <c r="Q554" t="s">
        <v>48</v>
      </c>
      <c r="R554">
        <v>4</v>
      </c>
      <c r="S554" t="s">
        <v>42</v>
      </c>
      <c r="T554" s="2">
        <v>11103</v>
      </c>
      <c r="U554" s="2">
        <v>20420</v>
      </c>
      <c r="V554">
        <v>7</v>
      </c>
      <c r="W554" t="s">
        <v>38</v>
      </c>
      <c r="X554">
        <v>11</v>
      </c>
      <c r="Y554">
        <v>3</v>
      </c>
      <c r="Z554">
        <v>3</v>
      </c>
      <c r="AA554">
        <v>80</v>
      </c>
      <c r="AB554">
        <v>0</v>
      </c>
      <c r="AC554">
        <v>30</v>
      </c>
      <c r="AD554">
        <v>1</v>
      </c>
      <c r="AE554">
        <v>2</v>
      </c>
      <c r="AF554">
        <v>10</v>
      </c>
      <c r="AG554">
        <v>7</v>
      </c>
      <c r="AH554">
        <v>1</v>
      </c>
      <c r="AI554">
        <v>1</v>
      </c>
    </row>
    <row r="555" spans="1:35" x14ac:dyDescent="0.25">
      <c r="A555">
        <v>40</v>
      </c>
      <c r="B555" t="str">
        <f t="shared" si="16"/>
        <v>35-44</v>
      </c>
      <c r="C555" s="1" t="s">
        <v>38</v>
      </c>
      <c r="D555" s="17">
        <f>IF(Table1[[#This Row],[Attrition]]="Yes",1,0)</f>
        <v>0</v>
      </c>
      <c r="E555" t="s">
        <v>57</v>
      </c>
      <c r="F555" s="2">
        <v>804</v>
      </c>
      <c r="G555" t="s">
        <v>39</v>
      </c>
      <c r="H555">
        <v>2</v>
      </c>
      <c r="I555">
        <v>1</v>
      </c>
      <c r="J555" t="str">
        <f t="shared" si="17"/>
        <v>Below College</v>
      </c>
      <c r="K555" t="s">
        <v>45</v>
      </c>
      <c r="L555">
        <v>4</v>
      </c>
      <c r="M555" t="s">
        <v>35</v>
      </c>
      <c r="N555" s="2">
        <v>86</v>
      </c>
      <c r="O555">
        <v>2</v>
      </c>
      <c r="P555">
        <v>1</v>
      </c>
      <c r="Q555" t="s">
        <v>41</v>
      </c>
      <c r="R555">
        <v>4</v>
      </c>
      <c r="S555" t="s">
        <v>37</v>
      </c>
      <c r="T555" s="2">
        <v>2342</v>
      </c>
      <c r="U555" s="2">
        <v>22929</v>
      </c>
      <c r="V555">
        <v>0</v>
      </c>
      <c r="W555" t="s">
        <v>32</v>
      </c>
      <c r="X555">
        <v>20</v>
      </c>
      <c r="Y555">
        <v>4</v>
      </c>
      <c r="Z555">
        <v>4</v>
      </c>
      <c r="AA555">
        <v>80</v>
      </c>
      <c r="AB555">
        <v>0</v>
      </c>
      <c r="AC555">
        <v>5</v>
      </c>
      <c r="AD555">
        <v>2</v>
      </c>
      <c r="AE555">
        <v>2</v>
      </c>
      <c r="AF555">
        <v>4</v>
      </c>
      <c r="AG555">
        <v>2</v>
      </c>
      <c r="AH555">
        <v>2</v>
      </c>
      <c r="AI555">
        <v>3</v>
      </c>
    </row>
    <row r="556" spans="1:35" x14ac:dyDescent="0.25">
      <c r="A556">
        <v>27</v>
      </c>
      <c r="B556" t="str">
        <f t="shared" si="16"/>
        <v>25-34</v>
      </c>
      <c r="C556" s="1" t="s">
        <v>38</v>
      </c>
      <c r="D556" s="17">
        <f>IF(Table1[[#This Row],[Attrition]]="Yes",1,0)</f>
        <v>0</v>
      </c>
      <c r="E556" t="s">
        <v>57</v>
      </c>
      <c r="F556" s="2">
        <v>975</v>
      </c>
      <c r="G556" t="s">
        <v>39</v>
      </c>
      <c r="H556">
        <v>7</v>
      </c>
      <c r="I556">
        <v>3</v>
      </c>
      <c r="J556" t="str">
        <f t="shared" si="17"/>
        <v>Bachelor</v>
      </c>
      <c r="K556" t="s">
        <v>45</v>
      </c>
      <c r="L556">
        <v>4</v>
      </c>
      <c r="M556" t="s">
        <v>35</v>
      </c>
      <c r="N556" s="2">
        <v>55</v>
      </c>
      <c r="O556">
        <v>2</v>
      </c>
      <c r="P556">
        <v>2</v>
      </c>
      <c r="Q556" t="s">
        <v>48</v>
      </c>
      <c r="R556">
        <v>1</v>
      </c>
      <c r="S556" t="s">
        <v>37</v>
      </c>
      <c r="T556" s="2">
        <v>6811</v>
      </c>
      <c r="U556" s="2">
        <v>23398</v>
      </c>
      <c r="V556">
        <v>8</v>
      </c>
      <c r="W556" t="s">
        <v>38</v>
      </c>
      <c r="X556">
        <v>19</v>
      </c>
      <c r="Y556">
        <v>3</v>
      </c>
      <c r="Z556">
        <v>1</v>
      </c>
      <c r="AA556">
        <v>80</v>
      </c>
      <c r="AB556">
        <v>0</v>
      </c>
      <c r="AC556">
        <v>9</v>
      </c>
      <c r="AD556">
        <v>2</v>
      </c>
      <c r="AE556">
        <v>1</v>
      </c>
      <c r="AF556">
        <v>7</v>
      </c>
      <c r="AG556">
        <v>6</v>
      </c>
      <c r="AH556">
        <v>0</v>
      </c>
      <c r="AI556">
        <v>7</v>
      </c>
    </row>
    <row r="557" spans="1:35" x14ac:dyDescent="0.25">
      <c r="A557">
        <v>29</v>
      </c>
      <c r="B557" t="str">
        <f t="shared" si="16"/>
        <v>25-34</v>
      </c>
      <c r="C557" s="1" t="s">
        <v>38</v>
      </c>
      <c r="D557" s="17">
        <f>IF(Table1[[#This Row],[Attrition]]="Yes",1,0)</f>
        <v>0</v>
      </c>
      <c r="E557" t="s">
        <v>57</v>
      </c>
      <c r="F557" s="2">
        <v>1090</v>
      </c>
      <c r="G557" t="s">
        <v>33</v>
      </c>
      <c r="H557">
        <v>10</v>
      </c>
      <c r="I557">
        <v>3</v>
      </c>
      <c r="J557" t="str">
        <f t="shared" si="17"/>
        <v>Bachelor</v>
      </c>
      <c r="K557" t="s">
        <v>53</v>
      </c>
      <c r="L557">
        <v>4</v>
      </c>
      <c r="M557" t="s">
        <v>40</v>
      </c>
      <c r="N557" s="2">
        <v>83</v>
      </c>
      <c r="O557">
        <v>3</v>
      </c>
      <c r="P557">
        <v>1</v>
      </c>
      <c r="Q557" t="s">
        <v>51</v>
      </c>
      <c r="R557">
        <v>2</v>
      </c>
      <c r="S557" t="s">
        <v>46</v>
      </c>
      <c r="T557" s="2">
        <v>2297</v>
      </c>
      <c r="U557" s="2">
        <v>17967</v>
      </c>
      <c r="V557">
        <v>1</v>
      </c>
      <c r="W557" t="s">
        <v>38</v>
      </c>
      <c r="X557">
        <v>14</v>
      </c>
      <c r="Y557">
        <v>3</v>
      </c>
      <c r="Z557">
        <v>4</v>
      </c>
      <c r="AA557">
        <v>80</v>
      </c>
      <c r="AB557">
        <v>2</v>
      </c>
      <c r="AC557">
        <v>2</v>
      </c>
      <c r="AD557">
        <v>2</v>
      </c>
      <c r="AE557">
        <v>3</v>
      </c>
      <c r="AF557">
        <v>2</v>
      </c>
      <c r="AG557">
        <v>2</v>
      </c>
      <c r="AH557">
        <v>2</v>
      </c>
      <c r="AI557">
        <v>2</v>
      </c>
    </row>
    <row r="558" spans="1:35" x14ac:dyDescent="0.25">
      <c r="A558">
        <v>53</v>
      </c>
      <c r="B558" t="str">
        <f t="shared" si="16"/>
        <v>45-54</v>
      </c>
      <c r="C558" s="1" t="s">
        <v>38</v>
      </c>
      <c r="D558" s="17">
        <f>IF(Table1[[#This Row],[Attrition]]="Yes",1,0)</f>
        <v>0</v>
      </c>
      <c r="E558" t="s">
        <v>57</v>
      </c>
      <c r="F558" s="2">
        <v>346</v>
      </c>
      <c r="G558" t="s">
        <v>39</v>
      </c>
      <c r="H558">
        <v>6</v>
      </c>
      <c r="I558">
        <v>3</v>
      </c>
      <c r="J558" t="str">
        <f t="shared" si="17"/>
        <v>Bachelor</v>
      </c>
      <c r="K558" t="s">
        <v>34</v>
      </c>
      <c r="L558">
        <v>4</v>
      </c>
      <c r="M558" t="s">
        <v>40</v>
      </c>
      <c r="N558" s="2">
        <v>86</v>
      </c>
      <c r="O558">
        <v>3</v>
      </c>
      <c r="P558">
        <v>2</v>
      </c>
      <c r="Q558" t="s">
        <v>44</v>
      </c>
      <c r="R558">
        <v>4</v>
      </c>
      <c r="S558" t="s">
        <v>37</v>
      </c>
      <c r="T558" s="2">
        <v>2450</v>
      </c>
      <c r="U558" s="2">
        <v>10919</v>
      </c>
      <c r="V558">
        <v>2</v>
      </c>
      <c r="W558" t="s">
        <v>38</v>
      </c>
      <c r="X558">
        <v>17</v>
      </c>
      <c r="Y558">
        <v>3</v>
      </c>
      <c r="Z558">
        <v>4</v>
      </c>
      <c r="AA558">
        <v>80</v>
      </c>
      <c r="AB558">
        <v>0</v>
      </c>
      <c r="AC558">
        <v>19</v>
      </c>
      <c r="AD558">
        <v>4</v>
      </c>
      <c r="AE558">
        <v>3</v>
      </c>
      <c r="AF558">
        <v>2</v>
      </c>
      <c r="AG558">
        <v>2</v>
      </c>
      <c r="AH558">
        <v>2</v>
      </c>
      <c r="AI558">
        <v>2</v>
      </c>
    </row>
    <row r="559" spans="1:35" x14ac:dyDescent="0.25">
      <c r="A559">
        <v>35</v>
      </c>
      <c r="B559" t="str">
        <f t="shared" si="16"/>
        <v>35-44</v>
      </c>
      <c r="C559" s="1" t="s">
        <v>38</v>
      </c>
      <c r="D559" s="17">
        <f>IF(Table1[[#This Row],[Attrition]]="Yes",1,0)</f>
        <v>0</v>
      </c>
      <c r="E559" t="s">
        <v>49</v>
      </c>
      <c r="F559" s="2">
        <v>1225</v>
      </c>
      <c r="G559" t="s">
        <v>39</v>
      </c>
      <c r="H559">
        <v>2</v>
      </c>
      <c r="I559">
        <v>4</v>
      </c>
      <c r="J559" t="str">
        <f t="shared" si="17"/>
        <v>Master</v>
      </c>
      <c r="K559" t="s">
        <v>34</v>
      </c>
      <c r="L559">
        <v>4</v>
      </c>
      <c r="M559" t="s">
        <v>35</v>
      </c>
      <c r="N559" s="2">
        <v>61</v>
      </c>
      <c r="O559">
        <v>3</v>
      </c>
      <c r="P559">
        <v>2</v>
      </c>
      <c r="Q559" t="s">
        <v>48</v>
      </c>
      <c r="R559">
        <v>1</v>
      </c>
      <c r="S559" t="s">
        <v>46</v>
      </c>
      <c r="T559" s="2">
        <v>5093</v>
      </c>
      <c r="U559" s="2">
        <v>4761</v>
      </c>
      <c r="V559">
        <v>2</v>
      </c>
      <c r="W559" t="s">
        <v>38</v>
      </c>
      <c r="X559">
        <v>11</v>
      </c>
      <c r="Y559">
        <v>3</v>
      </c>
      <c r="Z559">
        <v>1</v>
      </c>
      <c r="AA559">
        <v>80</v>
      </c>
      <c r="AB559">
        <v>1</v>
      </c>
      <c r="AC559">
        <v>16</v>
      </c>
      <c r="AD559">
        <v>2</v>
      </c>
      <c r="AE559">
        <v>4</v>
      </c>
      <c r="AF559">
        <v>1</v>
      </c>
      <c r="AG559">
        <v>0</v>
      </c>
      <c r="AH559">
        <v>0</v>
      </c>
      <c r="AI559">
        <v>0</v>
      </c>
    </row>
    <row r="560" spans="1:35" x14ac:dyDescent="0.25">
      <c r="A560">
        <v>32</v>
      </c>
      <c r="B560" t="str">
        <f t="shared" si="16"/>
        <v>25-34</v>
      </c>
      <c r="C560" s="1" t="s">
        <v>38</v>
      </c>
      <c r="D560" s="17">
        <f>IF(Table1[[#This Row],[Attrition]]="Yes",1,0)</f>
        <v>0</v>
      </c>
      <c r="E560" t="s">
        <v>58</v>
      </c>
      <c r="F560" s="2">
        <v>430</v>
      </c>
      <c r="G560" t="s">
        <v>39</v>
      </c>
      <c r="H560">
        <v>24</v>
      </c>
      <c r="I560">
        <v>4</v>
      </c>
      <c r="J560" t="str">
        <f t="shared" si="17"/>
        <v>Master</v>
      </c>
      <c r="K560" t="s">
        <v>34</v>
      </c>
      <c r="L560">
        <v>1</v>
      </c>
      <c r="M560" t="s">
        <v>40</v>
      </c>
      <c r="N560" s="2">
        <v>80</v>
      </c>
      <c r="O560">
        <v>3</v>
      </c>
      <c r="P560">
        <v>2</v>
      </c>
      <c r="Q560" t="s">
        <v>44</v>
      </c>
      <c r="R560">
        <v>4</v>
      </c>
      <c r="S560" t="s">
        <v>42</v>
      </c>
      <c r="T560" s="2">
        <v>5309</v>
      </c>
      <c r="U560" s="2">
        <v>21146</v>
      </c>
      <c r="V560">
        <v>1</v>
      </c>
      <c r="W560" t="s">
        <v>38</v>
      </c>
      <c r="X560">
        <v>15</v>
      </c>
      <c r="Y560">
        <v>3</v>
      </c>
      <c r="Z560">
        <v>4</v>
      </c>
      <c r="AA560">
        <v>80</v>
      </c>
      <c r="AB560">
        <v>2</v>
      </c>
      <c r="AC560">
        <v>10</v>
      </c>
      <c r="AD560">
        <v>2</v>
      </c>
      <c r="AE560">
        <v>3</v>
      </c>
      <c r="AF560">
        <v>10</v>
      </c>
      <c r="AG560">
        <v>8</v>
      </c>
      <c r="AH560">
        <v>4</v>
      </c>
      <c r="AI560">
        <v>7</v>
      </c>
    </row>
    <row r="561" spans="1:35" x14ac:dyDescent="0.25">
      <c r="A561">
        <v>38</v>
      </c>
      <c r="B561" t="str">
        <f t="shared" si="16"/>
        <v>35-44</v>
      </c>
      <c r="C561" s="1" t="s">
        <v>38</v>
      </c>
      <c r="D561" s="17">
        <f>IF(Table1[[#This Row],[Attrition]]="Yes",1,0)</f>
        <v>0</v>
      </c>
      <c r="E561" t="s">
        <v>57</v>
      </c>
      <c r="F561" s="2">
        <v>268</v>
      </c>
      <c r="G561" t="s">
        <v>39</v>
      </c>
      <c r="H561">
        <v>2</v>
      </c>
      <c r="I561">
        <v>5</v>
      </c>
      <c r="J561" t="str">
        <f t="shared" si="17"/>
        <v>Doctor</v>
      </c>
      <c r="K561" t="s">
        <v>45</v>
      </c>
      <c r="L561">
        <v>4</v>
      </c>
      <c r="M561" t="s">
        <v>40</v>
      </c>
      <c r="N561" s="2">
        <v>92</v>
      </c>
      <c r="O561">
        <v>3</v>
      </c>
      <c r="P561">
        <v>1</v>
      </c>
      <c r="Q561" t="s">
        <v>41</v>
      </c>
      <c r="R561">
        <v>3</v>
      </c>
      <c r="S561" t="s">
        <v>42</v>
      </c>
      <c r="T561" s="2">
        <v>3057</v>
      </c>
      <c r="U561" s="2">
        <v>20471</v>
      </c>
      <c r="V561">
        <v>6</v>
      </c>
      <c r="W561" t="s">
        <v>32</v>
      </c>
      <c r="X561">
        <v>13</v>
      </c>
      <c r="Y561">
        <v>3</v>
      </c>
      <c r="Z561">
        <v>2</v>
      </c>
      <c r="AA561">
        <v>80</v>
      </c>
      <c r="AB561">
        <v>1</v>
      </c>
      <c r="AC561">
        <v>6</v>
      </c>
      <c r="AD561">
        <v>0</v>
      </c>
      <c r="AE561">
        <v>1</v>
      </c>
      <c r="AF561">
        <v>1</v>
      </c>
      <c r="AG561">
        <v>0</v>
      </c>
      <c r="AH561">
        <v>0</v>
      </c>
      <c r="AI561">
        <v>1</v>
      </c>
    </row>
    <row r="562" spans="1:35" x14ac:dyDescent="0.25">
      <c r="A562">
        <v>34</v>
      </c>
      <c r="B562" t="str">
        <f t="shared" si="16"/>
        <v>25-34</v>
      </c>
      <c r="C562" s="1" t="s">
        <v>38</v>
      </c>
      <c r="D562" s="17">
        <f>IF(Table1[[#This Row],[Attrition]]="Yes",1,0)</f>
        <v>0</v>
      </c>
      <c r="E562" t="s">
        <v>57</v>
      </c>
      <c r="F562" s="2">
        <v>167</v>
      </c>
      <c r="G562" t="s">
        <v>39</v>
      </c>
      <c r="H562">
        <v>8</v>
      </c>
      <c r="I562">
        <v>5</v>
      </c>
      <c r="J562" t="str">
        <f t="shared" si="17"/>
        <v>Doctor</v>
      </c>
      <c r="K562" t="s">
        <v>34</v>
      </c>
      <c r="L562">
        <v>2</v>
      </c>
      <c r="M562" t="s">
        <v>35</v>
      </c>
      <c r="N562" s="2">
        <v>32</v>
      </c>
      <c r="O562">
        <v>3</v>
      </c>
      <c r="P562">
        <v>2</v>
      </c>
      <c r="Q562" t="s">
        <v>47</v>
      </c>
      <c r="R562">
        <v>1</v>
      </c>
      <c r="S562" t="s">
        <v>46</v>
      </c>
      <c r="T562" s="2">
        <v>5121</v>
      </c>
      <c r="U562" s="2">
        <v>4187</v>
      </c>
      <c r="V562">
        <v>3</v>
      </c>
      <c r="W562" t="s">
        <v>38</v>
      </c>
      <c r="X562">
        <v>14</v>
      </c>
      <c r="Y562">
        <v>3</v>
      </c>
      <c r="Z562">
        <v>3</v>
      </c>
      <c r="AA562">
        <v>80</v>
      </c>
      <c r="AB562">
        <v>1</v>
      </c>
      <c r="AC562">
        <v>7</v>
      </c>
      <c r="AD562">
        <v>3</v>
      </c>
      <c r="AE562">
        <v>3</v>
      </c>
      <c r="AF562">
        <v>0</v>
      </c>
      <c r="AG562">
        <v>0</v>
      </c>
      <c r="AH562">
        <v>0</v>
      </c>
      <c r="AI562">
        <v>0</v>
      </c>
    </row>
    <row r="563" spans="1:35" x14ac:dyDescent="0.25">
      <c r="A563">
        <v>52</v>
      </c>
      <c r="B563" t="str">
        <f t="shared" si="16"/>
        <v>45-54</v>
      </c>
      <c r="C563" s="1" t="s">
        <v>38</v>
      </c>
      <c r="D563" s="17">
        <f>IF(Table1[[#This Row],[Attrition]]="Yes",1,0)</f>
        <v>0</v>
      </c>
      <c r="E563" t="s">
        <v>57</v>
      </c>
      <c r="F563" s="2">
        <v>621</v>
      </c>
      <c r="G563" t="s">
        <v>33</v>
      </c>
      <c r="H563">
        <v>3</v>
      </c>
      <c r="I563">
        <v>4</v>
      </c>
      <c r="J563" t="str">
        <f t="shared" si="17"/>
        <v>Master</v>
      </c>
      <c r="K563" t="s">
        <v>53</v>
      </c>
      <c r="L563">
        <v>3</v>
      </c>
      <c r="M563" t="s">
        <v>40</v>
      </c>
      <c r="N563" s="2">
        <v>31</v>
      </c>
      <c r="O563">
        <v>2</v>
      </c>
      <c r="P563">
        <v>4</v>
      </c>
      <c r="Q563" t="s">
        <v>50</v>
      </c>
      <c r="R563">
        <v>1</v>
      </c>
      <c r="S563" t="s">
        <v>42</v>
      </c>
      <c r="T563" s="2">
        <v>16856</v>
      </c>
      <c r="U563" s="2">
        <v>10084</v>
      </c>
      <c r="V563">
        <v>1</v>
      </c>
      <c r="W563" t="s">
        <v>38</v>
      </c>
      <c r="X563">
        <v>11</v>
      </c>
      <c r="Y563">
        <v>3</v>
      </c>
      <c r="Z563">
        <v>1</v>
      </c>
      <c r="AA563">
        <v>80</v>
      </c>
      <c r="AB563">
        <v>0</v>
      </c>
      <c r="AC563">
        <v>34</v>
      </c>
      <c r="AD563">
        <v>3</v>
      </c>
      <c r="AE563">
        <v>4</v>
      </c>
      <c r="AF563">
        <v>34</v>
      </c>
      <c r="AG563">
        <v>6</v>
      </c>
      <c r="AH563">
        <v>1</v>
      </c>
      <c r="AI563">
        <v>16</v>
      </c>
    </row>
    <row r="564" spans="1:35" x14ac:dyDescent="0.25">
      <c r="A564">
        <v>33</v>
      </c>
      <c r="B564" t="str">
        <f t="shared" si="16"/>
        <v>25-34</v>
      </c>
      <c r="C564" s="1" t="s">
        <v>32</v>
      </c>
      <c r="D564" s="17">
        <f>IF(Table1[[#This Row],[Attrition]]="Yes",1,0)</f>
        <v>1</v>
      </c>
      <c r="E564" t="s">
        <v>57</v>
      </c>
      <c r="F564" s="2">
        <v>527</v>
      </c>
      <c r="G564" t="s">
        <v>39</v>
      </c>
      <c r="H564">
        <v>1</v>
      </c>
      <c r="I564">
        <v>4</v>
      </c>
      <c r="J564" t="str">
        <f t="shared" si="17"/>
        <v>Master</v>
      </c>
      <c r="K564" t="s">
        <v>43</v>
      </c>
      <c r="L564">
        <v>4</v>
      </c>
      <c r="M564" t="s">
        <v>40</v>
      </c>
      <c r="N564" s="2">
        <v>63</v>
      </c>
      <c r="O564">
        <v>3</v>
      </c>
      <c r="P564">
        <v>1</v>
      </c>
      <c r="Q564" t="s">
        <v>41</v>
      </c>
      <c r="R564">
        <v>4</v>
      </c>
      <c r="S564" t="s">
        <v>37</v>
      </c>
      <c r="T564" s="2">
        <v>2686</v>
      </c>
      <c r="U564" s="2">
        <v>5207</v>
      </c>
      <c r="V564">
        <v>1</v>
      </c>
      <c r="W564" t="s">
        <v>32</v>
      </c>
      <c r="X564">
        <v>13</v>
      </c>
      <c r="Y564">
        <v>3</v>
      </c>
      <c r="Z564">
        <v>3</v>
      </c>
      <c r="AA564">
        <v>80</v>
      </c>
      <c r="AB564">
        <v>0</v>
      </c>
      <c r="AC564">
        <v>10</v>
      </c>
      <c r="AD564">
        <v>2</v>
      </c>
      <c r="AE564">
        <v>2</v>
      </c>
      <c r="AF564">
        <v>10</v>
      </c>
      <c r="AG564">
        <v>9</v>
      </c>
      <c r="AH564">
        <v>7</v>
      </c>
      <c r="AI564">
        <v>8</v>
      </c>
    </row>
    <row r="565" spans="1:35" x14ac:dyDescent="0.25">
      <c r="A565">
        <v>25</v>
      </c>
      <c r="B565" t="str">
        <f t="shared" si="16"/>
        <v>25-34</v>
      </c>
      <c r="C565" s="1" t="s">
        <v>38</v>
      </c>
      <c r="D565" s="17">
        <f>IF(Table1[[#This Row],[Attrition]]="Yes",1,0)</f>
        <v>0</v>
      </c>
      <c r="E565" t="s">
        <v>57</v>
      </c>
      <c r="F565" s="2">
        <v>883</v>
      </c>
      <c r="G565" t="s">
        <v>33</v>
      </c>
      <c r="H565">
        <v>26</v>
      </c>
      <c r="I565">
        <v>1</v>
      </c>
      <c r="J565" t="str">
        <f t="shared" si="17"/>
        <v>Below College</v>
      </c>
      <c r="K565" t="s">
        <v>45</v>
      </c>
      <c r="L565">
        <v>3</v>
      </c>
      <c r="M565" t="s">
        <v>35</v>
      </c>
      <c r="N565" s="2">
        <v>32</v>
      </c>
      <c r="O565">
        <v>3</v>
      </c>
      <c r="P565">
        <v>2</v>
      </c>
      <c r="Q565" t="s">
        <v>36</v>
      </c>
      <c r="R565">
        <v>4</v>
      </c>
      <c r="S565" t="s">
        <v>37</v>
      </c>
      <c r="T565" s="2">
        <v>6180</v>
      </c>
      <c r="U565" s="2">
        <v>22807</v>
      </c>
      <c r="V565">
        <v>1</v>
      </c>
      <c r="W565" t="s">
        <v>38</v>
      </c>
      <c r="X565">
        <v>23</v>
      </c>
      <c r="Y565">
        <v>4</v>
      </c>
      <c r="Z565">
        <v>2</v>
      </c>
      <c r="AA565">
        <v>80</v>
      </c>
      <c r="AB565">
        <v>0</v>
      </c>
      <c r="AC565">
        <v>6</v>
      </c>
      <c r="AD565">
        <v>5</v>
      </c>
      <c r="AE565">
        <v>2</v>
      </c>
      <c r="AF565">
        <v>6</v>
      </c>
      <c r="AG565">
        <v>5</v>
      </c>
      <c r="AH565">
        <v>1</v>
      </c>
      <c r="AI565">
        <v>4</v>
      </c>
    </row>
    <row r="566" spans="1:35" x14ac:dyDescent="0.25">
      <c r="A566">
        <v>45</v>
      </c>
      <c r="B566" t="str">
        <f t="shared" si="16"/>
        <v>45-54</v>
      </c>
      <c r="C566" s="1" t="s">
        <v>38</v>
      </c>
      <c r="D566" s="17">
        <f>IF(Table1[[#This Row],[Attrition]]="Yes",1,0)</f>
        <v>0</v>
      </c>
      <c r="E566" t="s">
        <v>57</v>
      </c>
      <c r="F566" s="2">
        <v>954</v>
      </c>
      <c r="G566" t="s">
        <v>33</v>
      </c>
      <c r="H566">
        <v>2</v>
      </c>
      <c r="I566">
        <v>2</v>
      </c>
      <c r="J566" t="str">
        <f t="shared" si="17"/>
        <v>College</v>
      </c>
      <c r="K566" t="s">
        <v>54</v>
      </c>
      <c r="L566">
        <v>2</v>
      </c>
      <c r="M566" t="s">
        <v>40</v>
      </c>
      <c r="N566" s="2">
        <v>46</v>
      </c>
      <c r="O566">
        <v>1</v>
      </c>
      <c r="P566">
        <v>2</v>
      </c>
      <c r="Q566" t="s">
        <v>51</v>
      </c>
      <c r="R566">
        <v>3</v>
      </c>
      <c r="S566" t="s">
        <v>37</v>
      </c>
      <c r="T566" s="2">
        <v>6632</v>
      </c>
      <c r="U566" s="2">
        <v>12388</v>
      </c>
      <c r="V566">
        <v>0</v>
      </c>
      <c r="W566" t="s">
        <v>38</v>
      </c>
      <c r="X566">
        <v>13</v>
      </c>
      <c r="Y566">
        <v>3</v>
      </c>
      <c r="Z566">
        <v>1</v>
      </c>
      <c r="AA566">
        <v>80</v>
      </c>
      <c r="AB566">
        <v>0</v>
      </c>
      <c r="AC566">
        <v>9</v>
      </c>
      <c r="AD566">
        <v>3</v>
      </c>
      <c r="AE566">
        <v>3</v>
      </c>
      <c r="AF566">
        <v>8</v>
      </c>
      <c r="AG566">
        <v>7</v>
      </c>
      <c r="AH566">
        <v>3</v>
      </c>
      <c r="AI566">
        <v>1</v>
      </c>
    </row>
    <row r="567" spans="1:35" x14ac:dyDescent="0.25">
      <c r="A567">
        <v>23</v>
      </c>
      <c r="B567" t="str">
        <f t="shared" si="16"/>
        <v>18-24</v>
      </c>
      <c r="C567" s="1" t="s">
        <v>38</v>
      </c>
      <c r="D567" s="17">
        <f>IF(Table1[[#This Row],[Attrition]]="Yes",1,0)</f>
        <v>0</v>
      </c>
      <c r="E567" t="s">
        <v>57</v>
      </c>
      <c r="F567" s="2">
        <v>310</v>
      </c>
      <c r="G567" t="s">
        <v>39</v>
      </c>
      <c r="H567">
        <v>10</v>
      </c>
      <c r="I567">
        <v>1</v>
      </c>
      <c r="J567" t="str">
        <f t="shared" si="17"/>
        <v>Below College</v>
      </c>
      <c r="K567" t="s">
        <v>45</v>
      </c>
      <c r="L567">
        <v>1</v>
      </c>
      <c r="M567" t="s">
        <v>40</v>
      </c>
      <c r="N567" s="2">
        <v>79</v>
      </c>
      <c r="O567">
        <v>4</v>
      </c>
      <c r="P567">
        <v>1</v>
      </c>
      <c r="Q567" t="s">
        <v>41</v>
      </c>
      <c r="R567">
        <v>3</v>
      </c>
      <c r="S567" t="s">
        <v>37</v>
      </c>
      <c r="T567" s="2">
        <v>3505</v>
      </c>
      <c r="U567" s="2">
        <v>19630</v>
      </c>
      <c r="V567">
        <v>1</v>
      </c>
      <c r="W567" t="s">
        <v>38</v>
      </c>
      <c r="X567">
        <v>18</v>
      </c>
      <c r="Y567">
        <v>3</v>
      </c>
      <c r="Z567">
        <v>4</v>
      </c>
      <c r="AA567">
        <v>80</v>
      </c>
      <c r="AB567">
        <v>0</v>
      </c>
      <c r="AC567">
        <v>2</v>
      </c>
      <c r="AD567">
        <v>3</v>
      </c>
      <c r="AE567">
        <v>3</v>
      </c>
      <c r="AF567">
        <v>2</v>
      </c>
      <c r="AG567">
        <v>2</v>
      </c>
      <c r="AH567">
        <v>0</v>
      </c>
      <c r="AI567">
        <v>2</v>
      </c>
    </row>
    <row r="568" spans="1:35" x14ac:dyDescent="0.25">
      <c r="A568">
        <v>47</v>
      </c>
      <c r="B568" t="str">
        <f t="shared" si="16"/>
        <v>45-54</v>
      </c>
      <c r="C568" s="1" t="s">
        <v>32</v>
      </c>
      <c r="D568" s="17">
        <f>IF(Table1[[#This Row],[Attrition]]="Yes",1,0)</f>
        <v>1</v>
      </c>
      <c r="E568" t="s">
        <v>58</v>
      </c>
      <c r="F568" s="2">
        <v>719</v>
      </c>
      <c r="G568" t="s">
        <v>33</v>
      </c>
      <c r="H568">
        <v>27</v>
      </c>
      <c r="I568">
        <v>2</v>
      </c>
      <c r="J568" t="str">
        <f t="shared" si="17"/>
        <v>College</v>
      </c>
      <c r="K568" t="s">
        <v>34</v>
      </c>
      <c r="L568">
        <v>2</v>
      </c>
      <c r="M568" t="s">
        <v>35</v>
      </c>
      <c r="N568" s="2">
        <v>77</v>
      </c>
      <c r="O568">
        <v>4</v>
      </c>
      <c r="P568">
        <v>2</v>
      </c>
      <c r="Q568" t="s">
        <v>36</v>
      </c>
      <c r="R568">
        <v>3</v>
      </c>
      <c r="S568" t="s">
        <v>37</v>
      </c>
      <c r="T568" s="2">
        <v>6397</v>
      </c>
      <c r="U568" s="2">
        <v>10339</v>
      </c>
      <c r="V568">
        <v>4</v>
      </c>
      <c r="W568" t="s">
        <v>32</v>
      </c>
      <c r="X568">
        <v>12</v>
      </c>
      <c r="Y568">
        <v>3</v>
      </c>
      <c r="Z568">
        <v>4</v>
      </c>
      <c r="AA568">
        <v>80</v>
      </c>
      <c r="AB568">
        <v>0</v>
      </c>
      <c r="AC568">
        <v>8</v>
      </c>
      <c r="AD568">
        <v>2</v>
      </c>
      <c r="AE568">
        <v>3</v>
      </c>
      <c r="AF568">
        <v>5</v>
      </c>
      <c r="AG568">
        <v>4</v>
      </c>
      <c r="AH568">
        <v>1</v>
      </c>
      <c r="AI568">
        <v>3</v>
      </c>
    </row>
    <row r="569" spans="1:35" x14ac:dyDescent="0.25">
      <c r="A569">
        <v>34</v>
      </c>
      <c r="B569" t="str">
        <f t="shared" si="16"/>
        <v>25-34</v>
      </c>
      <c r="C569" s="1" t="s">
        <v>38</v>
      </c>
      <c r="D569" s="17">
        <f>IF(Table1[[#This Row],[Attrition]]="Yes",1,0)</f>
        <v>0</v>
      </c>
      <c r="E569" t="s">
        <v>57</v>
      </c>
      <c r="F569" s="2">
        <v>304</v>
      </c>
      <c r="G569" t="s">
        <v>33</v>
      </c>
      <c r="H569">
        <v>2</v>
      </c>
      <c r="I569">
        <v>3</v>
      </c>
      <c r="J569" t="str">
        <f t="shared" si="17"/>
        <v>Bachelor</v>
      </c>
      <c r="K569" t="s">
        <v>43</v>
      </c>
      <c r="L569">
        <v>4</v>
      </c>
      <c r="M569" t="s">
        <v>40</v>
      </c>
      <c r="N569" s="2">
        <v>60</v>
      </c>
      <c r="O569">
        <v>3</v>
      </c>
      <c r="P569">
        <v>2</v>
      </c>
      <c r="Q569" t="s">
        <v>36</v>
      </c>
      <c r="R569">
        <v>4</v>
      </c>
      <c r="S569" t="s">
        <v>37</v>
      </c>
      <c r="T569" s="2">
        <v>6274</v>
      </c>
      <c r="U569" s="2">
        <v>18686</v>
      </c>
      <c r="V569">
        <v>1</v>
      </c>
      <c r="W569" t="s">
        <v>38</v>
      </c>
      <c r="X569">
        <v>22</v>
      </c>
      <c r="Y569">
        <v>4</v>
      </c>
      <c r="Z569">
        <v>3</v>
      </c>
      <c r="AA569">
        <v>80</v>
      </c>
      <c r="AB569">
        <v>0</v>
      </c>
      <c r="AC569">
        <v>6</v>
      </c>
      <c r="AD569">
        <v>5</v>
      </c>
      <c r="AE569">
        <v>3</v>
      </c>
      <c r="AF569">
        <v>6</v>
      </c>
      <c r="AG569">
        <v>5</v>
      </c>
      <c r="AH569">
        <v>1</v>
      </c>
      <c r="AI569">
        <v>4</v>
      </c>
    </row>
    <row r="570" spans="1:35" x14ac:dyDescent="0.25">
      <c r="A570">
        <v>55</v>
      </c>
      <c r="B570" t="str">
        <f t="shared" si="16"/>
        <v>55-64</v>
      </c>
      <c r="C570" s="1" t="s">
        <v>32</v>
      </c>
      <c r="D570" s="17">
        <f>IF(Table1[[#This Row],[Attrition]]="Yes",1,0)</f>
        <v>1</v>
      </c>
      <c r="E570" t="s">
        <v>57</v>
      </c>
      <c r="F570" s="2">
        <v>725</v>
      </c>
      <c r="G570" t="s">
        <v>39</v>
      </c>
      <c r="H570">
        <v>2</v>
      </c>
      <c r="I570">
        <v>3</v>
      </c>
      <c r="J570" t="str">
        <f t="shared" si="17"/>
        <v>Bachelor</v>
      </c>
      <c r="K570" t="s">
        <v>45</v>
      </c>
      <c r="L570">
        <v>4</v>
      </c>
      <c r="M570" t="s">
        <v>40</v>
      </c>
      <c r="N570" s="2">
        <v>78</v>
      </c>
      <c r="O570">
        <v>3</v>
      </c>
      <c r="P570">
        <v>5</v>
      </c>
      <c r="Q570" t="s">
        <v>50</v>
      </c>
      <c r="R570">
        <v>1</v>
      </c>
      <c r="S570" t="s">
        <v>42</v>
      </c>
      <c r="T570" s="2">
        <v>19859</v>
      </c>
      <c r="U570" s="2">
        <v>21199</v>
      </c>
      <c r="V570">
        <v>5</v>
      </c>
      <c r="W570" t="s">
        <v>32</v>
      </c>
      <c r="X570">
        <v>13</v>
      </c>
      <c r="Y570">
        <v>3</v>
      </c>
      <c r="Z570">
        <v>4</v>
      </c>
      <c r="AA570">
        <v>80</v>
      </c>
      <c r="AB570">
        <v>1</v>
      </c>
      <c r="AC570">
        <v>24</v>
      </c>
      <c r="AD570">
        <v>2</v>
      </c>
      <c r="AE570">
        <v>3</v>
      </c>
      <c r="AF570">
        <v>5</v>
      </c>
      <c r="AG570">
        <v>2</v>
      </c>
      <c r="AH570">
        <v>1</v>
      </c>
      <c r="AI570">
        <v>4</v>
      </c>
    </row>
    <row r="571" spans="1:35" x14ac:dyDescent="0.25">
      <c r="A571">
        <v>36</v>
      </c>
      <c r="B571" t="str">
        <f t="shared" si="16"/>
        <v>35-44</v>
      </c>
      <c r="C571" s="1" t="s">
        <v>38</v>
      </c>
      <c r="D571" s="17">
        <f>IF(Table1[[#This Row],[Attrition]]="Yes",1,0)</f>
        <v>0</v>
      </c>
      <c r="E571" t="s">
        <v>49</v>
      </c>
      <c r="F571" s="2">
        <v>1434</v>
      </c>
      <c r="G571" t="s">
        <v>33</v>
      </c>
      <c r="H571">
        <v>8</v>
      </c>
      <c r="I571">
        <v>4</v>
      </c>
      <c r="J571" t="str">
        <f t="shared" si="17"/>
        <v>Master</v>
      </c>
      <c r="K571" t="s">
        <v>34</v>
      </c>
      <c r="L571">
        <v>1</v>
      </c>
      <c r="M571" t="s">
        <v>40</v>
      </c>
      <c r="N571" s="2">
        <v>76</v>
      </c>
      <c r="O571">
        <v>2</v>
      </c>
      <c r="P571">
        <v>3</v>
      </c>
      <c r="Q571" t="s">
        <v>36</v>
      </c>
      <c r="R571">
        <v>1</v>
      </c>
      <c r="S571" t="s">
        <v>37</v>
      </c>
      <c r="T571" s="2">
        <v>7587</v>
      </c>
      <c r="U571" s="2">
        <v>14229</v>
      </c>
      <c r="V571">
        <v>1</v>
      </c>
      <c r="W571" t="s">
        <v>38</v>
      </c>
      <c r="X571">
        <v>15</v>
      </c>
      <c r="Y571">
        <v>3</v>
      </c>
      <c r="Z571">
        <v>2</v>
      </c>
      <c r="AA571">
        <v>80</v>
      </c>
      <c r="AB571">
        <v>0</v>
      </c>
      <c r="AC571">
        <v>10</v>
      </c>
      <c r="AD571">
        <v>1</v>
      </c>
      <c r="AE571">
        <v>3</v>
      </c>
      <c r="AF571">
        <v>10</v>
      </c>
      <c r="AG571">
        <v>7</v>
      </c>
      <c r="AH571">
        <v>0</v>
      </c>
      <c r="AI571">
        <v>9</v>
      </c>
    </row>
    <row r="572" spans="1:35" x14ac:dyDescent="0.25">
      <c r="A572">
        <v>52</v>
      </c>
      <c r="B572" t="str">
        <f t="shared" si="16"/>
        <v>45-54</v>
      </c>
      <c r="C572" s="1" t="s">
        <v>38</v>
      </c>
      <c r="D572" s="17">
        <f>IF(Table1[[#This Row],[Attrition]]="Yes",1,0)</f>
        <v>0</v>
      </c>
      <c r="E572" t="s">
        <v>49</v>
      </c>
      <c r="F572" s="2">
        <v>715</v>
      </c>
      <c r="G572" t="s">
        <v>39</v>
      </c>
      <c r="H572">
        <v>19</v>
      </c>
      <c r="I572">
        <v>4</v>
      </c>
      <c r="J572" t="str">
        <f t="shared" si="17"/>
        <v>Master</v>
      </c>
      <c r="K572" t="s">
        <v>45</v>
      </c>
      <c r="L572">
        <v>4</v>
      </c>
      <c r="M572" t="s">
        <v>40</v>
      </c>
      <c r="N572" s="2">
        <v>41</v>
      </c>
      <c r="O572">
        <v>3</v>
      </c>
      <c r="P572">
        <v>1</v>
      </c>
      <c r="Q572" t="s">
        <v>41</v>
      </c>
      <c r="R572">
        <v>4</v>
      </c>
      <c r="S572" t="s">
        <v>42</v>
      </c>
      <c r="T572" s="2">
        <v>4258</v>
      </c>
      <c r="U572" s="2">
        <v>26589</v>
      </c>
      <c r="V572">
        <v>0</v>
      </c>
      <c r="W572" t="s">
        <v>38</v>
      </c>
      <c r="X572">
        <v>18</v>
      </c>
      <c r="Y572">
        <v>3</v>
      </c>
      <c r="Z572">
        <v>1</v>
      </c>
      <c r="AA572">
        <v>80</v>
      </c>
      <c r="AB572">
        <v>1</v>
      </c>
      <c r="AC572">
        <v>5</v>
      </c>
      <c r="AD572">
        <v>3</v>
      </c>
      <c r="AE572">
        <v>3</v>
      </c>
      <c r="AF572">
        <v>4</v>
      </c>
      <c r="AG572">
        <v>3</v>
      </c>
      <c r="AH572">
        <v>1</v>
      </c>
      <c r="AI572">
        <v>2</v>
      </c>
    </row>
    <row r="573" spans="1:35" x14ac:dyDescent="0.25">
      <c r="A573">
        <v>26</v>
      </c>
      <c r="B573" t="str">
        <f t="shared" si="16"/>
        <v>25-34</v>
      </c>
      <c r="C573" s="1" t="s">
        <v>38</v>
      </c>
      <c r="D573" s="17">
        <f>IF(Table1[[#This Row],[Attrition]]="Yes",1,0)</f>
        <v>0</v>
      </c>
      <c r="E573" t="s">
        <v>58</v>
      </c>
      <c r="F573" s="2">
        <v>575</v>
      </c>
      <c r="G573" t="s">
        <v>39</v>
      </c>
      <c r="H573">
        <v>1</v>
      </c>
      <c r="I573">
        <v>2</v>
      </c>
      <c r="J573" t="str">
        <f t="shared" si="17"/>
        <v>College</v>
      </c>
      <c r="K573" t="s">
        <v>34</v>
      </c>
      <c r="L573">
        <v>1</v>
      </c>
      <c r="M573" t="s">
        <v>35</v>
      </c>
      <c r="N573" s="2">
        <v>71</v>
      </c>
      <c r="O573">
        <v>1</v>
      </c>
      <c r="P573">
        <v>1</v>
      </c>
      <c r="Q573" t="s">
        <v>44</v>
      </c>
      <c r="R573">
        <v>4</v>
      </c>
      <c r="S573" t="s">
        <v>46</v>
      </c>
      <c r="T573" s="2">
        <v>4364</v>
      </c>
      <c r="U573" s="2">
        <v>5288</v>
      </c>
      <c r="V573">
        <v>3</v>
      </c>
      <c r="W573" t="s">
        <v>38</v>
      </c>
      <c r="X573">
        <v>14</v>
      </c>
      <c r="Y573">
        <v>3</v>
      </c>
      <c r="Z573">
        <v>1</v>
      </c>
      <c r="AA573">
        <v>80</v>
      </c>
      <c r="AB573">
        <v>1</v>
      </c>
      <c r="AC573">
        <v>5</v>
      </c>
      <c r="AD573">
        <v>2</v>
      </c>
      <c r="AE573">
        <v>3</v>
      </c>
      <c r="AF573">
        <v>2</v>
      </c>
      <c r="AG573">
        <v>2</v>
      </c>
      <c r="AH573">
        <v>2</v>
      </c>
      <c r="AI573">
        <v>0</v>
      </c>
    </row>
    <row r="574" spans="1:35" x14ac:dyDescent="0.25">
      <c r="A574">
        <v>29</v>
      </c>
      <c r="B574" t="str">
        <f t="shared" si="16"/>
        <v>25-34</v>
      </c>
      <c r="C574" s="1" t="s">
        <v>38</v>
      </c>
      <c r="D574" s="17">
        <f>IF(Table1[[#This Row],[Attrition]]="Yes",1,0)</f>
        <v>0</v>
      </c>
      <c r="E574" t="s">
        <v>57</v>
      </c>
      <c r="F574" s="2">
        <v>657</v>
      </c>
      <c r="G574" t="s">
        <v>39</v>
      </c>
      <c r="H574">
        <v>27</v>
      </c>
      <c r="I574">
        <v>3</v>
      </c>
      <c r="J574" t="str">
        <f t="shared" si="17"/>
        <v>Bachelor</v>
      </c>
      <c r="K574" t="s">
        <v>45</v>
      </c>
      <c r="L574">
        <v>2</v>
      </c>
      <c r="M574" t="s">
        <v>35</v>
      </c>
      <c r="N574" s="2">
        <v>66</v>
      </c>
      <c r="O574">
        <v>3</v>
      </c>
      <c r="P574">
        <v>2</v>
      </c>
      <c r="Q574" t="s">
        <v>48</v>
      </c>
      <c r="R574">
        <v>3</v>
      </c>
      <c r="S574" t="s">
        <v>42</v>
      </c>
      <c r="T574" s="2">
        <v>4335</v>
      </c>
      <c r="U574" s="2">
        <v>25549</v>
      </c>
      <c r="V574">
        <v>4</v>
      </c>
      <c r="W574" t="s">
        <v>38</v>
      </c>
      <c r="X574">
        <v>12</v>
      </c>
      <c r="Y574">
        <v>3</v>
      </c>
      <c r="Z574">
        <v>1</v>
      </c>
      <c r="AA574">
        <v>80</v>
      </c>
      <c r="AB574">
        <v>1</v>
      </c>
      <c r="AC574">
        <v>11</v>
      </c>
      <c r="AD574">
        <v>3</v>
      </c>
      <c r="AE574">
        <v>2</v>
      </c>
      <c r="AF574">
        <v>8</v>
      </c>
      <c r="AG574">
        <v>7</v>
      </c>
      <c r="AH574">
        <v>1</v>
      </c>
      <c r="AI574">
        <v>1</v>
      </c>
    </row>
    <row r="575" spans="1:35" x14ac:dyDescent="0.25">
      <c r="A575">
        <v>26</v>
      </c>
      <c r="B575" t="str">
        <f t="shared" si="16"/>
        <v>25-34</v>
      </c>
      <c r="C575" s="1" t="s">
        <v>32</v>
      </c>
      <c r="D575" s="17">
        <f>IF(Table1[[#This Row],[Attrition]]="Yes",1,0)</f>
        <v>1</v>
      </c>
      <c r="E575" t="s">
        <v>57</v>
      </c>
      <c r="F575" s="2">
        <v>1146</v>
      </c>
      <c r="G575" t="s">
        <v>33</v>
      </c>
      <c r="H575">
        <v>8</v>
      </c>
      <c r="I575">
        <v>3</v>
      </c>
      <c r="J575" t="str">
        <f t="shared" si="17"/>
        <v>Bachelor</v>
      </c>
      <c r="K575" t="s">
        <v>54</v>
      </c>
      <c r="L575">
        <v>4</v>
      </c>
      <c r="M575" t="s">
        <v>40</v>
      </c>
      <c r="N575" s="2">
        <v>38</v>
      </c>
      <c r="O575">
        <v>2</v>
      </c>
      <c r="P575">
        <v>2</v>
      </c>
      <c r="Q575" t="s">
        <v>36</v>
      </c>
      <c r="R575">
        <v>1</v>
      </c>
      <c r="S575" t="s">
        <v>37</v>
      </c>
      <c r="T575" s="2">
        <v>5326</v>
      </c>
      <c r="U575" s="2">
        <v>3064</v>
      </c>
      <c r="V575">
        <v>6</v>
      </c>
      <c r="W575" t="s">
        <v>38</v>
      </c>
      <c r="X575">
        <v>17</v>
      </c>
      <c r="Y575">
        <v>3</v>
      </c>
      <c r="Z575">
        <v>3</v>
      </c>
      <c r="AA575">
        <v>80</v>
      </c>
      <c r="AB575">
        <v>0</v>
      </c>
      <c r="AC575">
        <v>6</v>
      </c>
      <c r="AD575">
        <v>2</v>
      </c>
      <c r="AE575">
        <v>2</v>
      </c>
      <c r="AF575">
        <v>4</v>
      </c>
      <c r="AG575">
        <v>3</v>
      </c>
      <c r="AH575">
        <v>1</v>
      </c>
      <c r="AI575">
        <v>2</v>
      </c>
    </row>
    <row r="576" spans="1:35" x14ac:dyDescent="0.25">
      <c r="A576">
        <v>34</v>
      </c>
      <c r="B576" t="str">
        <f t="shared" si="16"/>
        <v>25-34</v>
      </c>
      <c r="C576" s="1" t="s">
        <v>38</v>
      </c>
      <c r="D576" s="17">
        <f>IF(Table1[[#This Row],[Attrition]]="Yes",1,0)</f>
        <v>0</v>
      </c>
      <c r="E576" t="s">
        <v>57</v>
      </c>
      <c r="F576" s="2">
        <v>182</v>
      </c>
      <c r="G576" t="s">
        <v>39</v>
      </c>
      <c r="H576">
        <v>1</v>
      </c>
      <c r="I576">
        <v>4</v>
      </c>
      <c r="J576" t="str">
        <f t="shared" si="17"/>
        <v>Master</v>
      </c>
      <c r="K576" t="s">
        <v>34</v>
      </c>
      <c r="L576">
        <v>2</v>
      </c>
      <c r="M576" t="s">
        <v>35</v>
      </c>
      <c r="N576" s="2">
        <v>72</v>
      </c>
      <c r="O576">
        <v>4</v>
      </c>
      <c r="P576">
        <v>1</v>
      </c>
      <c r="Q576" t="s">
        <v>41</v>
      </c>
      <c r="R576">
        <v>4</v>
      </c>
      <c r="S576" t="s">
        <v>37</v>
      </c>
      <c r="T576" s="2">
        <v>3280</v>
      </c>
      <c r="U576" s="2">
        <v>13551</v>
      </c>
      <c r="V576">
        <v>2</v>
      </c>
      <c r="W576" t="s">
        <v>38</v>
      </c>
      <c r="X576">
        <v>16</v>
      </c>
      <c r="Y576">
        <v>3</v>
      </c>
      <c r="Z576">
        <v>3</v>
      </c>
      <c r="AA576">
        <v>80</v>
      </c>
      <c r="AB576">
        <v>0</v>
      </c>
      <c r="AC576">
        <v>10</v>
      </c>
      <c r="AD576">
        <v>2</v>
      </c>
      <c r="AE576">
        <v>3</v>
      </c>
      <c r="AF576">
        <v>4</v>
      </c>
      <c r="AG576">
        <v>2</v>
      </c>
      <c r="AH576">
        <v>1</v>
      </c>
      <c r="AI576">
        <v>3</v>
      </c>
    </row>
    <row r="577" spans="1:35" x14ac:dyDescent="0.25">
      <c r="A577">
        <v>54</v>
      </c>
      <c r="B577" t="str">
        <f t="shared" si="16"/>
        <v>45-54</v>
      </c>
      <c r="C577" s="1" t="s">
        <v>38</v>
      </c>
      <c r="D577" s="17">
        <f>IF(Table1[[#This Row],[Attrition]]="Yes",1,0)</f>
        <v>0</v>
      </c>
      <c r="E577" t="s">
        <v>57</v>
      </c>
      <c r="F577" s="2">
        <v>376</v>
      </c>
      <c r="G577" t="s">
        <v>39</v>
      </c>
      <c r="H577">
        <v>19</v>
      </c>
      <c r="I577">
        <v>4</v>
      </c>
      <c r="J577" t="str">
        <f t="shared" si="17"/>
        <v>Master</v>
      </c>
      <c r="K577" t="s">
        <v>45</v>
      </c>
      <c r="L577">
        <v>4</v>
      </c>
      <c r="M577" t="s">
        <v>35</v>
      </c>
      <c r="N577" s="2">
        <v>95</v>
      </c>
      <c r="O577">
        <v>3</v>
      </c>
      <c r="P577">
        <v>2</v>
      </c>
      <c r="Q577" t="s">
        <v>47</v>
      </c>
      <c r="R577">
        <v>1</v>
      </c>
      <c r="S577" t="s">
        <v>46</v>
      </c>
      <c r="T577" s="2">
        <v>5485</v>
      </c>
      <c r="U577" s="2">
        <v>22670</v>
      </c>
      <c r="V577">
        <v>9</v>
      </c>
      <c r="W577" t="s">
        <v>32</v>
      </c>
      <c r="X577">
        <v>11</v>
      </c>
      <c r="Y577">
        <v>3</v>
      </c>
      <c r="Z577">
        <v>2</v>
      </c>
      <c r="AA577">
        <v>80</v>
      </c>
      <c r="AB577">
        <v>2</v>
      </c>
      <c r="AC577">
        <v>9</v>
      </c>
      <c r="AD577">
        <v>4</v>
      </c>
      <c r="AE577">
        <v>3</v>
      </c>
      <c r="AF577">
        <v>5</v>
      </c>
      <c r="AG577">
        <v>3</v>
      </c>
      <c r="AH577">
        <v>1</v>
      </c>
      <c r="AI577">
        <v>4</v>
      </c>
    </row>
    <row r="578" spans="1:35" x14ac:dyDescent="0.25">
      <c r="A578">
        <v>27</v>
      </c>
      <c r="B578" t="str">
        <f t="shared" ref="B578:B641" si="18">IF(A578="","",IF(A578&lt;25,"18-24",
 IF(A578&lt;35,"25-34",
 IF(A578&lt;45,"35-44",
 IF(A578&lt;55,"45-54",
 IF(A578&lt;65,"55-64","65+"))))))</f>
        <v>25-34</v>
      </c>
      <c r="C578" s="1" t="s">
        <v>38</v>
      </c>
      <c r="D578" s="17">
        <f>IF(Table1[[#This Row],[Attrition]]="Yes",1,0)</f>
        <v>0</v>
      </c>
      <c r="E578" t="s">
        <v>58</v>
      </c>
      <c r="F578" s="2">
        <v>829</v>
      </c>
      <c r="G578" t="s">
        <v>33</v>
      </c>
      <c r="H578">
        <v>8</v>
      </c>
      <c r="I578">
        <v>1</v>
      </c>
      <c r="J578" t="str">
        <f t="shared" ref="J578:J641" si="19">CHOOSE(I578,"Below College","College","Bachelor","Master","Doctor")</f>
        <v>Below College</v>
      </c>
      <c r="K578" t="s">
        <v>53</v>
      </c>
      <c r="L578">
        <v>3</v>
      </c>
      <c r="M578" t="s">
        <v>40</v>
      </c>
      <c r="N578" s="2">
        <v>84</v>
      </c>
      <c r="O578">
        <v>3</v>
      </c>
      <c r="P578">
        <v>2</v>
      </c>
      <c r="Q578" t="s">
        <v>36</v>
      </c>
      <c r="R578">
        <v>4</v>
      </c>
      <c r="S578" t="s">
        <v>42</v>
      </c>
      <c r="T578" s="2">
        <v>4342</v>
      </c>
      <c r="U578" s="2">
        <v>24008</v>
      </c>
      <c r="V578">
        <v>0</v>
      </c>
      <c r="W578" t="s">
        <v>38</v>
      </c>
      <c r="X578">
        <v>19</v>
      </c>
      <c r="Y578">
        <v>3</v>
      </c>
      <c r="Z578">
        <v>2</v>
      </c>
      <c r="AA578">
        <v>80</v>
      </c>
      <c r="AB578">
        <v>1</v>
      </c>
      <c r="AC578">
        <v>5</v>
      </c>
      <c r="AD578">
        <v>3</v>
      </c>
      <c r="AE578">
        <v>3</v>
      </c>
      <c r="AF578">
        <v>4</v>
      </c>
      <c r="AG578">
        <v>2</v>
      </c>
      <c r="AH578">
        <v>1</v>
      </c>
      <c r="AI578">
        <v>1</v>
      </c>
    </row>
    <row r="579" spans="1:35" x14ac:dyDescent="0.25">
      <c r="A579">
        <v>37</v>
      </c>
      <c r="B579" t="str">
        <f t="shared" si="18"/>
        <v>35-44</v>
      </c>
      <c r="C579" s="1" t="s">
        <v>38</v>
      </c>
      <c r="D579" s="17">
        <f>IF(Table1[[#This Row],[Attrition]]="Yes",1,0)</f>
        <v>0</v>
      </c>
      <c r="E579" t="s">
        <v>57</v>
      </c>
      <c r="F579" s="2">
        <v>571</v>
      </c>
      <c r="G579" t="s">
        <v>39</v>
      </c>
      <c r="H579">
        <v>10</v>
      </c>
      <c r="I579">
        <v>1</v>
      </c>
      <c r="J579" t="str">
        <f t="shared" si="19"/>
        <v>Below College</v>
      </c>
      <c r="K579" t="s">
        <v>34</v>
      </c>
      <c r="L579">
        <v>4</v>
      </c>
      <c r="M579" t="s">
        <v>35</v>
      </c>
      <c r="N579" s="2">
        <v>82</v>
      </c>
      <c r="O579">
        <v>3</v>
      </c>
      <c r="P579">
        <v>1</v>
      </c>
      <c r="Q579" t="s">
        <v>41</v>
      </c>
      <c r="R579">
        <v>1</v>
      </c>
      <c r="S579" t="s">
        <v>46</v>
      </c>
      <c r="T579" s="2">
        <v>2782</v>
      </c>
      <c r="U579" s="2">
        <v>19905</v>
      </c>
      <c r="V579">
        <v>0</v>
      </c>
      <c r="W579" t="s">
        <v>32</v>
      </c>
      <c r="X579">
        <v>13</v>
      </c>
      <c r="Y579">
        <v>3</v>
      </c>
      <c r="Z579">
        <v>2</v>
      </c>
      <c r="AA579">
        <v>80</v>
      </c>
      <c r="AB579">
        <v>2</v>
      </c>
      <c r="AC579">
        <v>6</v>
      </c>
      <c r="AD579">
        <v>3</v>
      </c>
      <c r="AE579">
        <v>2</v>
      </c>
      <c r="AF579">
        <v>5</v>
      </c>
      <c r="AG579">
        <v>3</v>
      </c>
      <c r="AH579">
        <v>4</v>
      </c>
      <c r="AI579">
        <v>3</v>
      </c>
    </row>
    <row r="580" spans="1:35" x14ac:dyDescent="0.25">
      <c r="A580">
        <v>38</v>
      </c>
      <c r="B580" t="str">
        <f t="shared" si="18"/>
        <v>35-44</v>
      </c>
      <c r="C580" s="1" t="s">
        <v>38</v>
      </c>
      <c r="D580" s="17">
        <f>IF(Table1[[#This Row],[Attrition]]="Yes",1,0)</f>
        <v>0</v>
      </c>
      <c r="E580" t="s">
        <v>58</v>
      </c>
      <c r="F580" s="2">
        <v>240</v>
      </c>
      <c r="G580" t="s">
        <v>39</v>
      </c>
      <c r="H580">
        <v>2</v>
      </c>
      <c r="I580">
        <v>4</v>
      </c>
      <c r="J580" t="str">
        <f t="shared" si="19"/>
        <v>Master</v>
      </c>
      <c r="K580" t="s">
        <v>34</v>
      </c>
      <c r="L580">
        <v>1</v>
      </c>
      <c r="M580" t="s">
        <v>35</v>
      </c>
      <c r="N580" s="2">
        <v>75</v>
      </c>
      <c r="O580">
        <v>4</v>
      </c>
      <c r="P580">
        <v>2</v>
      </c>
      <c r="Q580" t="s">
        <v>47</v>
      </c>
      <c r="R580">
        <v>1</v>
      </c>
      <c r="S580" t="s">
        <v>37</v>
      </c>
      <c r="T580" s="2">
        <v>5980</v>
      </c>
      <c r="U580" s="2">
        <v>26085</v>
      </c>
      <c r="V580">
        <v>6</v>
      </c>
      <c r="W580" t="s">
        <v>32</v>
      </c>
      <c r="X580">
        <v>12</v>
      </c>
      <c r="Y580">
        <v>3</v>
      </c>
      <c r="Z580">
        <v>4</v>
      </c>
      <c r="AA580">
        <v>80</v>
      </c>
      <c r="AB580">
        <v>0</v>
      </c>
      <c r="AC580">
        <v>17</v>
      </c>
      <c r="AD580">
        <v>2</v>
      </c>
      <c r="AE580">
        <v>3</v>
      </c>
      <c r="AF580">
        <v>15</v>
      </c>
      <c r="AG580">
        <v>7</v>
      </c>
      <c r="AH580">
        <v>4</v>
      </c>
      <c r="AI580">
        <v>12</v>
      </c>
    </row>
    <row r="581" spans="1:35" x14ac:dyDescent="0.25">
      <c r="A581">
        <v>34</v>
      </c>
      <c r="B581" t="str">
        <f t="shared" si="18"/>
        <v>25-34</v>
      </c>
      <c r="C581" s="1" t="s">
        <v>38</v>
      </c>
      <c r="D581" s="17">
        <f>IF(Table1[[#This Row],[Attrition]]="Yes",1,0)</f>
        <v>0</v>
      </c>
      <c r="E581" t="s">
        <v>57</v>
      </c>
      <c r="F581" s="2">
        <v>121</v>
      </c>
      <c r="G581" t="s">
        <v>39</v>
      </c>
      <c r="H581">
        <v>2</v>
      </c>
      <c r="I581">
        <v>4</v>
      </c>
      <c r="J581" t="str">
        <f t="shared" si="19"/>
        <v>Master</v>
      </c>
      <c r="K581" t="s">
        <v>45</v>
      </c>
      <c r="L581">
        <v>3</v>
      </c>
      <c r="M581" t="s">
        <v>35</v>
      </c>
      <c r="N581" s="2">
        <v>86</v>
      </c>
      <c r="O581">
        <v>2</v>
      </c>
      <c r="P581">
        <v>1</v>
      </c>
      <c r="Q581" t="s">
        <v>41</v>
      </c>
      <c r="R581">
        <v>1</v>
      </c>
      <c r="S581" t="s">
        <v>37</v>
      </c>
      <c r="T581" s="2">
        <v>4381</v>
      </c>
      <c r="U581" s="2">
        <v>7530</v>
      </c>
      <c r="V581">
        <v>1</v>
      </c>
      <c r="W581" t="s">
        <v>38</v>
      </c>
      <c r="X581">
        <v>11</v>
      </c>
      <c r="Y581">
        <v>3</v>
      </c>
      <c r="Z581">
        <v>3</v>
      </c>
      <c r="AA581">
        <v>80</v>
      </c>
      <c r="AB581">
        <v>0</v>
      </c>
      <c r="AC581">
        <v>6</v>
      </c>
      <c r="AD581">
        <v>3</v>
      </c>
      <c r="AE581">
        <v>3</v>
      </c>
      <c r="AF581">
        <v>6</v>
      </c>
      <c r="AG581">
        <v>5</v>
      </c>
      <c r="AH581">
        <v>1</v>
      </c>
      <c r="AI581">
        <v>3</v>
      </c>
    </row>
    <row r="582" spans="1:35" x14ac:dyDescent="0.25">
      <c r="A582">
        <v>35</v>
      </c>
      <c r="B582" t="str">
        <f t="shared" si="18"/>
        <v>35-44</v>
      </c>
      <c r="C582" s="1" t="s">
        <v>38</v>
      </c>
      <c r="D582" s="17">
        <f>IF(Table1[[#This Row],[Attrition]]="Yes",1,0)</f>
        <v>0</v>
      </c>
      <c r="E582" t="s">
        <v>57</v>
      </c>
      <c r="F582" s="2">
        <v>384</v>
      </c>
      <c r="G582" t="s">
        <v>33</v>
      </c>
      <c r="H582">
        <v>8</v>
      </c>
      <c r="I582">
        <v>4</v>
      </c>
      <c r="J582" t="str">
        <f t="shared" si="19"/>
        <v>Master</v>
      </c>
      <c r="K582" t="s">
        <v>34</v>
      </c>
      <c r="L582">
        <v>1</v>
      </c>
      <c r="M582" t="s">
        <v>35</v>
      </c>
      <c r="N582" s="2">
        <v>72</v>
      </c>
      <c r="O582">
        <v>3</v>
      </c>
      <c r="P582">
        <v>1</v>
      </c>
      <c r="Q582" t="s">
        <v>51</v>
      </c>
      <c r="R582">
        <v>4</v>
      </c>
      <c r="S582" t="s">
        <v>42</v>
      </c>
      <c r="T582" s="2">
        <v>2572</v>
      </c>
      <c r="U582" s="2">
        <v>20317</v>
      </c>
      <c r="V582">
        <v>1</v>
      </c>
      <c r="W582" t="s">
        <v>38</v>
      </c>
      <c r="X582">
        <v>16</v>
      </c>
      <c r="Y582">
        <v>3</v>
      </c>
      <c r="Z582">
        <v>2</v>
      </c>
      <c r="AA582">
        <v>80</v>
      </c>
      <c r="AB582">
        <v>1</v>
      </c>
      <c r="AC582">
        <v>3</v>
      </c>
      <c r="AD582">
        <v>1</v>
      </c>
      <c r="AE582">
        <v>2</v>
      </c>
      <c r="AF582">
        <v>3</v>
      </c>
      <c r="AG582">
        <v>2</v>
      </c>
      <c r="AH582">
        <v>0</v>
      </c>
      <c r="AI582">
        <v>2</v>
      </c>
    </row>
    <row r="583" spans="1:35" x14ac:dyDescent="0.25">
      <c r="A583">
        <v>30</v>
      </c>
      <c r="B583" t="str">
        <f t="shared" si="18"/>
        <v>25-34</v>
      </c>
      <c r="C583" s="1" t="s">
        <v>38</v>
      </c>
      <c r="D583" s="17">
        <f>IF(Table1[[#This Row],[Attrition]]="Yes",1,0)</f>
        <v>0</v>
      </c>
      <c r="E583" t="s">
        <v>57</v>
      </c>
      <c r="F583" s="2">
        <v>921</v>
      </c>
      <c r="G583" t="s">
        <v>39</v>
      </c>
      <c r="H583">
        <v>1</v>
      </c>
      <c r="I583">
        <v>3</v>
      </c>
      <c r="J583" t="str">
        <f t="shared" si="19"/>
        <v>Bachelor</v>
      </c>
      <c r="K583" t="s">
        <v>34</v>
      </c>
      <c r="L583">
        <v>4</v>
      </c>
      <c r="M583" t="s">
        <v>40</v>
      </c>
      <c r="N583" s="2">
        <v>38</v>
      </c>
      <c r="O583">
        <v>1</v>
      </c>
      <c r="P583">
        <v>1</v>
      </c>
      <c r="Q583" t="s">
        <v>44</v>
      </c>
      <c r="R583">
        <v>3</v>
      </c>
      <c r="S583" t="s">
        <v>42</v>
      </c>
      <c r="T583" s="2">
        <v>3833</v>
      </c>
      <c r="U583" s="2">
        <v>24375</v>
      </c>
      <c r="V583">
        <v>3</v>
      </c>
      <c r="W583" t="s">
        <v>38</v>
      </c>
      <c r="X583">
        <v>21</v>
      </c>
      <c r="Y583">
        <v>4</v>
      </c>
      <c r="Z583">
        <v>3</v>
      </c>
      <c r="AA583">
        <v>80</v>
      </c>
      <c r="AB583">
        <v>2</v>
      </c>
      <c r="AC583">
        <v>7</v>
      </c>
      <c r="AD583">
        <v>2</v>
      </c>
      <c r="AE583">
        <v>3</v>
      </c>
      <c r="AF583">
        <v>2</v>
      </c>
      <c r="AG583">
        <v>2</v>
      </c>
      <c r="AH583">
        <v>0</v>
      </c>
      <c r="AI583">
        <v>2</v>
      </c>
    </row>
    <row r="584" spans="1:35" x14ac:dyDescent="0.25">
      <c r="A584">
        <v>40</v>
      </c>
      <c r="B584" t="str">
        <f t="shared" si="18"/>
        <v>35-44</v>
      </c>
      <c r="C584" s="1" t="s">
        <v>38</v>
      </c>
      <c r="D584" s="17">
        <f>IF(Table1[[#This Row],[Attrition]]="Yes",1,0)</f>
        <v>0</v>
      </c>
      <c r="E584" t="s">
        <v>58</v>
      </c>
      <c r="F584" s="2">
        <v>791</v>
      </c>
      <c r="G584" t="s">
        <v>39</v>
      </c>
      <c r="H584">
        <v>2</v>
      </c>
      <c r="I584">
        <v>2</v>
      </c>
      <c r="J584" t="str">
        <f t="shared" si="19"/>
        <v>College</v>
      </c>
      <c r="K584" t="s">
        <v>45</v>
      </c>
      <c r="L584">
        <v>3</v>
      </c>
      <c r="M584" t="s">
        <v>35</v>
      </c>
      <c r="N584" s="2">
        <v>38</v>
      </c>
      <c r="O584">
        <v>4</v>
      </c>
      <c r="P584">
        <v>2</v>
      </c>
      <c r="Q584" t="s">
        <v>48</v>
      </c>
      <c r="R584">
        <v>2</v>
      </c>
      <c r="S584" t="s">
        <v>42</v>
      </c>
      <c r="T584" s="2">
        <v>4244</v>
      </c>
      <c r="U584" s="2">
        <v>9931</v>
      </c>
      <c r="V584">
        <v>1</v>
      </c>
      <c r="W584" t="s">
        <v>38</v>
      </c>
      <c r="X584">
        <v>24</v>
      </c>
      <c r="Y584">
        <v>4</v>
      </c>
      <c r="Z584">
        <v>4</v>
      </c>
      <c r="AA584">
        <v>80</v>
      </c>
      <c r="AB584">
        <v>1</v>
      </c>
      <c r="AC584">
        <v>8</v>
      </c>
      <c r="AD584">
        <v>2</v>
      </c>
      <c r="AE584">
        <v>3</v>
      </c>
      <c r="AF584">
        <v>8</v>
      </c>
      <c r="AG584">
        <v>7</v>
      </c>
      <c r="AH584">
        <v>3</v>
      </c>
      <c r="AI584">
        <v>7</v>
      </c>
    </row>
    <row r="585" spans="1:35" x14ac:dyDescent="0.25">
      <c r="A585">
        <v>34</v>
      </c>
      <c r="B585" t="str">
        <f t="shared" si="18"/>
        <v>25-34</v>
      </c>
      <c r="C585" s="1" t="s">
        <v>38</v>
      </c>
      <c r="D585" s="17">
        <f>IF(Table1[[#This Row],[Attrition]]="Yes",1,0)</f>
        <v>0</v>
      </c>
      <c r="E585" t="s">
        <v>57</v>
      </c>
      <c r="F585" s="2">
        <v>1111</v>
      </c>
      <c r="G585" t="s">
        <v>33</v>
      </c>
      <c r="H585">
        <v>8</v>
      </c>
      <c r="I585">
        <v>2</v>
      </c>
      <c r="J585" t="str">
        <f t="shared" si="19"/>
        <v>College</v>
      </c>
      <c r="K585" t="s">
        <v>34</v>
      </c>
      <c r="L585">
        <v>3</v>
      </c>
      <c r="M585" t="s">
        <v>35</v>
      </c>
      <c r="N585" s="2">
        <v>93</v>
      </c>
      <c r="O585">
        <v>3</v>
      </c>
      <c r="P585">
        <v>2</v>
      </c>
      <c r="Q585" t="s">
        <v>36</v>
      </c>
      <c r="R585">
        <v>1</v>
      </c>
      <c r="S585" t="s">
        <v>42</v>
      </c>
      <c r="T585" s="2">
        <v>6500</v>
      </c>
      <c r="U585" s="2">
        <v>13305</v>
      </c>
      <c r="V585">
        <v>5</v>
      </c>
      <c r="W585" t="s">
        <v>38</v>
      </c>
      <c r="X585">
        <v>17</v>
      </c>
      <c r="Y585">
        <v>3</v>
      </c>
      <c r="Z585">
        <v>2</v>
      </c>
      <c r="AA585">
        <v>80</v>
      </c>
      <c r="AB585">
        <v>1</v>
      </c>
      <c r="AC585">
        <v>6</v>
      </c>
      <c r="AD585">
        <v>1</v>
      </c>
      <c r="AE585">
        <v>3</v>
      </c>
      <c r="AF585">
        <v>3</v>
      </c>
      <c r="AG585">
        <v>2</v>
      </c>
      <c r="AH585">
        <v>1</v>
      </c>
      <c r="AI585">
        <v>2</v>
      </c>
    </row>
    <row r="586" spans="1:35" x14ac:dyDescent="0.25">
      <c r="A586">
        <v>42</v>
      </c>
      <c r="B586" t="str">
        <f t="shared" si="18"/>
        <v>35-44</v>
      </c>
      <c r="C586" s="1" t="s">
        <v>38</v>
      </c>
      <c r="D586" s="17">
        <f>IF(Table1[[#This Row],[Attrition]]="Yes",1,0)</f>
        <v>0</v>
      </c>
      <c r="E586" t="s">
        <v>58</v>
      </c>
      <c r="F586" s="2">
        <v>570</v>
      </c>
      <c r="G586" t="s">
        <v>39</v>
      </c>
      <c r="H586">
        <v>8</v>
      </c>
      <c r="I586">
        <v>3</v>
      </c>
      <c r="J586" t="str">
        <f t="shared" si="19"/>
        <v>Bachelor</v>
      </c>
      <c r="K586" t="s">
        <v>34</v>
      </c>
      <c r="L586">
        <v>2</v>
      </c>
      <c r="M586" t="s">
        <v>40</v>
      </c>
      <c r="N586" s="2">
        <v>66</v>
      </c>
      <c r="O586">
        <v>3</v>
      </c>
      <c r="P586">
        <v>5</v>
      </c>
      <c r="Q586" t="s">
        <v>50</v>
      </c>
      <c r="R586">
        <v>4</v>
      </c>
      <c r="S586" t="s">
        <v>46</v>
      </c>
      <c r="T586" s="2">
        <v>18430</v>
      </c>
      <c r="U586" s="2">
        <v>16225</v>
      </c>
      <c r="V586">
        <v>1</v>
      </c>
      <c r="W586" t="s">
        <v>38</v>
      </c>
      <c r="X586">
        <v>13</v>
      </c>
      <c r="Y586">
        <v>3</v>
      </c>
      <c r="Z586">
        <v>2</v>
      </c>
      <c r="AA586">
        <v>80</v>
      </c>
      <c r="AB586">
        <v>1</v>
      </c>
      <c r="AC586">
        <v>24</v>
      </c>
      <c r="AD586">
        <v>4</v>
      </c>
      <c r="AE586">
        <v>2</v>
      </c>
      <c r="AF586">
        <v>24</v>
      </c>
      <c r="AG586">
        <v>7</v>
      </c>
      <c r="AH586">
        <v>14</v>
      </c>
      <c r="AI586">
        <v>9</v>
      </c>
    </row>
    <row r="587" spans="1:35" x14ac:dyDescent="0.25">
      <c r="A587">
        <v>23</v>
      </c>
      <c r="B587" t="str">
        <f t="shared" si="18"/>
        <v>18-24</v>
      </c>
      <c r="C587" s="1" t="s">
        <v>32</v>
      </c>
      <c r="D587" s="17">
        <f>IF(Table1[[#This Row],[Attrition]]="Yes",1,0)</f>
        <v>1</v>
      </c>
      <c r="E587" t="s">
        <v>57</v>
      </c>
      <c r="F587" s="2">
        <v>1243</v>
      </c>
      <c r="G587" t="s">
        <v>39</v>
      </c>
      <c r="H587">
        <v>6</v>
      </c>
      <c r="I587">
        <v>3</v>
      </c>
      <c r="J587" t="str">
        <f t="shared" si="19"/>
        <v>Bachelor</v>
      </c>
      <c r="K587" t="s">
        <v>34</v>
      </c>
      <c r="L587">
        <v>3</v>
      </c>
      <c r="M587" t="s">
        <v>40</v>
      </c>
      <c r="N587" s="2">
        <v>63</v>
      </c>
      <c r="O587">
        <v>4</v>
      </c>
      <c r="P587">
        <v>1</v>
      </c>
      <c r="Q587" t="s">
        <v>44</v>
      </c>
      <c r="R587">
        <v>1</v>
      </c>
      <c r="S587" t="s">
        <v>42</v>
      </c>
      <c r="T587" s="2">
        <v>1601</v>
      </c>
      <c r="U587" s="2">
        <v>3445</v>
      </c>
      <c r="V587">
        <v>1</v>
      </c>
      <c r="W587" t="s">
        <v>32</v>
      </c>
      <c r="X587">
        <v>21</v>
      </c>
      <c r="Y587">
        <v>4</v>
      </c>
      <c r="Z587">
        <v>3</v>
      </c>
      <c r="AA587">
        <v>80</v>
      </c>
      <c r="AB587">
        <v>2</v>
      </c>
      <c r="AC587">
        <v>1</v>
      </c>
      <c r="AD587">
        <v>2</v>
      </c>
      <c r="AE587">
        <v>3</v>
      </c>
      <c r="AF587">
        <v>0</v>
      </c>
      <c r="AG587">
        <v>0</v>
      </c>
      <c r="AH587">
        <v>0</v>
      </c>
      <c r="AI587">
        <v>0</v>
      </c>
    </row>
    <row r="588" spans="1:35" x14ac:dyDescent="0.25">
      <c r="A588">
        <v>24</v>
      </c>
      <c r="B588" t="str">
        <f t="shared" si="18"/>
        <v>18-24</v>
      </c>
      <c r="C588" s="1" t="s">
        <v>38</v>
      </c>
      <c r="D588" s="17">
        <f>IF(Table1[[#This Row],[Attrition]]="Yes",1,0)</f>
        <v>0</v>
      </c>
      <c r="E588" t="s">
        <v>49</v>
      </c>
      <c r="F588" s="2">
        <v>1092</v>
      </c>
      <c r="G588" t="s">
        <v>39</v>
      </c>
      <c r="H588">
        <v>9</v>
      </c>
      <c r="I588">
        <v>3</v>
      </c>
      <c r="J588" t="str">
        <f t="shared" si="19"/>
        <v>Bachelor</v>
      </c>
      <c r="K588" t="s">
        <v>34</v>
      </c>
      <c r="L588">
        <v>3</v>
      </c>
      <c r="M588" t="s">
        <v>40</v>
      </c>
      <c r="N588" s="2">
        <v>60</v>
      </c>
      <c r="O588">
        <v>2</v>
      </c>
      <c r="P588">
        <v>1</v>
      </c>
      <c r="Q588" t="s">
        <v>44</v>
      </c>
      <c r="R588">
        <v>2</v>
      </c>
      <c r="S588" t="s">
        <v>46</v>
      </c>
      <c r="T588" s="2">
        <v>2694</v>
      </c>
      <c r="U588" s="2">
        <v>26551</v>
      </c>
      <c r="V588">
        <v>1</v>
      </c>
      <c r="W588" t="s">
        <v>38</v>
      </c>
      <c r="X588">
        <v>11</v>
      </c>
      <c r="Y588">
        <v>3</v>
      </c>
      <c r="Z588">
        <v>3</v>
      </c>
      <c r="AA588">
        <v>80</v>
      </c>
      <c r="AB588">
        <v>3</v>
      </c>
      <c r="AC588">
        <v>1</v>
      </c>
      <c r="AD588">
        <v>4</v>
      </c>
      <c r="AE588">
        <v>3</v>
      </c>
      <c r="AF588">
        <v>1</v>
      </c>
      <c r="AG588">
        <v>0</v>
      </c>
      <c r="AH588">
        <v>0</v>
      </c>
      <c r="AI588">
        <v>0</v>
      </c>
    </row>
    <row r="589" spans="1:35" x14ac:dyDescent="0.25">
      <c r="A589">
        <v>52</v>
      </c>
      <c r="B589" t="str">
        <f t="shared" si="18"/>
        <v>45-54</v>
      </c>
      <c r="C589" s="1" t="s">
        <v>38</v>
      </c>
      <c r="D589" s="17">
        <f>IF(Table1[[#This Row],[Attrition]]="Yes",1,0)</f>
        <v>0</v>
      </c>
      <c r="E589" t="s">
        <v>57</v>
      </c>
      <c r="F589" s="2">
        <v>1325</v>
      </c>
      <c r="G589" t="s">
        <v>39</v>
      </c>
      <c r="H589">
        <v>11</v>
      </c>
      <c r="I589">
        <v>4</v>
      </c>
      <c r="J589" t="str">
        <f t="shared" si="19"/>
        <v>Master</v>
      </c>
      <c r="K589" t="s">
        <v>34</v>
      </c>
      <c r="L589">
        <v>4</v>
      </c>
      <c r="M589" t="s">
        <v>35</v>
      </c>
      <c r="N589" s="2">
        <v>82</v>
      </c>
      <c r="O589">
        <v>3</v>
      </c>
      <c r="P589">
        <v>2</v>
      </c>
      <c r="Q589" t="s">
        <v>44</v>
      </c>
      <c r="R589">
        <v>3</v>
      </c>
      <c r="S589" t="s">
        <v>42</v>
      </c>
      <c r="T589" s="2">
        <v>3149</v>
      </c>
      <c r="U589" s="2">
        <v>21821</v>
      </c>
      <c r="V589">
        <v>8</v>
      </c>
      <c r="W589" t="s">
        <v>38</v>
      </c>
      <c r="X589">
        <v>20</v>
      </c>
      <c r="Y589">
        <v>4</v>
      </c>
      <c r="Z589">
        <v>2</v>
      </c>
      <c r="AA589">
        <v>80</v>
      </c>
      <c r="AB589">
        <v>1</v>
      </c>
      <c r="AC589">
        <v>9</v>
      </c>
      <c r="AD589">
        <v>3</v>
      </c>
      <c r="AE589">
        <v>3</v>
      </c>
      <c r="AF589">
        <v>5</v>
      </c>
      <c r="AG589">
        <v>2</v>
      </c>
      <c r="AH589">
        <v>1</v>
      </c>
      <c r="AI589">
        <v>4</v>
      </c>
    </row>
    <row r="590" spans="1:35" x14ac:dyDescent="0.25">
      <c r="A590">
        <v>50</v>
      </c>
      <c r="B590" t="str">
        <f t="shared" si="18"/>
        <v>45-54</v>
      </c>
      <c r="C590" s="1" t="s">
        <v>38</v>
      </c>
      <c r="D590" s="17">
        <f>IF(Table1[[#This Row],[Attrition]]="Yes",1,0)</f>
        <v>0</v>
      </c>
      <c r="E590" t="s">
        <v>57</v>
      </c>
      <c r="F590" s="2">
        <v>691</v>
      </c>
      <c r="G590" t="s">
        <v>39</v>
      </c>
      <c r="H590">
        <v>2</v>
      </c>
      <c r="I590">
        <v>3</v>
      </c>
      <c r="J590" t="str">
        <f t="shared" si="19"/>
        <v>Bachelor</v>
      </c>
      <c r="K590" t="s">
        <v>45</v>
      </c>
      <c r="L590">
        <v>3</v>
      </c>
      <c r="M590" t="s">
        <v>40</v>
      </c>
      <c r="N590" s="2">
        <v>64</v>
      </c>
      <c r="O590">
        <v>3</v>
      </c>
      <c r="P590">
        <v>4</v>
      </c>
      <c r="Q590" t="s">
        <v>52</v>
      </c>
      <c r="R590">
        <v>3</v>
      </c>
      <c r="S590" t="s">
        <v>42</v>
      </c>
      <c r="T590" s="2">
        <v>17639</v>
      </c>
      <c r="U590" s="2">
        <v>6881</v>
      </c>
      <c r="V590">
        <v>5</v>
      </c>
      <c r="W590" t="s">
        <v>38</v>
      </c>
      <c r="X590">
        <v>16</v>
      </c>
      <c r="Y590">
        <v>3</v>
      </c>
      <c r="Z590">
        <v>4</v>
      </c>
      <c r="AA590">
        <v>80</v>
      </c>
      <c r="AB590">
        <v>0</v>
      </c>
      <c r="AC590">
        <v>30</v>
      </c>
      <c r="AD590">
        <v>3</v>
      </c>
      <c r="AE590">
        <v>3</v>
      </c>
      <c r="AF590">
        <v>4</v>
      </c>
      <c r="AG590">
        <v>3</v>
      </c>
      <c r="AH590">
        <v>0</v>
      </c>
      <c r="AI590">
        <v>3</v>
      </c>
    </row>
    <row r="591" spans="1:35" x14ac:dyDescent="0.25">
      <c r="A591">
        <v>29</v>
      </c>
      <c r="B591" t="str">
        <f t="shared" si="18"/>
        <v>25-34</v>
      </c>
      <c r="C591" s="1" t="s">
        <v>32</v>
      </c>
      <c r="D591" s="17">
        <f>IF(Table1[[#This Row],[Attrition]]="Yes",1,0)</f>
        <v>1</v>
      </c>
      <c r="E591" t="s">
        <v>57</v>
      </c>
      <c r="F591" s="2">
        <v>805</v>
      </c>
      <c r="G591" t="s">
        <v>39</v>
      </c>
      <c r="H591">
        <v>1</v>
      </c>
      <c r="I591">
        <v>2</v>
      </c>
      <c r="J591" t="str">
        <f t="shared" si="19"/>
        <v>College</v>
      </c>
      <c r="K591" t="s">
        <v>34</v>
      </c>
      <c r="L591">
        <v>2</v>
      </c>
      <c r="M591" t="s">
        <v>35</v>
      </c>
      <c r="N591" s="2">
        <v>36</v>
      </c>
      <c r="O591">
        <v>2</v>
      </c>
      <c r="P591">
        <v>1</v>
      </c>
      <c r="Q591" t="s">
        <v>44</v>
      </c>
      <c r="R591">
        <v>1</v>
      </c>
      <c r="S591" t="s">
        <v>42</v>
      </c>
      <c r="T591" s="2">
        <v>2319</v>
      </c>
      <c r="U591" s="2">
        <v>6689</v>
      </c>
      <c r="V591">
        <v>1</v>
      </c>
      <c r="W591" t="s">
        <v>32</v>
      </c>
      <c r="X591">
        <v>11</v>
      </c>
      <c r="Y591">
        <v>3</v>
      </c>
      <c r="Z591">
        <v>4</v>
      </c>
      <c r="AA591">
        <v>80</v>
      </c>
      <c r="AB591">
        <v>1</v>
      </c>
      <c r="AC591">
        <v>1</v>
      </c>
      <c r="AD591">
        <v>1</v>
      </c>
      <c r="AE591">
        <v>3</v>
      </c>
      <c r="AF591">
        <v>1</v>
      </c>
      <c r="AG591">
        <v>0</v>
      </c>
      <c r="AH591">
        <v>0</v>
      </c>
      <c r="AI591">
        <v>0</v>
      </c>
    </row>
    <row r="592" spans="1:35" x14ac:dyDescent="0.25">
      <c r="A592">
        <v>33</v>
      </c>
      <c r="B592" t="str">
        <f t="shared" si="18"/>
        <v>25-34</v>
      </c>
      <c r="C592" s="1" t="s">
        <v>38</v>
      </c>
      <c r="D592" s="17">
        <f>IF(Table1[[#This Row],[Attrition]]="Yes",1,0)</f>
        <v>0</v>
      </c>
      <c r="E592" t="s">
        <v>57</v>
      </c>
      <c r="F592" s="2">
        <v>213</v>
      </c>
      <c r="G592" t="s">
        <v>39</v>
      </c>
      <c r="H592">
        <v>7</v>
      </c>
      <c r="I592">
        <v>3</v>
      </c>
      <c r="J592" t="str">
        <f t="shared" si="19"/>
        <v>Bachelor</v>
      </c>
      <c r="K592" t="s">
        <v>45</v>
      </c>
      <c r="L592">
        <v>3</v>
      </c>
      <c r="M592" t="s">
        <v>40</v>
      </c>
      <c r="N592" s="2">
        <v>49</v>
      </c>
      <c r="O592">
        <v>3</v>
      </c>
      <c r="P592">
        <v>3</v>
      </c>
      <c r="Q592" t="s">
        <v>52</v>
      </c>
      <c r="R592">
        <v>3</v>
      </c>
      <c r="S592" t="s">
        <v>42</v>
      </c>
      <c r="T592" s="2">
        <v>11691</v>
      </c>
      <c r="U592" s="2">
        <v>25995</v>
      </c>
      <c r="V592">
        <v>0</v>
      </c>
      <c r="W592" t="s">
        <v>38</v>
      </c>
      <c r="X592">
        <v>11</v>
      </c>
      <c r="Y592">
        <v>3</v>
      </c>
      <c r="Z592">
        <v>4</v>
      </c>
      <c r="AA592">
        <v>80</v>
      </c>
      <c r="AB592">
        <v>0</v>
      </c>
      <c r="AC592">
        <v>14</v>
      </c>
      <c r="AD592">
        <v>3</v>
      </c>
      <c r="AE592">
        <v>4</v>
      </c>
      <c r="AF592">
        <v>13</v>
      </c>
      <c r="AG592">
        <v>9</v>
      </c>
      <c r="AH592">
        <v>3</v>
      </c>
      <c r="AI592">
        <v>7</v>
      </c>
    </row>
    <row r="593" spans="1:35" x14ac:dyDescent="0.25">
      <c r="A593">
        <v>33</v>
      </c>
      <c r="B593" t="str">
        <f t="shared" si="18"/>
        <v>25-34</v>
      </c>
      <c r="C593" s="1" t="s">
        <v>32</v>
      </c>
      <c r="D593" s="17">
        <f>IF(Table1[[#This Row],[Attrition]]="Yes",1,0)</f>
        <v>1</v>
      </c>
      <c r="E593" t="s">
        <v>57</v>
      </c>
      <c r="F593" s="2">
        <v>118</v>
      </c>
      <c r="G593" t="s">
        <v>33</v>
      </c>
      <c r="H593">
        <v>16</v>
      </c>
      <c r="I593">
        <v>3</v>
      </c>
      <c r="J593" t="str">
        <f t="shared" si="19"/>
        <v>Bachelor</v>
      </c>
      <c r="K593" t="s">
        <v>53</v>
      </c>
      <c r="L593">
        <v>1</v>
      </c>
      <c r="M593" t="s">
        <v>35</v>
      </c>
      <c r="N593" s="2">
        <v>69</v>
      </c>
      <c r="O593">
        <v>3</v>
      </c>
      <c r="P593">
        <v>2</v>
      </c>
      <c r="Q593" t="s">
        <v>36</v>
      </c>
      <c r="R593">
        <v>1</v>
      </c>
      <c r="S593" t="s">
        <v>37</v>
      </c>
      <c r="T593" s="2">
        <v>5324</v>
      </c>
      <c r="U593" s="2">
        <v>26507</v>
      </c>
      <c r="V593">
        <v>5</v>
      </c>
      <c r="W593" t="s">
        <v>38</v>
      </c>
      <c r="X593">
        <v>15</v>
      </c>
      <c r="Y593">
        <v>3</v>
      </c>
      <c r="Z593">
        <v>3</v>
      </c>
      <c r="AA593">
        <v>80</v>
      </c>
      <c r="AB593">
        <v>0</v>
      </c>
      <c r="AC593">
        <v>6</v>
      </c>
      <c r="AD593">
        <v>3</v>
      </c>
      <c r="AE593">
        <v>3</v>
      </c>
      <c r="AF593">
        <v>3</v>
      </c>
      <c r="AG593">
        <v>2</v>
      </c>
      <c r="AH593">
        <v>0</v>
      </c>
      <c r="AI593">
        <v>2</v>
      </c>
    </row>
    <row r="594" spans="1:35" x14ac:dyDescent="0.25">
      <c r="A594">
        <v>47</v>
      </c>
      <c r="B594" t="str">
        <f t="shared" si="18"/>
        <v>45-54</v>
      </c>
      <c r="C594" s="1" t="s">
        <v>38</v>
      </c>
      <c r="D594" s="17">
        <f>IF(Table1[[#This Row],[Attrition]]="Yes",1,0)</f>
        <v>0</v>
      </c>
      <c r="E594" t="s">
        <v>57</v>
      </c>
      <c r="F594" s="2">
        <v>202</v>
      </c>
      <c r="G594" t="s">
        <v>39</v>
      </c>
      <c r="H594">
        <v>2</v>
      </c>
      <c r="I594">
        <v>2</v>
      </c>
      <c r="J594" t="str">
        <f t="shared" si="19"/>
        <v>College</v>
      </c>
      <c r="K594" t="s">
        <v>43</v>
      </c>
      <c r="L594">
        <v>3</v>
      </c>
      <c r="M594" t="s">
        <v>35</v>
      </c>
      <c r="N594" s="2">
        <v>33</v>
      </c>
      <c r="O594">
        <v>3</v>
      </c>
      <c r="P594">
        <v>4</v>
      </c>
      <c r="Q594" t="s">
        <v>50</v>
      </c>
      <c r="R594">
        <v>4</v>
      </c>
      <c r="S594" t="s">
        <v>42</v>
      </c>
      <c r="T594" s="2">
        <v>16752</v>
      </c>
      <c r="U594" s="2">
        <v>12982</v>
      </c>
      <c r="V594">
        <v>1</v>
      </c>
      <c r="W594" t="s">
        <v>32</v>
      </c>
      <c r="X594">
        <v>11</v>
      </c>
      <c r="Y594">
        <v>3</v>
      </c>
      <c r="Z594">
        <v>3</v>
      </c>
      <c r="AA594">
        <v>80</v>
      </c>
      <c r="AB594">
        <v>1</v>
      </c>
      <c r="AC594">
        <v>26</v>
      </c>
      <c r="AD594">
        <v>3</v>
      </c>
      <c r="AE594">
        <v>2</v>
      </c>
      <c r="AF594">
        <v>26</v>
      </c>
      <c r="AG594">
        <v>14</v>
      </c>
      <c r="AH594">
        <v>3</v>
      </c>
      <c r="AI594">
        <v>0</v>
      </c>
    </row>
    <row r="595" spans="1:35" x14ac:dyDescent="0.25">
      <c r="A595">
        <v>36</v>
      </c>
      <c r="B595" t="str">
        <f t="shared" si="18"/>
        <v>35-44</v>
      </c>
      <c r="C595" s="1" t="s">
        <v>38</v>
      </c>
      <c r="D595" s="17">
        <f>IF(Table1[[#This Row],[Attrition]]="Yes",1,0)</f>
        <v>0</v>
      </c>
      <c r="E595" t="s">
        <v>57</v>
      </c>
      <c r="F595" s="2">
        <v>676</v>
      </c>
      <c r="G595" t="s">
        <v>39</v>
      </c>
      <c r="H595">
        <v>1</v>
      </c>
      <c r="I595">
        <v>3</v>
      </c>
      <c r="J595" t="str">
        <f t="shared" si="19"/>
        <v>Bachelor</v>
      </c>
      <c r="K595" t="s">
        <v>43</v>
      </c>
      <c r="L595">
        <v>3</v>
      </c>
      <c r="M595" t="s">
        <v>35</v>
      </c>
      <c r="N595" s="2">
        <v>35</v>
      </c>
      <c r="O595">
        <v>3</v>
      </c>
      <c r="P595">
        <v>2</v>
      </c>
      <c r="Q595" t="s">
        <v>47</v>
      </c>
      <c r="R595">
        <v>2</v>
      </c>
      <c r="S595" t="s">
        <v>42</v>
      </c>
      <c r="T595" s="2">
        <v>5228</v>
      </c>
      <c r="U595" s="2">
        <v>23361</v>
      </c>
      <c r="V595">
        <v>0</v>
      </c>
      <c r="W595" t="s">
        <v>38</v>
      </c>
      <c r="X595">
        <v>15</v>
      </c>
      <c r="Y595">
        <v>3</v>
      </c>
      <c r="Z595">
        <v>1</v>
      </c>
      <c r="AA595">
        <v>80</v>
      </c>
      <c r="AB595">
        <v>1</v>
      </c>
      <c r="AC595">
        <v>10</v>
      </c>
      <c r="AD595">
        <v>2</v>
      </c>
      <c r="AE595">
        <v>3</v>
      </c>
      <c r="AF595">
        <v>9</v>
      </c>
      <c r="AG595">
        <v>7</v>
      </c>
      <c r="AH595">
        <v>0</v>
      </c>
      <c r="AI595">
        <v>5</v>
      </c>
    </row>
    <row r="596" spans="1:35" x14ac:dyDescent="0.25">
      <c r="A596">
        <v>29</v>
      </c>
      <c r="B596" t="str">
        <f t="shared" si="18"/>
        <v>25-34</v>
      </c>
      <c r="C596" s="1" t="s">
        <v>38</v>
      </c>
      <c r="D596" s="17">
        <f>IF(Table1[[#This Row],[Attrition]]="Yes",1,0)</f>
        <v>0</v>
      </c>
      <c r="E596" t="s">
        <v>57</v>
      </c>
      <c r="F596" s="2">
        <v>1252</v>
      </c>
      <c r="G596" t="s">
        <v>39</v>
      </c>
      <c r="H596">
        <v>23</v>
      </c>
      <c r="I596">
        <v>2</v>
      </c>
      <c r="J596" t="str">
        <f t="shared" si="19"/>
        <v>College</v>
      </c>
      <c r="K596" t="s">
        <v>34</v>
      </c>
      <c r="L596">
        <v>3</v>
      </c>
      <c r="M596" t="s">
        <v>40</v>
      </c>
      <c r="N596" s="2">
        <v>81</v>
      </c>
      <c r="O596">
        <v>4</v>
      </c>
      <c r="P596">
        <v>1</v>
      </c>
      <c r="Q596" t="s">
        <v>41</v>
      </c>
      <c r="R596">
        <v>3</v>
      </c>
      <c r="S596" t="s">
        <v>42</v>
      </c>
      <c r="T596" s="2">
        <v>2700</v>
      </c>
      <c r="U596" s="2">
        <v>23779</v>
      </c>
      <c r="V596">
        <v>1</v>
      </c>
      <c r="W596" t="s">
        <v>38</v>
      </c>
      <c r="X596">
        <v>24</v>
      </c>
      <c r="Y596">
        <v>4</v>
      </c>
      <c r="Z596">
        <v>3</v>
      </c>
      <c r="AA596">
        <v>80</v>
      </c>
      <c r="AB596">
        <v>1</v>
      </c>
      <c r="AC596">
        <v>10</v>
      </c>
      <c r="AD596">
        <v>3</v>
      </c>
      <c r="AE596">
        <v>3</v>
      </c>
      <c r="AF596">
        <v>10</v>
      </c>
      <c r="AG596">
        <v>7</v>
      </c>
      <c r="AH596">
        <v>0</v>
      </c>
      <c r="AI596">
        <v>7</v>
      </c>
    </row>
    <row r="597" spans="1:35" x14ac:dyDescent="0.25">
      <c r="A597">
        <v>58</v>
      </c>
      <c r="B597" t="str">
        <f t="shared" si="18"/>
        <v>55-64</v>
      </c>
      <c r="C597" s="1" t="s">
        <v>32</v>
      </c>
      <c r="D597" s="17">
        <f>IF(Table1[[#This Row],[Attrition]]="Yes",1,0)</f>
        <v>1</v>
      </c>
      <c r="E597" t="s">
        <v>57</v>
      </c>
      <c r="F597" s="2">
        <v>286</v>
      </c>
      <c r="G597" t="s">
        <v>39</v>
      </c>
      <c r="H597">
        <v>2</v>
      </c>
      <c r="I597">
        <v>4</v>
      </c>
      <c r="J597" t="str">
        <f t="shared" si="19"/>
        <v>Master</v>
      </c>
      <c r="K597" t="s">
        <v>34</v>
      </c>
      <c r="L597">
        <v>4</v>
      </c>
      <c r="M597" t="s">
        <v>40</v>
      </c>
      <c r="N597" s="2">
        <v>31</v>
      </c>
      <c r="O597">
        <v>3</v>
      </c>
      <c r="P597">
        <v>5</v>
      </c>
      <c r="Q597" t="s">
        <v>52</v>
      </c>
      <c r="R597">
        <v>2</v>
      </c>
      <c r="S597" t="s">
        <v>37</v>
      </c>
      <c r="T597" s="2">
        <v>19246</v>
      </c>
      <c r="U597" s="2">
        <v>25761</v>
      </c>
      <c r="V597">
        <v>7</v>
      </c>
      <c r="W597" t="s">
        <v>32</v>
      </c>
      <c r="X597">
        <v>12</v>
      </c>
      <c r="Y597">
        <v>3</v>
      </c>
      <c r="Z597">
        <v>4</v>
      </c>
      <c r="AA597">
        <v>80</v>
      </c>
      <c r="AB597">
        <v>0</v>
      </c>
      <c r="AC597">
        <v>40</v>
      </c>
      <c r="AD597">
        <v>2</v>
      </c>
      <c r="AE597">
        <v>3</v>
      </c>
      <c r="AF597">
        <v>31</v>
      </c>
      <c r="AG597">
        <v>15</v>
      </c>
      <c r="AH597">
        <v>13</v>
      </c>
      <c r="AI597">
        <v>8</v>
      </c>
    </row>
    <row r="598" spans="1:35" x14ac:dyDescent="0.25">
      <c r="A598">
        <v>35</v>
      </c>
      <c r="B598" t="str">
        <f t="shared" si="18"/>
        <v>35-44</v>
      </c>
      <c r="C598" s="1" t="s">
        <v>38</v>
      </c>
      <c r="D598" s="17">
        <f>IF(Table1[[#This Row],[Attrition]]="Yes",1,0)</f>
        <v>0</v>
      </c>
      <c r="E598" t="s">
        <v>57</v>
      </c>
      <c r="F598" s="2">
        <v>1258</v>
      </c>
      <c r="G598" t="s">
        <v>39</v>
      </c>
      <c r="H598">
        <v>1</v>
      </c>
      <c r="I598">
        <v>4</v>
      </c>
      <c r="J598" t="str">
        <f t="shared" si="19"/>
        <v>Master</v>
      </c>
      <c r="K598" t="s">
        <v>34</v>
      </c>
      <c r="L598">
        <v>4</v>
      </c>
      <c r="M598" t="s">
        <v>35</v>
      </c>
      <c r="N598" s="2">
        <v>40</v>
      </c>
      <c r="O598">
        <v>4</v>
      </c>
      <c r="P598">
        <v>1</v>
      </c>
      <c r="Q598" t="s">
        <v>41</v>
      </c>
      <c r="R598">
        <v>3</v>
      </c>
      <c r="S598" t="s">
        <v>37</v>
      </c>
      <c r="T598" s="2">
        <v>2506</v>
      </c>
      <c r="U598" s="2">
        <v>13301</v>
      </c>
      <c r="V598">
        <v>3</v>
      </c>
      <c r="W598" t="s">
        <v>38</v>
      </c>
      <c r="X598">
        <v>13</v>
      </c>
      <c r="Y598">
        <v>3</v>
      </c>
      <c r="Z598">
        <v>3</v>
      </c>
      <c r="AA598">
        <v>80</v>
      </c>
      <c r="AB598">
        <v>0</v>
      </c>
      <c r="AC598">
        <v>7</v>
      </c>
      <c r="AD598">
        <v>0</v>
      </c>
      <c r="AE598">
        <v>3</v>
      </c>
      <c r="AF598">
        <v>2</v>
      </c>
      <c r="AG598">
        <v>2</v>
      </c>
      <c r="AH598">
        <v>2</v>
      </c>
      <c r="AI598">
        <v>2</v>
      </c>
    </row>
    <row r="599" spans="1:35" x14ac:dyDescent="0.25">
      <c r="A599">
        <v>42</v>
      </c>
      <c r="B599" t="str">
        <f t="shared" si="18"/>
        <v>35-44</v>
      </c>
      <c r="C599" s="1" t="s">
        <v>38</v>
      </c>
      <c r="D599" s="17">
        <f>IF(Table1[[#This Row],[Attrition]]="Yes",1,0)</f>
        <v>0</v>
      </c>
      <c r="E599" t="s">
        <v>57</v>
      </c>
      <c r="F599" s="2">
        <v>932</v>
      </c>
      <c r="G599" t="s">
        <v>39</v>
      </c>
      <c r="H599">
        <v>1</v>
      </c>
      <c r="I599">
        <v>2</v>
      </c>
      <c r="J599" t="str">
        <f t="shared" si="19"/>
        <v>College</v>
      </c>
      <c r="K599" t="s">
        <v>34</v>
      </c>
      <c r="L599">
        <v>4</v>
      </c>
      <c r="M599" t="s">
        <v>35</v>
      </c>
      <c r="N599" s="2">
        <v>43</v>
      </c>
      <c r="O599">
        <v>2</v>
      </c>
      <c r="P599">
        <v>2</v>
      </c>
      <c r="Q599" t="s">
        <v>47</v>
      </c>
      <c r="R599">
        <v>4</v>
      </c>
      <c r="S599" t="s">
        <v>42</v>
      </c>
      <c r="T599" s="2">
        <v>6062</v>
      </c>
      <c r="U599" s="2">
        <v>4051</v>
      </c>
      <c r="V599">
        <v>9</v>
      </c>
      <c r="W599" t="s">
        <v>32</v>
      </c>
      <c r="X599">
        <v>13</v>
      </c>
      <c r="Y599">
        <v>3</v>
      </c>
      <c r="Z599">
        <v>4</v>
      </c>
      <c r="AA599">
        <v>80</v>
      </c>
      <c r="AB599">
        <v>1</v>
      </c>
      <c r="AC599">
        <v>8</v>
      </c>
      <c r="AD599">
        <v>4</v>
      </c>
      <c r="AE599">
        <v>3</v>
      </c>
      <c r="AF599">
        <v>4</v>
      </c>
      <c r="AG599">
        <v>3</v>
      </c>
      <c r="AH599">
        <v>0</v>
      </c>
      <c r="AI599">
        <v>2</v>
      </c>
    </row>
    <row r="600" spans="1:35" x14ac:dyDescent="0.25">
      <c r="A600">
        <v>28</v>
      </c>
      <c r="B600" t="str">
        <f t="shared" si="18"/>
        <v>25-34</v>
      </c>
      <c r="C600" s="1" t="s">
        <v>32</v>
      </c>
      <c r="D600" s="17">
        <f>IF(Table1[[#This Row],[Attrition]]="Yes",1,0)</f>
        <v>1</v>
      </c>
      <c r="E600" t="s">
        <v>57</v>
      </c>
      <c r="F600" s="2">
        <v>890</v>
      </c>
      <c r="G600" t="s">
        <v>39</v>
      </c>
      <c r="H600">
        <v>2</v>
      </c>
      <c r="I600">
        <v>4</v>
      </c>
      <c r="J600" t="str">
        <f t="shared" si="19"/>
        <v>Master</v>
      </c>
      <c r="K600" t="s">
        <v>45</v>
      </c>
      <c r="L600">
        <v>3</v>
      </c>
      <c r="M600" t="s">
        <v>40</v>
      </c>
      <c r="N600" s="2">
        <v>46</v>
      </c>
      <c r="O600">
        <v>3</v>
      </c>
      <c r="P600">
        <v>1</v>
      </c>
      <c r="Q600" t="s">
        <v>41</v>
      </c>
      <c r="R600">
        <v>3</v>
      </c>
      <c r="S600" t="s">
        <v>37</v>
      </c>
      <c r="T600" s="2">
        <v>4382</v>
      </c>
      <c r="U600" s="2">
        <v>16374</v>
      </c>
      <c r="V600">
        <v>6</v>
      </c>
      <c r="W600" t="s">
        <v>38</v>
      </c>
      <c r="X600">
        <v>17</v>
      </c>
      <c r="Y600">
        <v>3</v>
      </c>
      <c r="Z600">
        <v>4</v>
      </c>
      <c r="AA600">
        <v>80</v>
      </c>
      <c r="AB600">
        <v>0</v>
      </c>
      <c r="AC600">
        <v>5</v>
      </c>
      <c r="AD600">
        <v>3</v>
      </c>
      <c r="AE600">
        <v>2</v>
      </c>
      <c r="AF600">
        <v>2</v>
      </c>
      <c r="AG600">
        <v>2</v>
      </c>
      <c r="AH600">
        <v>2</v>
      </c>
      <c r="AI600">
        <v>1</v>
      </c>
    </row>
    <row r="601" spans="1:35" x14ac:dyDescent="0.25">
      <c r="A601">
        <v>36</v>
      </c>
      <c r="B601" t="str">
        <f t="shared" si="18"/>
        <v>35-44</v>
      </c>
      <c r="C601" s="1" t="s">
        <v>38</v>
      </c>
      <c r="D601" s="17">
        <f>IF(Table1[[#This Row],[Attrition]]="Yes",1,0)</f>
        <v>0</v>
      </c>
      <c r="E601" t="s">
        <v>57</v>
      </c>
      <c r="F601" s="2">
        <v>1041</v>
      </c>
      <c r="G601" t="s">
        <v>55</v>
      </c>
      <c r="H601">
        <v>13</v>
      </c>
      <c r="I601">
        <v>3</v>
      </c>
      <c r="J601" t="str">
        <f t="shared" si="19"/>
        <v>Bachelor</v>
      </c>
      <c r="K601" t="s">
        <v>55</v>
      </c>
      <c r="L601">
        <v>3</v>
      </c>
      <c r="M601" t="s">
        <v>40</v>
      </c>
      <c r="N601" s="2">
        <v>36</v>
      </c>
      <c r="O601">
        <v>3</v>
      </c>
      <c r="P601">
        <v>1</v>
      </c>
      <c r="Q601" t="s">
        <v>55</v>
      </c>
      <c r="R601">
        <v>2</v>
      </c>
      <c r="S601" t="s">
        <v>42</v>
      </c>
      <c r="T601" s="2">
        <v>2143</v>
      </c>
      <c r="U601" s="2">
        <v>25527</v>
      </c>
      <c r="V601">
        <v>4</v>
      </c>
      <c r="W601" t="s">
        <v>38</v>
      </c>
      <c r="X601">
        <v>13</v>
      </c>
      <c r="Y601">
        <v>3</v>
      </c>
      <c r="Z601">
        <v>2</v>
      </c>
      <c r="AA601">
        <v>80</v>
      </c>
      <c r="AB601">
        <v>1</v>
      </c>
      <c r="AC601">
        <v>8</v>
      </c>
      <c r="AD601">
        <v>2</v>
      </c>
      <c r="AE601">
        <v>3</v>
      </c>
      <c r="AF601">
        <v>5</v>
      </c>
      <c r="AG601">
        <v>2</v>
      </c>
      <c r="AH601">
        <v>0</v>
      </c>
      <c r="AI601">
        <v>4</v>
      </c>
    </row>
    <row r="602" spans="1:35" x14ac:dyDescent="0.25">
      <c r="A602">
        <v>32</v>
      </c>
      <c r="B602" t="str">
        <f t="shared" si="18"/>
        <v>25-34</v>
      </c>
      <c r="C602" s="1" t="s">
        <v>38</v>
      </c>
      <c r="D602" s="17">
        <f>IF(Table1[[#This Row],[Attrition]]="Yes",1,0)</f>
        <v>0</v>
      </c>
      <c r="E602" t="s">
        <v>57</v>
      </c>
      <c r="F602" s="2">
        <v>859</v>
      </c>
      <c r="G602" t="s">
        <v>39</v>
      </c>
      <c r="H602">
        <v>4</v>
      </c>
      <c r="I602">
        <v>3</v>
      </c>
      <c r="J602" t="str">
        <f t="shared" si="19"/>
        <v>Bachelor</v>
      </c>
      <c r="K602" t="s">
        <v>34</v>
      </c>
      <c r="L602">
        <v>3</v>
      </c>
      <c r="M602" t="s">
        <v>35</v>
      </c>
      <c r="N602" s="2">
        <v>98</v>
      </c>
      <c r="O602">
        <v>2</v>
      </c>
      <c r="P602">
        <v>2</v>
      </c>
      <c r="Q602" t="s">
        <v>47</v>
      </c>
      <c r="R602">
        <v>3</v>
      </c>
      <c r="S602" t="s">
        <v>42</v>
      </c>
      <c r="T602" s="2">
        <v>6162</v>
      </c>
      <c r="U602" s="2">
        <v>19124</v>
      </c>
      <c r="V602">
        <v>1</v>
      </c>
      <c r="W602" t="s">
        <v>38</v>
      </c>
      <c r="X602">
        <v>12</v>
      </c>
      <c r="Y602">
        <v>3</v>
      </c>
      <c r="Z602">
        <v>3</v>
      </c>
      <c r="AA602">
        <v>80</v>
      </c>
      <c r="AB602">
        <v>1</v>
      </c>
      <c r="AC602">
        <v>14</v>
      </c>
      <c r="AD602">
        <v>3</v>
      </c>
      <c r="AE602">
        <v>3</v>
      </c>
      <c r="AF602">
        <v>14</v>
      </c>
      <c r="AG602">
        <v>13</v>
      </c>
      <c r="AH602">
        <v>6</v>
      </c>
      <c r="AI602">
        <v>8</v>
      </c>
    </row>
    <row r="603" spans="1:35" x14ac:dyDescent="0.25">
      <c r="A603">
        <v>40</v>
      </c>
      <c r="B603" t="str">
        <f t="shared" si="18"/>
        <v>35-44</v>
      </c>
      <c r="C603" s="1" t="s">
        <v>38</v>
      </c>
      <c r="D603" s="17">
        <f>IF(Table1[[#This Row],[Attrition]]="Yes",1,0)</f>
        <v>0</v>
      </c>
      <c r="E603" t="s">
        <v>58</v>
      </c>
      <c r="F603" s="2">
        <v>720</v>
      </c>
      <c r="G603" t="s">
        <v>39</v>
      </c>
      <c r="H603">
        <v>16</v>
      </c>
      <c r="I603">
        <v>4</v>
      </c>
      <c r="J603" t="str">
        <f t="shared" si="19"/>
        <v>Master</v>
      </c>
      <c r="K603" t="s">
        <v>45</v>
      </c>
      <c r="L603">
        <v>1</v>
      </c>
      <c r="M603" t="s">
        <v>40</v>
      </c>
      <c r="N603" s="2">
        <v>51</v>
      </c>
      <c r="O603">
        <v>2</v>
      </c>
      <c r="P603">
        <v>2</v>
      </c>
      <c r="Q603" t="s">
        <v>44</v>
      </c>
      <c r="R603">
        <v>3</v>
      </c>
      <c r="S603" t="s">
        <v>37</v>
      </c>
      <c r="T603" s="2">
        <v>5094</v>
      </c>
      <c r="U603" s="2">
        <v>11983</v>
      </c>
      <c r="V603">
        <v>6</v>
      </c>
      <c r="W603" t="s">
        <v>38</v>
      </c>
      <c r="X603">
        <v>14</v>
      </c>
      <c r="Y603">
        <v>3</v>
      </c>
      <c r="Z603">
        <v>4</v>
      </c>
      <c r="AA603">
        <v>80</v>
      </c>
      <c r="AB603">
        <v>0</v>
      </c>
      <c r="AC603">
        <v>10</v>
      </c>
      <c r="AD603">
        <v>6</v>
      </c>
      <c r="AE603">
        <v>3</v>
      </c>
      <c r="AF603">
        <v>1</v>
      </c>
      <c r="AG603">
        <v>0</v>
      </c>
      <c r="AH603">
        <v>0</v>
      </c>
      <c r="AI603">
        <v>0</v>
      </c>
    </row>
    <row r="604" spans="1:35" x14ac:dyDescent="0.25">
      <c r="A604">
        <v>30</v>
      </c>
      <c r="B604" t="str">
        <f t="shared" si="18"/>
        <v>25-34</v>
      </c>
      <c r="C604" s="1" t="s">
        <v>38</v>
      </c>
      <c r="D604" s="17">
        <f>IF(Table1[[#This Row],[Attrition]]="Yes",1,0)</f>
        <v>0</v>
      </c>
      <c r="E604" t="s">
        <v>57</v>
      </c>
      <c r="F604" s="2">
        <v>946</v>
      </c>
      <c r="G604" t="s">
        <v>39</v>
      </c>
      <c r="H604">
        <v>2</v>
      </c>
      <c r="I604">
        <v>3</v>
      </c>
      <c r="J604" t="str">
        <f t="shared" si="19"/>
        <v>Bachelor</v>
      </c>
      <c r="K604" t="s">
        <v>45</v>
      </c>
      <c r="L604">
        <v>3</v>
      </c>
      <c r="M604" t="s">
        <v>35</v>
      </c>
      <c r="N604" s="2">
        <v>52</v>
      </c>
      <c r="O604">
        <v>2</v>
      </c>
      <c r="P604">
        <v>2</v>
      </c>
      <c r="Q604" t="s">
        <v>47</v>
      </c>
      <c r="R604">
        <v>4</v>
      </c>
      <c r="S604" t="s">
        <v>37</v>
      </c>
      <c r="T604" s="2">
        <v>6877</v>
      </c>
      <c r="U604" s="2">
        <v>20234</v>
      </c>
      <c r="V604">
        <v>5</v>
      </c>
      <c r="W604" t="s">
        <v>32</v>
      </c>
      <c r="X604">
        <v>24</v>
      </c>
      <c r="Y604">
        <v>4</v>
      </c>
      <c r="Z604">
        <v>2</v>
      </c>
      <c r="AA604">
        <v>80</v>
      </c>
      <c r="AB604">
        <v>0</v>
      </c>
      <c r="AC604">
        <v>12</v>
      </c>
      <c r="AD604">
        <v>4</v>
      </c>
      <c r="AE604">
        <v>2</v>
      </c>
      <c r="AF604">
        <v>0</v>
      </c>
      <c r="AG604">
        <v>0</v>
      </c>
      <c r="AH604">
        <v>0</v>
      </c>
      <c r="AI604">
        <v>0</v>
      </c>
    </row>
    <row r="605" spans="1:35" x14ac:dyDescent="0.25">
      <c r="A605">
        <v>45</v>
      </c>
      <c r="B605" t="str">
        <f t="shared" si="18"/>
        <v>45-54</v>
      </c>
      <c r="C605" s="1" t="s">
        <v>38</v>
      </c>
      <c r="D605" s="17">
        <f>IF(Table1[[#This Row],[Attrition]]="Yes",1,0)</f>
        <v>0</v>
      </c>
      <c r="E605" t="s">
        <v>57</v>
      </c>
      <c r="F605" s="2">
        <v>252</v>
      </c>
      <c r="G605" t="s">
        <v>39</v>
      </c>
      <c r="H605">
        <v>2</v>
      </c>
      <c r="I605">
        <v>3</v>
      </c>
      <c r="J605" t="str">
        <f t="shared" si="19"/>
        <v>Bachelor</v>
      </c>
      <c r="K605" t="s">
        <v>34</v>
      </c>
      <c r="L605">
        <v>2</v>
      </c>
      <c r="M605" t="s">
        <v>35</v>
      </c>
      <c r="N605" s="2">
        <v>95</v>
      </c>
      <c r="O605">
        <v>2</v>
      </c>
      <c r="P605">
        <v>1</v>
      </c>
      <c r="Q605" t="s">
        <v>41</v>
      </c>
      <c r="R605">
        <v>3</v>
      </c>
      <c r="S605" t="s">
        <v>37</v>
      </c>
      <c r="T605" s="2">
        <v>2274</v>
      </c>
      <c r="U605" s="2">
        <v>6153</v>
      </c>
      <c r="V605">
        <v>1</v>
      </c>
      <c r="W605" t="s">
        <v>38</v>
      </c>
      <c r="X605">
        <v>14</v>
      </c>
      <c r="Y605">
        <v>3</v>
      </c>
      <c r="Z605">
        <v>4</v>
      </c>
      <c r="AA605">
        <v>80</v>
      </c>
      <c r="AB605">
        <v>0</v>
      </c>
      <c r="AC605">
        <v>1</v>
      </c>
      <c r="AD605">
        <v>3</v>
      </c>
      <c r="AE605">
        <v>3</v>
      </c>
      <c r="AF605">
        <v>1</v>
      </c>
      <c r="AG605">
        <v>0</v>
      </c>
      <c r="AH605">
        <v>0</v>
      </c>
      <c r="AI605">
        <v>0</v>
      </c>
    </row>
    <row r="606" spans="1:35" x14ac:dyDescent="0.25">
      <c r="A606">
        <v>42</v>
      </c>
      <c r="B606" t="str">
        <f t="shared" si="18"/>
        <v>35-44</v>
      </c>
      <c r="C606" s="1" t="s">
        <v>38</v>
      </c>
      <c r="D606" s="17">
        <f>IF(Table1[[#This Row],[Attrition]]="Yes",1,0)</f>
        <v>0</v>
      </c>
      <c r="E606" t="s">
        <v>57</v>
      </c>
      <c r="F606" s="2">
        <v>933</v>
      </c>
      <c r="G606" t="s">
        <v>39</v>
      </c>
      <c r="H606">
        <v>29</v>
      </c>
      <c r="I606">
        <v>3</v>
      </c>
      <c r="J606" t="str">
        <f t="shared" si="19"/>
        <v>Bachelor</v>
      </c>
      <c r="K606" t="s">
        <v>34</v>
      </c>
      <c r="L606">
        <v>2</v>
      </c>
      <c r="M606" t="s">
        <v>40</v>
      </c>
      <c r="N606" s="2">
        <v>98</v>
      </c>
      <c r="O606">
        <v>3</v>
      </c>
      <c r="P606">
        <v>2</v>
      </c>
      <c r="Q606" t="s">
        <v>47</v>
      </c>
      <c r="R606">
        <v>2</v>
      </c>
      <c r="S606" t="s">
        <v>42</v>
      </c>
      <c r="T606" s="2">
        <v>4434</v>
      </c>
      <c r="U606" s="2">
        <v>11806</v>
      </c>
      <c r="V606">
        <v>1</v>
      </c>
      <c r="W606" t="s">
        <v>38</v>
      </c>
      <c r="X606">
        <v>13</v>
      </c>
      <c r="Y606">
        <v>3</v>
      </c>
      <c r="Z606">
        <v>4</v>
      </c>
      <c r="AA606">
        <v>80</v>
      </c>
      <c r="AB606">
        <v>1</v>
      </c>
      <c r="AC606">
        <v>10</v>
      </c>
      <c r="AD606">
        <v>3</v>
      </c>
      <c r="AE606">
        <v>2</v>
      </c>
      <c r="AF606">
        <v>9</v>
      </c>
      <c r="AG606">
        <v>8</v>
      </c>
      <c r="AH606">
        <v>7</v>
      </c>
      <c r="AI606">
        <v>8</v>
      </c>
    </row>
    <row r="607" spans="1:35" x14ac:dyDescent="0.25">
      <c r="A607">
        <v>38</v>
      </c>
      <c r="B607" t="str">
        <f t="shared" si="18"/>
        <v>35-44</v>
      </c>
      <c r="C607" s="1" t="s">
        <v>38</v>
      </c>
      <c r="D607" s="17">
        <f>IF(Table1[[#This Row],[Attrition]]="Yes",1,0)</f>
        <v>0</v>
      </c>
      <c r="E607" t="s">
        <v>58</v>
      </c>
      <c r="F607" s="2">
        <v>471</v>
      </c>
      <c r="G607" t="s">
        <v>39</v>
      </c>
      <c r="H607">
        <v>12</v>
      </c>
      <c r="I607">
        <v>3</v>
      </c>
      <c r="J607" t="str">
        <f t="shared" si="19"/>
        <v>Bachelor</v>
      </c>
      <c r="K607" t="s">
        <v>34</v>
      </c>
      <c r="L607">
        <v>1</v>
      </c>
      <c r="M607" t="s">
        <v>40</v>
      </c>
      <c r="N607" s="2">
        <v>45</v>
      </c>
      <c r="O607">
        <v>2</v>
      </c>
      <c r="P607">
        <v>2</v>
      </c>
      <c r="Q607" t="s">
        <v>48</v>
      </c>
      <c r="R607">
        <v>1</v>
      </c>
      <c r="S607" t="s">
        <v>46</v>
      </c>
      <c r="T607" s="2">
        <v>6288</v>
      </c>
      <c r="U607" s="2">
        <v>4284</v>
      </c>
      <c r="V607">
        <v>2</v>
      </c>
      <c r="W607" t="s">
        <v>38</v>
      </c>
      <c r="X607">
        <v>15</v>
      </c>
      <c r="Y607">
        <v>3</v>
      </c>
      <c r="Z607">
        <v>3</v>
      </c>
      <c r="AA607">
        <v>80</v>
      </c>
      <c r="AB607">
        <v>1</v>
      </c>
      <c r="AC607">
        <v>13</v>
      </c>
      <c r="AD607">
        <v>3</v>
      </c>
      <c r="AE607">
        <v>2</v>
      </c>
      <c r="AF607">
        <v>4</v>
      </c>
      <c r="AG607">
        <v>3</v>
      </c>
      <c r="AH607">
        <v>1</v>
      </c>
      <c r="AI607">
        <v>2</v>
      </c>
    </row>
    <row r="608" spans="1:35" x14ac:dyDescent="0.25">
      <c r="A608">
        <v>34</v>
      </c>
      <c r="B608" t="str">
        <f t="shared" si="18"/>
        <v>25-34</v>
      </c>
      <c r="C608" s="1" t="s">
        <v>38</v>
      </c>
      <c r="D608" s="17">
        <f>IF(Table1[[#This Row],[Attrition]]="Yes",1,0)</f>
        <v>0</v>
      </c>
      <c r="E608" t="s">
        <v>58</v>
      </c>
      <c r="F608" s="2">
        <v>702</v>
      </c>
      <c r="G608" t="s">
        <v>39</v>
      </c>
      <c r="H608">
        <v>16</v>
      </c>
      <c r="I608">
        <v>4</v>
      </c>
      <c r="J608" t="str">
        <f t="shared" si="19"/>
        <v>Master</v>
      </c>
      <c r="K608" t="s">
        <v>34</v>
      </c>
      <c r="L608">
        <v>3</v>
      </c>
      <c r="M608" t="s">
        <v>35</v>
      </c>
      <c r="N608" s="2">
        <v>100</v>
      </c>
      <c r="O608">
        <v>2</v>
      </c>
      <c r="P608">
        <v>1</v>
      </c>
      <c r="Q608" t="s">
        <v>41</v>
      </c>
      <c r="R608">
        <v>4</v>
      </c>
      <c r="S608" t="s">
        <v>37</v>
      </c>
      <c r="T608" s="2">
        <v>2553</v>
      </c>
      <c r="U608" s="2">
        <v>8306</v>
      </c>
      <c r="V608">
        <v>1</v>
      </c>
      <c r="W608" t="s">
        <v>38</v>
      </c>
      <c r="X608">
        <v>16</v>
      </c>
      <c r="Y608">
        <v>3</v>
      </c>
      <c r="Z608">
        <v>3</v>
      </c>
      <c r="AA608">
        <v>80</v>
      </c>
      <c r="AB608">
        <v>0</v>
      </c>
      <c r="AC608">
        <v>6</v>
      </c>
      <c r="AD608">
        <v>3</v>
      </c>
      <c r="AE608">
        <v>3</v>
      </c>
      <c r="AF608">
        <v>5</v>
      </c>
      <c r="AG608">
        <v>2</v>
      </c>
      <c r="AH608">
        <v>1</v>
      </c>
      <c r="AI608">
        <v>3</v>
      </c>
    </row>
    <row r="609" spans="1:35" x14ac:dyDescent="0.25">
      <c r="A609">
        <v>49</v>
      </c>
      <c r="B609" t="str">
        <f t="shared" si="18"/>
        <v>45-54</v>
      </c>
      <c r="C609" s="1" t="s">
        <v>32</v>
      </c>
      <c r="D609" s="17">
        <f>IF(Table1[[#This Row],[Attrition]]="Yes",1,0)</f>
        <v>1</v>
      </c>
      <c r="E609" t="s">
        <v>57</v>
      </c>
      <c r="F609" s="2">
        <v>1184</v>
      </c>
      <c r="G609" t="s">
        <v>33</v>
      </c>
      <c r="H609">
        <v>11</v>
      </c>
      <c r="I609">
        <v>3</v>
      </c>
      <c r="J609" t="str">
        <f t="shared" si="19"/>
        <v>Bachelor</v>
      </c>
      <c r="K609" t="s">
        <v>53</v>
      </c>
      <c r="L609">
        <v>3</v>
      </c>
      <c r="M609" t="s">
        <v>35</v>
      </c>
      <c r="N609" s="2">
        <v>43</v>
      </c>
      <c r="O609">
        <v>3</v>
      </c>
      <c r="P609">
        <v>3</v>
      </c>
      <c r="Q609" t="s">
        <v>36</v>
      </c>
      <c r="R609">
        <v>4</v>
      </c>
      <c r="S609" t="s">
        <v>42</v>
      </c>
      <c r="T609" s="2">
        <v>7654</v>
      </c>
      <c r="U609" s="2">
        <v>5860</v>
      </c>
      <c r="V609">
        <v>1</v>
      </c>
      <c r="W609" t="s">
        <v>38</v>
      </c>
      <c r="X609">
        <v>18</v>
      </c>
      <c r="Y609">
        <v>3</v>
      </c>
      <c r="Z609">
        <v>1</v>
      </c>
      <c r="AA609">
        <v>80</v>
      </c>
      <c r="AB609">
        <v>2</v>
      </c>
      <c r="AC609">
        <v>9</v>
      </c>
      <c r="AD609">
        <v>3</v>
      </c>
      <c r="AE609">
        <v>4</v>
      </c>
      <c r="AF609">
        <v>9</v>
      </c>
      <c r="AG609">
        <v>8</v>
      </c>
      <c r="AH609">
        <v>7</v>
      </c>
      <c r="AI609">
        <v>7</v>
      </c>
    </row>
    <row r="610" spans="1:35" x14ac:dyDescent="0.25">
      <c r="A610">
        <v>55</v>
      </c>
      <c r="B610" t="str">
        <f t="shared" si="18"/>
        <v>55-64</v>
      </c>
      <c r="C610" s="1" t="s">
        <v>32</v>
      </c>
      <c r="D610" s="17">
        <f>IF(Table1[[#This Row],[Attrition]]="Yes",1,0)</f>
        <v>1</v>
      </c>
      <c r="E610" t="s">
        <v>57</v>
      </c>
      <c r="F610" s="2">
        <v>436</v>
      </c>
      <c r="G610" t="s">
        <v>33</v>
      </c>
      <c r="H610">
        <v>2</v>
      </c>
      <c r="I610">
        <v>1</v>
      </c>
      <c r="J610" t="str">
        <f t="shared" si="19"/>
        <v>Below College</v>
      </c>
      <c r="K610" t="s">
        <v>45</v>
      </c>
      <c r="L610">
        <v>3</v>
      </c>
      <c r="M610" t="s">
        <v>40</v>
      </c>
      <c r="N610" s="2">
        <v>37</v>
      </c>
      <c r="O610">
        <v>3</v>
      </c>
      <c r="P610">
        <v>2</v>
      </c>
      <c r="Q610" t="s">
        <v>36</v>
      </c>
      <c r="R610">
        <v>4</v>
      </c>
      <c r="S610" t="s">
        <v>37</v>
      </c>
      <c r="T610" s="2">
        <v>5160</v>
      </c>
      <c r="U610" s="2">
        <v>21519</v>
      </c>
      <c r="V610">
        <v>4</v>
      </c>
      <c r="W610" t="s">
        <v>38</v>
      </c>
      <c r="X610">
        <v>16</v>
      </c>
      <c r="Y610">
        <v>3</v>
      </c>
      <c r="Z610">
        <v>3</v>
      </c>
      <c r="AA610">
        <v>80</v>
      </c>
      <c r="AB610">
        <v>0</v>
      </c>
      <c r="AC610">
        <v>12</v>
      </c>
      <c r="AD610">
        <v>3</v>
      </c>
      <c r="AE610">
        <v>2</v>
      </c>
      <c r="AF610">
        <v>9</v>
      </c>
      <c r="AG610">
        <v>7</v>
      </c>
      <c r="AH610">
        <v>7</v>
      </c>
      <c r="AI610">
        <v>3</v>
      </c>
    </row>
    <row r="611" spans="1:35" x14ac:dyDescent="0.25">
      <c r="A611">
        <v>43</v>
      </c>
      <c r="B611" t="str">
        <f t="shared" si="18"/>
        <v>35-44</v>
      </c>
      <c r="C611" s="1" t="s">
        <v>38</v>
      </c>
      <c r="D611" s="17">
        <f>IF(Table1[[#This Row],[Attrition]]="Yes",1,0)</f>
        <v>0</v>
      </c>
      <c r="E611" t="s">
        <v>57</v>
      </c>
      <c r="F611" s="2">
        <v>589</v>
      </c>
      <c r="G611" t="s">
        <v>39</v>
      </c>
      <c r="H611">
        <v>14</v>
      </c>
      <c r="I611">
        <v>2</v>
      </c>
      <c r="J611" t="str">
        <f t="shared" si="19"/>
        <v>College</v>
      </c>
      <c r="K611" t="s">
        <v>34</v>
      </c>
      <c r="L611">
        <v>2</v>
      </c>
      <c r="M611" t="s">
        <v>40</v>
      </c>
      <c r="N611" s="2">
        <v>94</v>
      </c>
      <c r="O611">
        <v>3</v>
      </c>
      <c r="P611">
        <v>4</v>
      </c>
      <c r="Q611" t="s">
        <v>52</v>
      </c>
      <c r="R611">
        <v>1</v>
      </c>
      <c r="S611" t="s">
        <v>42</v>
      </c>
      <c r="T611" s="2">
        <v>17159</v>
      </c>
      <c r="U611" s="2">
        <v>5200</v>
      </c>
      <c r="V611">
        <v>6</v>
      </c>
      <c r="W611" t="s">
        <v>38</v>
      </c>
      <c r="X611">
        <v>24</v>
      </c>
      <c r="Y611">
        <v>4</v>
      </c>
      <c r="Z611">
        <v>3</v>
      </c>
      <c r="AA611">
        <v>80</v>
      </c>
      <c r="AB611">
        <v>1</v>
      </c>
      <c r="AC611">
        <v>22</v>
      </c>
      <c r="AD611">
        <v>3</v>
      </c>
      <c r="AE611">
        <v>3</v>
      </c>
      <c r="AF611">
        <v>4</v>
      </c>
      <c r="AG611">
        <v>1</v>
      </c>
      <c r="AH611">
        <v>1</v>
      </c>
      <c r="AI611">
        <v>0</v>
      </c>
    </row>
    <row r="612" spans="1:35" x14ac:dyDescent="0.25">
      <c r="A612">
        <v>27</v>
      </c>
      <c r="B612" t="str">
        <f t="shared" si="18"/>
        <v>25-34</v>
      </c>
      <c r="C612" s="1" t="s">
        <v>38</v>
      </c>
      <c r="D612" s="17">
        <f>IF(Table1[[#This Row],[Attrition]]="Yes",1,0)</f>
        <v>0</v>
      </c>
      <c r="E612" t="s">
        <v>57</v>
      </c>
      <c r="F612" s="2">
        <v>269</v>
      </c>
      <c r="G612" t="s">
        <v>39</v>
      </c>
      <c r="H612">
        <v>5</v>
      </c>
      <c r="I612">
        <v>1</v>
      </c>
      <c r="J612" t="str">
        <f t="shared" si="19"/>
        <v>Below College</v>
      </c>
      <c r="K612" t="s">
        <v>54</v>
      </c>
      <c r="L612">
        <v>3</v>
      </c>
      <c r="M612" t="s">
        <v>40</v>
      </c>
      <c r="N612" s="2">
        <v>42</v>
      </c>
      <c r="O612">
        <v>2</v>
      </c>
      <c r="P612">
        <v>3</v>
      </c>
      <c r="Q612" t="s">
        <v>52</v>
      </c>
      <c r="R612">
        <v>4</v>
      </c>
      <c r="S612" t="s">
        <v>46</v>
      </c>
      <c r="T612" s="2">
        <v>12808</v>
      </c>
      <c r="U612" s="2">
        <v>8842</v>
      </c>
      <c r="V612">
        <v>1</v>
      </c>
      <c r="W612" t="s">
        <v>32</v>
      </c>
      <c r="X612">
        <v>16</v>
      </c>
      <c r="Y612">
        <v>3</v>
      </c>
      <c r="Z612">
        <v>2</v>
      </c>
      <c r="AA612">
        <v>80</v>
      </c>
      <c r="AB612">
        <v>1</v>
      </c>
      <c r="AC612">
        <v>9</v>
      </c>
      <c r="AD612">
        <v>3</v>
      </c>
      <c r="AE612">
        <v>3</v>
      </c>
      <c r="AF612">
        <v>9</v>
      </c>
      <c r="AG612">
        <v>8</v>
      </c>
      <c r="AH612">
        <v>0</v>
      </c>
      <c r="AI612">
        <v>8</v>
      </c>
    </row>
    <row r="613" spans="1:35" x14ac:dyDescent="0.25">
      <c r="A613">
        <v>35</v>
      </c>
      <c r="B613" t="str">
        <f t="shared" si="18"/>
        <v>35-44</v>
      </c>
      <c r="C613" s="1" t="s">
        <v>38</v>
      </c>
      <c r="D613" s="17">
        <f>IF(Table1[[#This Row],[Attrition]]="Yes",1,0)</f>
        <v>0</v>
      </c>
      <c r="E613" t="s">
        <v>57</v>
      </c>
      <c r="F613" s="2">
        <v>950</v>
      </c>
      <c r="G613" t="s">
        <v>39</v>
      </c>
      <c r="H613">
        <v>7</v>
      </c>
      <c r="I613">
        <v>3</v>
      </c>
      <c r="J613" t="str">
        <f t="shared" si="19"/>
        <v>Bachelor</v>
      </c>
      <c r="K613" t="s">
        <v>43</v>
      </c>
      <c r="L613">
        <v>3</v>
      </c>
      <c r="M613" t="s">
        <v>40</v>
      </c>
      <c r="N613" s="2">
        <v>59</v>
      </c>
      <c r="O613">
        <v>3</v>
      </c>
      <c r="P613">
        <v>3</v>
      </c>
      <c r="Q613" t="s">
        <v>47</v>
      </c>
      <c r="R613">
        <v>3</v>
      </c>
      <c r="S613" t="s">
        <v>37</v>
      </c>
      <c r="T613" s="2">
        <v>10221</v>
      </c>
      <c r="U613" s="2">
        <v>18869</v>
      </c>
      <c r="V613">
        <v>3</v>
      </c>
      <c r="W613" t="s">
        <v>38</v>
      </c>
      <c r="X613">
        <v>21</v>
      </c>
      <c r="Y613">
        <v>4</v>
      </c>
      <c r="Z613">
        <v>2</v>
      </c>
      <c r="AA613">
        <v>80</v>
      </c>
      <c r="AB613">
        <v>0</v>
      </c>
      <c r="AC613">
        <v>17</v>
      </c>
      <c r="AD613">
        <v>3</v>
      </c>
      <c r="AE613">
        <v>4</v>
      </c>
      <c r="AF613">
        <v>8</v>
      </c>
      <c r="AG613">
        <v>5</v>
      </c>
      <c r="AH613">
        <v>1</v>
      </c>
      <c r="AI613">
        <v>6</v>
      </c>
    </row>
    <row r="614" spans="1:35" x14ac:dyDescent="0.25">
      <c r="A614">
        <v>28</v>
      </c>
      <c r="B614" t="str">
        <f t="shared" si="18"/>
        <v>25-34</v>
      </c>
      <c r="C614" s="1" t="s">
        <v>38</v>
      </c>
      <c r="D614" s="17">
        <f>IF(Table1[[#This Row],[Attrition]]="Yes",1,0)</f>
        <v>0</v>
      </c>
      <c r="E614" t="s">
        <v>57</v>
      </c>
      <c r="F614" s="2">
        <v>760</v>
      </c>
      <c r="G614" t="s">
        <v>33</v>
      </c>
      <c r="H614">
        <v>2</v>
      </c>
      <c r="I614">
        <v>4</v>
      </c>
      <c r="J614" t="str">
        <f t="shared" si="19"/>
        <v>Master</v>
      </c>
      <c r="K614" t="s">
        <v>53</v>
      </c>
      <c r="L614">
        <v>2</v>
      </c>
      <c r="M614" t="s">
        <v>35</v>
      </c>
      <c r="N614" s="2">
        <v>81</v>
      </c>
      <c r="O614">
        <v>3</v>
      </c>
      <c r="P614">
        <v>2</v>
      </c>
      <c r="Q614" t="s">
        <v>36</v>
      </c>
      <c r="R614">
        <v>2</v>
      </c>
      <c r="S614" t="s">
        <v>42</v>
      </c>
      <c r="T614" s="2">
        <v>4779</v>
      </c>
      <c r="U614" s="2">
        <v>3698</v>
      </c>
      <c r="V614">
        <v>1</v>
      </c>
      <c r="W614" t="s">
        <v>32</v>
      </c>
      <c r="X614">
        <v>20</v>
      </c>
      <c r="Y614">
        <v>4</v>
      </c>
      <c r="Z614">
        <v>1</v>
      </c>
      <c r="AA614">
        <v>80</v>
      </c>
      <c r="AB614">
        <v>0</v>
      </c>
      <c r="AC614">
        <v>8</v>
      </c>
      <c r="AD614">
        <v>2</v>
      </c>
      <c r="AE614">
        <v>3</v>
      </c>
      <c r="AF614">
        <v>8</v>
      </c>
      <c r="AG614">
        <v>7</v>
      </c>
      <c r="AH614">
        <v>7</v>
      </c>
      <c r="AI614">
        <v>5</v>
      </c>
    </row>
    <row r="615" spans="1:35" x14ac:dyDescent="0.25">
      <c r="A615">
        <v>34</v>
      </c>
      <c r="B615" t="str">
        <f t="shared" si="18"/>
        <v>25-34</v>
      </c>
      <c r="C615" s="1" t="s">
        <v>38</v>
      </c>
      <c r="D615" s="17">
        <f>IF(Table1[[#This Row],[Attrition]]="Yes",1,0)</f>
        <v>0</v>
      </c>
      <c r="E615" t="s">
        <v>57</v>
      </c>
      <c r="F615" s="2">
        <v>829</v>
      </c>
      <c r="G615" t="s">
        <v>55</v>
      </c>
      <c r="H615">
        <v>3</v>
      </c>
      <c r="I615">
        <v>2</v>
      </c>
      <c r="J615" t="str">
        <f t="shared" si="19"/>
        <v>College</v>
      </c>
      <c r="K615" t="s">
        <v>55</v>
      </c>
      <c r="L615">
        <v>3</v>
      </c>
      <c r="M615" t="s">
        <v>40</v>
      </c>
      <c r="N615" s="2">
        <v>88</v>
      </c>
      <c r="O615">
        <v>3</v>
      </c>
      <c r="P615">
        <v>1</v>
      </c>
      <c r="Q615" t="s">
        <v>55</v>
      </c>
      <c r="R615">
        <v>4</v>
      </c>
      <c r="S615" t="s">
        <v>42</v>
      </c>
      <c r="T615" s="2">
        <v>3737</v>
      </c>
      <c r="U615" s="2">
        <v>2243</v>
      </c>
      <c r="V615">
        <v>0</v>
      </c>
      <c r="W615" t="s">
        <v>38</v>
      </c>
      <c r="X615">
        <v>19</v>
      </c>
      <c r="Y615">
        <v>3</v>
      </c>
      <c r="Z615">
        <v>3</v>
      </c>
      <c r="AA615">
        <v>80</v>
      </c>
      <c r="AB615">
        <v>1</v>
      </c>
      <c r="AC615">
        <v>4</v>
      </c>
      <c r="AD615">
        <v>1</v>
      </c>
      <c r="AE615">
        <v>1</v>
      </c>
      <c r="AF615">
        <v>3</v>
      </c>
      <c r="AG615">
        <v>2</v>
      </c>
      <c r="AH615">
        <v>0</v>
      </c>
      <c r="AI615">
        <v>2</v>
      </c>
    </row>
    <row r="616" spans="1:35" x14ac:dyDescent="0.25">
      <c r="A616">
        <v>26</v>
      </c>
      <c r="B616" t="str">
        <f t="shared" si="18"/>
        <v>25-34</v>
      </c>
      <c r="C616" s="1" t="s">
        <v>32</v>
      </c>
      <c r="D616" s="17">
        <f>IF(Table1[[#This Row],[Attrition]]="Yes",1,0)</f>
        <v>1</v>
      </c>
      <c r="E616" t="s">
        <v>58</v>
      </c>
      <c r="F616" s="2">
        <v>887</v>
      </c>
      <c r="G616" t="s">
        <v>39</v>
      </c>
      <c r="H616">
        <v>5</v>
      </c>
      <c r="I616">
        <v>2</v>
      </c>
      <c r="J616" t="str">
        <f t="shared" si="19"/>
        <v>College</v>
      </c>
      <c r="K616" t="s">
        <v>45</v>
      </c>
      <c r="L616">
        <v>3</v>
      </c>
      <c r="M616" t="s">
        <v>35</v>
      </c>
      <c r="N616" s="2">
        <v>88</v>
      </c>
      <c r="O616">
        <v>2</v>
      </c>
      <c r="P616">
        <v>1</v>
      </c>
      <c r="Q616" t="s">
        <v>41</v>
      </c>
      <c r="R616">
        <v>3</v>
      </c>
      <c r="S616" t="s">
        <v>42</v>
      </c>
      <c r="T616" s="2">
        <v>2366</v>
      </c>
      <c r="U616" s="2">
        <v>20898</v>
      </c>
      <c r="V616">
        <v>1</v>
      </c>
      <c r="W616" t="s">
        <v>32</v>
      </c>
      <c r="X616">
        <v>14</v>
      </c>
      <c r="Y616">
        <v>3</v>
      </c>
      <c r="Z616">
        <v>1</v>
      </c>
      <c r="AA616">
        <v>80</v>
      </c>
      <c r="AB616">
        <v>1</v>
      </c>
      <c r="AC616">
        <v>8</v>
      </c>
      <c r="AD616">
        <v>2</v>
      </c>
      <c r="AE616">
        <v>3</v>
      </c>
      <c r="AF616">
        <v>8</v>
      </c>
      <c r="AG616">
        <v>7</v>
      </c>
      <c r="AH616">
        <v>1</v>
      </c>
      <c r="AI616">
        <v>7</v>
      </c>
    </row>
    <row r="617" spans="1:35" x14ac:dyDescent="0.25">
      <c r="A617">
        <v>27</v>
      </c>
      <c r="B617" t="str">
        <f t="shared" si="18"/>
        <v>25-34</v>
      </c>
      <c r="C617" s="1" t="s">
        <v>38</v>
      </c>
      <c r="D617" s="17">
        <f>IF(Table1[[#This Row],[Attrition]]="Yes",1,0)</f>
        <v>0</v>
      </c>
      <c r="E617" t="s">
        <v>49</v>
      </c>
      <c r="F617" s="2">
        <v>443</v>
      </c>
      <c r="G617" t="s">
        <v>39</v>
      </c>
      <c r="H617">
        <v>3</v>
      </c>
      <c r="I617">
        <v>3</v>
      </c>
      <c r="J617" t="str">
        <f t="shared" si="19"/>
        <v>Bachelor</v>
      </c>
      <c r="K617" t="s">
        <v>45</v>
      </c>
      <c r="L617">
        <v>4</v>
      </c>
      <c r="M617" t="s">
        <v>40</v>
      </c>
      <c r="N617" s="2">
        <v>50</v>
      </c>
      <c r="O617">
        <v>3</v>
      </c>
      <c r="P617">
        <v>1</v>
      </c>
      <c r="Q617" t="s">
        <v>41</v>
      </c>
      <c r="R617">
        <v>4</v>
      </c>
      <c r="S617" t="s">
        <v>42</v>
      </c>
      <c r="T617" s="2">
        <v>1706</v>
      </c>
      <c r="U617" s="2">
        <v>16571</v>
      </c>
      <c r="V617">
        <v>1</v>
      </c>
      <c r="W617" t="s">
        <v>38</v>
      </c>
      <c r="X617">
        <v>11</v>
      </c>
      <c r="Y617">
        <v>3</v>
      </c>
      <c r="Z617">
        <v>3</v>
      </c>
      <c r="AA617">
        <v>80</v>
      </c>
      <c r="AB617">
        <v>3</v>
      </c>
      <c r="AC617">
        <v>0</v>
      </c>
      <c r="AD617">
        <v>6</v>
      </c>
      <c r="AE617">
        <v>2</v>
      </c>
      <c r="AF617">
        <v>0</v>
      </c>
      <c r="AG617">
        <v>0</v>
      </c>
      <c r="AH617">
        <v>0</v>
      </c>
      <c r="AI617">
        <v>0</v>
      </c>
    </row>
    <row r="618" spans="1:35" x14ac:dyDescent="0.25">
      <c r="A618">
        <v>51</v>
      </c>
      <c r="B618" t="str">
        <f t="shared" si="18"/>
        <v>45-54</v>
      </c>
      <c r="C618" s="1" t="s">
        <v>38</v>
      </c>
      <c r="D618" s="17">
        <f>IF(Table1[[#This Row],[Attrition]]="Yes",1,0)</f>
        <v>0</v>
      </c>
      <c r="E618" t="s">
        <v>57</v>
      </c>
      <c r="F618" s="2">
        <v>1318</v>
      </c>
      <c r="G618" t="s">
        <v>33</v>
      </c>
      <c r="H618">
        <v>26</v>
      </c>
      <c r="I618">
        <v>4</v>
      </c>
      <c r="J618" t="str">
        <f t="shared" si="19"/>
        <v>Master</v>
      </c>
      <c r="K618" t="s">
        <v>53</v>
      </c>
      <c r="L618">
        <v>1</v>
      </c>
      <c r="M618" t="s">
        <v>35</v>
      </c>
      <c r="N618" s="2">
        <v>66</v>
      </c>
      <c r="O618">
        <v>3</v>
      </c>
      <c r="P618">
        <v>4</v>
      </c>
      <c r="Q618" t="s">
        <v>50</v>
      </c>
      <c r="R618">
        <v>3</v>
      </c>
      <c r="S618" t="s">
        <v>42</v>
      </c>
      <c r="T618" s="2">
        <v>16307</v>
      </c>
      <c r="U618" s="2">
        <v>5594</v>
      </c>
      <c r="V618">
        <v>2</v>
      </c>
      <c r="W618" t="s">
        <v>38</v>
      </c>
      <c r="X618">
        <v>14</v>
      </c>
      <c r="Y618">
        <v>3</v>
      </c>
      <c r="Z618">
        <v>3</v>
      </c>
      <c r="AA618">
        <v>80</v>
      </c>
      <c r="AB618">
        <v>1</v>
      </c>
      <c r="AC618">
        <v>29</v>
      </c>
      <c r="AD618">
        <v>2</v>
      </c>
      <c r="AE618">
        <v>2</v>
      </c>
      <c r="AF618">
        <v>20</v>
      </c>
      <c r="AG618">
        <v>6</v>
      </c>
      <c r="AH618">
        <v>4</v>
      </c>
      <c r="AI618">
        <v>17</v>
      </c>
    </row>
    <row r="619" spans="1:35" x14ac:dyDescent="0.25">
      <c r="A619">
        <v>44</v>
      </c>
      <c r="B619" t="str">
        <f t="shared" si="18"/>
        <v>35-44</v>
      </c>
      <c r="C619" s="1" t="s">
        <v>38</v>
      </c>
      <c r="D619" s="17">
        <f>IF(Table1[[#This Row],[Attrition]]="Yes",1,0)</f>
        <v>0</v>
      </c>
      <c r="E619" t="s">
        <v>57</v>
      </c>
      <c r="F619" s="2">
        <v>625</v>
      </c>
      <c r="G619" t="s">
        <v>39</v>
      </c>
      <c r="H619">
        <v>4</v>
      </c>
      <c r="I619">
        <v>3</v>
      </c>
      <c r="J619" t="str">
        <f t="shared" si="19"/>
        <v>Bachelor</v>
      </c>
      <c r="K619" t="s">
        <v>45</v>
      </c>
      <c r="L619">
        <v>4</v>
      </c>
      <c r="M619" t="s">
        <v>40</v>
      </c>
      <c r="N619" s="2">
        <v>50</v>
      </c>
      <c r="O619">
        <v>3</v>
      </c>
      <c r="P619">
        <v>2</v>
      </c>
      <c r="Q619" t="s">
        <v>48</v>
      </c>
      <c r="R619">
        <v>2</v>
      </c>
      <c r="S619" t="s">
        <v>37</v>
      </c>
      <c r="T619" s="2">
        <v>5933</v>
      </c>
      <c r="U619" s="2">
        <v>5197</v>
      </c>
      <c r="V619">
        <v>9</v>
      </c>
      <c r="W619" t="s">
        <v>38</v>
      </c>
      <c r="X619">
        <v>12</v>
      </c>
      <c r="Y619">
        <v>3</v>
      </c>
      <c r="Z619">
        <v>4</v>
      </c>
      <c r="AA619">
        <v>80</v>
      </c>
      <c r="AB619">
        <v>0</v>
      </c>
      <c r="AC619">
        <v>10</v>
      </c>
      <c r="AD619">
        <v>2</v>
      </c>
      <c r="AE619">
        <v>2</v>
      </c>
      <c r="AF619">
        <v>5</v>
      </c>
      <c r="AG619">
        <v>2</v>
      </c>
      <c r="AH619">
        <v>2</v>
      </c>
      <c r="AI619">
        <v>3</v>
      </c>
    </row>
    <row r="620" spans="1:35" x14ac:dyDescent="0.25">
      <c r="A620">
        <v>25</v>
      </c>
      <c r="B620" t="str">
        <f t="shared" si="18"/>
        <v>25-34</v>
      </c>
      <c r="C620" s="1" t="s">
        <v>38</v>
      </c>
      <c r="D620" s="17">
        <f>IF(Table1[[#This Row],[Attrition]]="Yes",1,0)</f>
        <v>0</v>
      </c>
      <c r="E620" t="s">
        <v>57</v>
      </c>
      <c r="F620" s="2">
        <v>180</v>
      </c>
      <c r="G620" t="s">
        <v>39</v>
      </c>
      <c r="H620">
        <v>2</v>
      </c>
      <c r="I620">
        <v>1</v>
      </c>
      <c r="J620" t="str">
        <f t="shared" si="19"/>
        <v>Below College</v>
      </c>
      <c r="K620" t="s">
        <v>45</v>
      </c>
      <c r="L620">
        <v>1</v>
      </c>
      <c r="M620" t="s">
        <v>40</v>
      </c>
      <c r="N620" s="2">
        <v>65</v>
      </c>
      <c r="O620">
        <v>4</v>
      </c>
      <c r="P620">
        <v>1</v>
      </c>
      <c r="Q620" t="s">
        <v>41</v>
      </c>
      <c r="R620">
        <v>1</v>
      </c>
      <c r="S620" t="s">
        <v>37</v>
      </c>
      <c r="T620" s="2">
        <v>3424</v>
      </c>
      <c r="U620" s="2">
        <v>21632</v>
      </c>
      <c r="V620">
        <v>7</v>
      </c>
      <c r="W620" t="s">
        <v>38</v>
      </c>
      <c r="X620">
        <v>13</v>
      </c>
      <c r="Y620">
        <v>3</v>
      </c>
      <c r="Z620">
        <v>3</v>
      </c>
      <c r="AA620">
        <v>80</v>
      </c>
      <c r="AB620">
        <v>0</v>
      </c>
      <c r="AC620">
        <v>6</v>
      </c>
      <c r="AD620">
        <v>3</v>
      </c>
      <c r="AE620">
        <v>2</v>
      </c>
      <c r="AF620">
        <v>4</v>
      </c>
      <c r="AG620">
        <v>3</v>
      </c>
      <c r="AH620">
        <v>0</v>
      </c>
      <c r="AI620">
        <v>1</v>
      </c>
    </row>
    <row r="621" spans="1:35" x14ac:dyDescent="0.25">
      <c r="A621">
        <v>33</v>
      </c>
      <c r="B621" t="str">
        <f t="shared" si="18"/>
        <v>25-34</v>
      </c>
      <c r="C621" s="1" t="s">
        <v>38</v>
      </c>
      <c r="D621" s="17">
        <f>IF(Table1[[#This Row],[Attrition]]="Yes",1,0)</f>
        <v>0</v>
      </c>
      <c r="E621" t="s">
        <v>57</v>
      </c>
      <c r="F621" s="2">
        <v>586</v>
      </c>
      <c r="G621" t="s">
        <v>33</v>
      </c>
      <c r="H621">
        <v>1</v>
      </c>
      <c r="I621">
        <v>3</v>
      </c>
      <c r="J621" t="str">
        <f t="shared" si="19"/>
        <v>Bachelor</v>
      </c>
      <c r="K621" t="s">
        <v>45</v>
      </c>
      <c r="L621">
        <v>1</v>
      </c>
      <c r="M621" t="s">
        <v>40</v>
      </c>
      <c r="N621" s="2">
        <v>48</v>
      </c>
      <c r="O621">
        <v>4</v>
      </c>
      <c r="P621">
        <v>2</v>
      </c>
      <c r="Q621" t="s">
        <v>36</v>
      </c>
      <c r="R621">
        <v>1</v>
      </c>
      <c r="S621" t="s">
        <v>46</v>
      </c>
      <c r="T621" s="2">
        <v>4037</v>
      </c>
      <c r="U621" s="2">
        <v>21816</v>
      </c>
      <c r="V621">
        <v>1</v>
      </c>
      <c r="W621" t="s">
        <v>38</v>
      </c>
      <c r="X621">
        <v>22</v>
      </c>
      <c r="Y621">
        <v>4</v>
      </c>
      <c r="Z621">
        <v>1</v>
      </c>
      <c r="AA621">
        <v>80</v>
      </c>
      <c r="AB621">
        <v>1</v>
      </c>
      <c r="AC621">
        <v>9</v>
      </c>
      <c r="AD621">
        <v>5</v>
      </c>
      <c r="AE621">
        <v>3</v>
      </c>
      <c r="AF621">
        <v>9</v>
      </c>
      <c r="AG621">
        <v>8</v>
      </c>
      <c r="AH621">
        <v>0</v>
      </c>
      <c r="AI621">
        <v>8</v>
      </c>
    </row>
    <row r="622" spans="1:35" x14ac:dyDescent="0.25">
      <c r="A622">
        <v>35</v>
      </c>
      <c r="B622" t="str">
        <f t="shared" si="18"/>
        <v>35-44</v>
      </c>
      <c r="C622" s="1" t="s">
        <v>38</v>
      </c>
      <c r="D622" s="17">
        <f>IF(Table1[[#This Row],[Attrition]]="Yes",1,0)</f>
        <v>0</v>
      </c>
      <c r="E622" t="s">
        <v>57</v>
      </c>
      <c r="F622" s="2">
        <v>1343</v>
      </c>
      <c r="G622" t="s">
        <v>39</v>
      </c>
      <c r="H622">
        <v>27</v>
      </c>
      <c r="I622">
        <v>1</v>
      </c>
      <c r="J622" t="str">
        <f t="shared" si="19"/>
        <v>Below College</v>
      </c>
      <c r="K622" t="s">
        <v>45</v>
      </c>
      <c r="L622">
        <v>3</v>
      </c>
      <c r="M622" t="s">
        <v>35</v>
      </c>
      <c r="N622" s="2">
        <v>53</v>
      </c>
      <c r="O622">
        <v>2</v>
      </c>
      <c r="P622">
        <v>1</v>
      </c>
      <c r="Q622" t="s">
        <v>41</v>
      </c>
      <c r="R622">
        <v>1</v>
      </c>
      <c r="S622" t="s">
        <v>37</v>
      </c>
      <c r="T622" s="2">
        <v>2559</v>
      </c>
      <c r="U622" s="2">
        <v>17852</v>
      </c>
      <c r="V622">
        <v>1</v>
      </c>
      <c r="W622" t="s">
        <v>38</v>
      </c>
      <c r="X622">
        <v>11</v>
      </c>
      <c r="Y622">
        <v>3</v>
      </c>
      <c r="Z622">
        <v>4</v>
      </c>
      <c r="AA622">
        <v>80</v>
      </c>
      <c r="AB622">
        <v>0</v>
      </c>
      <c r="AC622">
        <v>6</v>
      </c>
      <c r="AD622">
        <v>3</v>
      </c>
      <c r="AE622">
        <v>2</v>
      </c>
      <c r="AF622">
        <v>6</v>
      </c>
      <c r="AG622">
        <v>5</v>
      </c>
      <c r="AH622">
        <v>1</v>
      </c>
      <c r="AI622">
        <v>1</v>
      </c>
    </row>
    <row r="623" spans="1:35" x14ac:dyDescent="0.25">
      <c r="A623">
        <v>36</v>
      </c>
      <c r="B623" t="str">
        <f t="shared" si="18"/>
        <v>35-44</v>
      </c>
      <c r="C623" s="1" t="s">
        <v>38</v>
      </c>
      <c r="D623" s="17">
        <f>IF(Table1[[#This Row],[Attrition]]="Yes",1,0)</f>
        <v>0</v>
      </c>
      <c r="E623" t="s">
        <v>57</v>
      </c>
      <c r="F623" s="2">
        <v>928</v>
      </c>
      <c r="G623" t="s">
        <v>33</v>
      </c>
      <c r="H623">
        <v>1</v>
      </c>
      <c r="I623">
        <v>2</v>
      </c>
      <c r="J623" t="str">
        <f t="shared" si="19"/>
        <v>College</v>
      </c>
      <c r="K623" t="s">
        <v>34</v>
      </c>
      <c r="L623">
        <v>2</v>
      </c>
      <c r="M623" t="s">
        <v>40</v>
      </c>
      <c r="N623" s="2">
        <v>56</v>
      </c>
      <c r="O623">
        <v>3</v>
      </c>
      <c r="P623">
        <v>2</v>
      </c>
      <c r="Q623" t="s">
        <v>36</v>
      </c>
      <c r="R623">
        <v>4</v>
      </c>
      <c r="S623" t="s">
        <v>42</v>
      </c>
      <c r="T623" s="2">
        <v>6201</v>
      </c>
      <c r="U623" s="2">
        <v>2823</v>
      </c>
      <c r="V623">
        <v>1</v>
      </c>
      <c r="W623" t="s">
        <v>32</v>
      </c>
      <c r="X623">
        <v>14</v>
      </c>
      <c r="Y623">
        <v>3</v>
      </c>
      <c r="Z623">
        <v>4</v>
      </c>
      <c r="AA623">
        <v>80</v>
      </c>
      <c r="AB623">
        <v>1</v>
      </c>
      <c r="AC623">
        <v>18</v>
      </c>
      <c r="AD623">
        <v>1</v>
      </c>
      <c r="AE623">
        <v>2</v>
      </c>
      <c r="AF623">
        <v>18</v>
      </c>
      <c r="AG623">
        <v>14</v>
      </c>
      <c r="AH623">
        <v>4</v>
      </c>
      <c r="AI623">
        <v>11</v>
      </c>
    </row>
    <row r="624" spans="1:35" x14ac:dyDescent="0.25">
      <c r="A624">
        <v>32</v>
      </c>
      <c r="B624" t="str">
        <f t="shared" si="18"/>
        <v>25-34</v>
      </c>
      <c r="C624" s="1" t="s">
        <v>38</v>
      </c>
      <c r="D624" s="17">
        <f>IF(Table1[[#This Row],[Attrition]]="Yes",1,0)</f>
        <v>0</v>
      </c>
      <c r="E624" t="s">
        <v>57</v>
      </c>
      <c r="F624" s="2">
        <v>117</v>
      </c>
      <c r="G624" t="s">
        <v>33</v>
      </c>
      <c r="H624">
        <v>13</v>
      </c>
      <c r="I624">
        <v>4</v>
      </c>
      <c r="J624" t="str">
        <f t="shared" si="19"/>
        <v>Master</v>
      </c>
      <c r="K624" t="s">
        <v>34</v>
      </c>
      <c r="L624">
        <v>2</v>
      </c>
      <c r="M624" t="s">
        <v>40</v>
      </c>
      <c r="N624" s="2">
        <v>73</v>
      </c>
      <c r="O624">
        <v>3</v>
      </c>
      <c r="P624">
        <v>2</v>
      </c>
      <c r="Q624" t="s">
        <v>36</v>
      </c>
      <c r="R624">
        <v>4</v>
      </c>
      <c r="S624" t="s">
        <v>46</v>
      </c>
      <c r="T624" s="2">
        <v>4403</v>
      </c>
      <c r="U624" s="2">
        <v>9250</v>
      </c>
      <c r="V624">
        <v>2</v>
      </c>
      <c r="W624" t="s">
        <v>38</v>
      </c>
      <c r="X624">
        <v>11</v>
      </c>
      <c r="Y624">
        <v>3</v>
      </c>
      <c r="Z624">
        <v>3</v>
      </c>
      <c r="AA624">
        <v>80</v>
      </c>
      <c r="AB624">
        <v>1</v>
      </c>
      <c r="AC624">
        <v>8</v>
      </c>
      <c r="AD624">
        <v>3</v>
      </c>
      <c r="AE624">
        <v>2</v>
      </c>
      <c r="AF624">
        <v>5</v>
      </c>
      <c r="AG624">
        <v>2</v>
      </c>
      <c r="AH624">
        <v>0</v>
      </c>
      <c r="AI624">
        <v>3</v>
      </c>
    </row>
    <row r="625" spans="1:35" x14ac:dyDescent="0.25">
      <c r="A625">
        <v>30</v>
      </c>
      <c r="B625" t="str">
        <f t="shared" si="18"/>
        <v>25-34</v>
      </c>
      <c r="C625" s="1" t="s">
        <v>38</v>
      </c>
      <c r="D625" s="17">
        <f>IF(Table1[[#This Row],[Attrition]]="Yes",1,0)</f>
        <v>0</v>
      </c>
      <c r="E625" t="s">
        <v>58</v>
      </c>
      <c r="F625" s="2">
        <v>1012</v>
      </c>
      <c r="G625" t="s">
        <v>39</v>
      </c>
      <c r="H625">
        <v>5</v>
      </c>
      <c r="I625">
        <v>4</v>
      </c>
      <c r="J625" t="str">
        <f t="shared" si="19"/>
        <v>Master</v>
      </c>
      <c r="K625" t="s">
        <v>34</v>
      </c>
      <c r="L625">
        <v>2</v>
      </c>
      <c r="M625" t="s">
        <v>40</v>
      </c>
      <c r="N625" s="2">
        <v>75</v>
      </c>
      <c r="O625">
        <v>2</v>
      </c>
      <c r="P625">
        <v>1</v>
      </c>
      <c r="Q625" t="s">
        <v>41</v>
      </c>
      <c r="R625">
        <v>4</v>
      </c>
      <c r="S625" t="s">
        <v>46</v>
      </c>
      <c r="T625" s="2">
        <v>3761</v>
      </c>
      <c r="U625" s="2">
        <v>2373</v>
      </c>
      <c r="V625">
        <v>9</v>
      </c>
      <c r="W625" t="s">
        <v>38</v>
      </c>
      <c r="X625">
        <v>12</v>
      </c>
      <c r="Y625">
        <v>3</v>
      </c>
      <c r="Z625">
        <v>2</v>
      </c>
      <c r="AA625">
        <v>80</v>
      </c>
      <c r="AB625">
        <v>1</v>
      </c>
      <c r="AC625">
        <v>10</v>
      </c>
      <c r="AD625">
        <v>3</v>
      </c>
      <c r="AE625">
        <v>2</v>
      </c>
      <c r="AF625">
        <v>5</v>
      </c>
      <c r="AG625">
        <v>4</v>
      </c>
      <c r="AH625">
        <v>0</v>
      </c>
      <c r="AI625">
        <v>3</v>
      </c>
    </row>
    <row r="626" spans="1:35" x14ac:dyDescent="0.25">
      <c r="A626">
        <v>53</v>
      </c>
      <c r="B626" t="str">
        <f t="shared" si="18"/>
        <v>45-54</v>
      </c>
      <c r="C626" s="1" t="s">
        <v>38</v>
      </c>
      <c r="D626" s="17">
        <f>IF(Table1[[#This Row],[Attrition]]="Yes",1,0)</f>
        <v>0</v>
      </c>
      <c r="E626" t="s">
        <v>57</v>
      </c>
      <c r="F626" s="2">
        <v>661</v>
      </c>
      <c r="G626" t="s">
        <v>33</v>
      </c>
      <c r="H626">
        <v>7</v>
      </c>
      <c r="I626">
        <v>2</v>
      </c>
      <c r="J626" t="str">
        <f t="shared" si="19"/>
        <v>College</v>
      </c>
      <c r="K626" t="s">
        <v>53</v>
      </c>
      <c r="L626">
        <v>1</v>
      </c>
      <c r="M626" t="s">
        <v>35</v>
      </c>
      <c r="N626" s="2">
        <v>78</v>
      </c>
      <c r="O626">
        <v>2</v>
      </c>
      <c r="P626">
        <v>3</v>
      </c>
      <c r="Q626" t="s">
        <v>36</v>
      </c>
      <c r="R626">
        <v>4</v>
      </c>
      <c r="S626" t="s">
        <v>42</v>
      </c>
      <c r="T626" s="2">
        <v>10934</v>
      </c>
      <c r="U626" s="2">
        <v>20715</v>
      </c>
      <c r="V626">
        <v>7</v>
      </c>
      <c r="W626" t="s">
        <v>32</v>
      </c>
      <c r="X626">
        <v>18</v>
      </c>
      <c r="Y626">
        <v>3</v>
      </c>
      <c r="Z626">
        <v>4</v>
      </c>
      <c r="AA626">
        <v>80</v>
      </c>
      <c r="AB626">
        <v>1</v>
      </c>
      <c r="AC626">
        <v>35</v>
      </c>
      <c r="AD626">
        <v>3</v>
      </c>
      <c r="AE626">
        <v>3</v>
      </c>
      <c r="AF626">
        <v>5</v>
      </c>
      <c r="AG626">
        <v>2</v>
      </c>
      <c r="AH626">
        <v>0</v>
      </c>
      <c r="AI626">
        <v>4</v>
      </c>
    </row>
    <row r="627" spans="1:35" x14ac:dyDescent="0.25">
      <c r="A627">
        <v>45</v>
      </c>
      <c r="B627" t="str">
        <f t="shared" si="18"/>
        <v>45-54</v>
      </c>
      <c r="C627" s="1" t="s">
        <v>38</v>
      </c>
      <c r="D627" s="17">
        <f>IF(Table1[[#This Row],[Attrition]]="Yes",1,0)</f>
        <v>0</v>
      </c>
      <c r="E627" t="s">
        <v>57</v>
      </c>
      <c r="F627" s="2">
        <v>930</v>
      </c>
      <c r="G627" t="s">
        <v>33</v>
      </c>
      <c r="H627">
        <v>9</v>
      </c>
      <c r="I627">
        <v>3</v>
      </c>
      <c r="J627" t="str">
        <f t="shared" si="19"/>
        <v>Bachelor</v>
      </c>
      <c r="K627" t="s">
        <v>53</v>
      </c>
      <c r="L627">
        <v>4</v>
      </c>
      <c r="M627" t="s">
        <v>40</v>
      </c>
      <c r="N627" s="2">
        <v>74</v>
      </c>
      <c r="O627">
        <v>3</v>
      </c>
      <c r="P627">
        <v>3</v>
      </c>
      <c r="Q627" t="s">
        <v>36</v>
      </c>
      <c r="R627">
        <v>1</v>
      </c>
      <c r="S627" t="s">
        <v>46</v>
      </c>
      <c r="T627" s="2">
        <v>10761</v>
      </c>
      <c r="U627" s="2">
        <v>19239</v>
      </c>
      <c r="V627">
        <v>4</v>
      </c>
      <c r="W627" t="s">
        <v>32</v>
      </c>
      <c r="X627">
        <v>12</v>
      </c>
      <c r="Y627">
        <v>3</v>
      </c>
      <c r="Z627">
        <v>3</v>
      </c>
      <c r="AA627">
        <v>80</v>
      </c>
      <c r="AB627">
        <v>1</v>
      </c>
      <c r="AC627">
        <v>18</v>
      </c>
      <c r="AD627">
        <v>2</v>
      </c>
      <c r="AE627">
        <v>3</v>
      </c>
      <c r="AF627">
        <v>5</v>
      </c>
      <c r="AG627">
        <v>4</v>
      </c>
      <c r="AH627">
        <v>0</v>
      </c>
      <c r="AI627">
        <v>2</v>
      </c>
    </row>
    <row r="628" spans="1:35" x14ac:dyDescent="0.25">
      <c r="A628">
        <v>32</v>
      </c>
      <c r="B628" t="str">
        <f t="shared" si="18"/>
        <v>25-34</v>
      </c>
      <c r="C628" s="1" t="s">
        <v>38</v>
      </c>
      <c r="D628" s="17">
        <f>IF(Table1[[#This Row],[Attrition]]="Yes",1,0)</f>
        <v>0</v>
      </c>
      <c r="E628" t="s">
        <v>57</v>
      </c>
      <c r="F628" s="2">
        <v>638</v>
      </c>
      <c r="G628" t="s">
        <v>39</v>
      </c>
      <c r="H628">
        <v>8</v>
      </c>
      <c r="I628">
        <v>2</v>
      </c>
      <c r="J628" t="str">
        <f t="shared" si="19"/>
        <v>College</v>
      </c>
      <c r="K628" t="s">
        <v>45</v>
      </c>
      <c r="L628">
        <v>3</v>
      </c>
      <c r="M628" t="s">
        <v>35</v>
      </c>
      <c r="N628" s="2">
        <v>91</v>
      </c>
      <c r="O628">
        <v>4</v>
      </c>
      <c r="P628">
        <v>2</v>
      </c>
      <c r="Q628" t="s">
        <v>41</v>
      </c>
      <c r="R628">
        <v>3</v>
      </c>
      <c r="S628" t="s">
        <v>42</v>
      </c>
      <c r="T628" s="2">
        <v>5175</v>
      </c>
      <c r="U628" s="2">
        <v>22162</v>
      </c>
      <c r="V628">
        <v>5</v>
      </c>
      <c r="W628" t="s">
        <v>38</v>
      </c>
      <c r="X628">
        <v>12</v>
      </c>
      <c r="Y628">
        <v>3</v>
      </c>
      <c r="Z628">
        <v>3</v>
      </c>
      <c r="AA628">
        <v>80</v>
      </c>
      <c r="AB628">
        <v>1</v>
      </c>
      <c r="AC628">
        <v>9</v>
      </c>
      <c r="AD628">
        <v>3</v>
      </c>
      <c r="AE628">
        <v>2</v>
      </c>
      <c r="AF628">
        <v>5</v>
      </c>
      <c r="AG628">
        <v>3</v>
      </c>
      <c r="AH628">
        <v>1</v>
      </c>
      <c r="AI628">
        <v>3</v>
      </c>
    </row>
    <row r="629" spans="1:35" x14ac:dyDescent="0.25">
      <c r="A629">
        <v>52</v>
      </c>
      <c r="B629" t="str">
        <f t="shared" si="18"/>
        <v>45-54</v>
      </c>
      <c r="C629" s="1" t="s">
        <v>38</v>
      </c>
      <c r="D629" s="17">
        <f>IF(Table1[[#This Row],[Attrition]]="Yes",1,0)</f>
        <v>0</v>
      </c>
      <c r="E629" t="s">
        <v>58</v>
      </c>
      <c r="F629" s="2">
        <v>890</v>
      </c>
      <c r="G629" t="s">
        <v>39</v>
      </c>
      <c r="H629">
        <v>25</v>
      </c>
      <c r="I629">
        <v>4</v>
      </c>
      <c r="J629" t="str">
        <f t="shared" si="19"/>
        <v>Master</v>
      </c>
      <c r="K629" t="s">
        <v>45</v>
      </c>
      <c r="L629">
        <v>3</v>
      </c>
      <c r="M629" t="s">
        <v>35</v>
      </c>
      <c r="N629" s="2">
        <v>81</v>
      </c>
      <c r="O629">
        <v>2</v>
      </c>
      <c r="P629">
        <v>4</v>
      </c>
      <c r="Q629" t="s">
        <v>47</v>
      </c>
      <c r="R629">
        <v>4</v>
      </c>
      <c r="S629" t="s">
        <v>42</v>
      </c>
      <c r="T629" s="2">
        <v>13826</v>
      </c>
      <c r="U629" s="2">
        <v>19028</v>
      </c>
      <c r="V629">
        <v>3</v>
      </c>
      <c r="W629" t="s">
        <v>38</v>
      </c>
      <c r="X629">
        <v>22</v>
      </c>
      <c r="Y629">
        <v>4</v>
      </c>
      <c r="Z629">
        <v>3</v>
      </c>
      <c r="AA629">
        <v>80</v>
      </c>
      <c r="AB629">
        <v>0</v>
      </c>
      <c r="AC629">
        <v>31</v>
      </c>
      <c r="AD629">
        <v>3</v>
      </c>
      <c r="AE629">
        <v>3</v>
      </c>
      <c r="AF629">
        <v>9</v>
      </c>
      <c r="AG629">
        <v>8</v>
      </c>
      <c r="AH629">
        <v>0</v>
      </c>
      <c r="AI629">
        <v>0</v>
      </c>
    </row>
    <row r="630" spans="1:35" x14ac:dyDescent="0.25">
      <c r="A630">
        <v>37</v>
      </c>
      <c r="B630" t="str">
        <f t="shared" si="18"/>
        <v>35-44</v>
      </c>
      <c r="C630" s="1" t="s">
        <v>38</v>
      </c>
      <c r="D630" s="17">
        <f>IF(Table1[[#This Row],[Attrition]]="Yes",1,0)</f>
        <v>0</v>
      </c>
      <c r="E630" t="s">
        <v>57</v>
      </c>
      <c r="F630" s="2">
        <v>342</v>
      </c>
      <c r="G630" t="s">
        <v>33</v>
      </c>
      <c r="H630">
        <v>16</v>
      </c>
      <c r="I630">
        <v>4</v>
      </c>
      <c r="J630" t="str">
        <f t="shared" si="19"/>
        <v>Master</v>
      </c>
      <c r="K630" t="s">
        <v>53</v>
      </c>
      <c r="L630">
        <v>4</v>
      </c>
      <c r="M630" t="s">
        <v>40</v>
      </c>
      <c r="N630" s="2">
        <v>66</v>
      </c>
      <c r="O630">
        <v>2</v>
      </c>
      <c r="P630">
        <v>2</v>
      </c>
      <c r="Q630" t="s">
        <v>36</v>
      </c>
      <c r="R630">
        <v>3</v>
      </c>
      <c r="S630" t="s">
        <v>46</v>
      </c>
      <c r="T630" s="2">
        <v>6334</v>
      </c>
      <c r="U630" s="2">
        <v>24558</v>
      </c>
      <c r="V630">
        <v>4</v>
      </c>
      <c r="W630" t="s">
        <v>38</v>
      </c>
      <c r="X630">
        <v>19</v>
      </c>
      <c r="Y630">
        <v>3</v>
      </c>
      <c r="Z630">
        <v>4</v>
      </c>
      <c r="AA630">
        <v>80</v>
      </c>
      <c r="AB630">
        <v>2</v>
      </c>
      <c r="AC630">
        <v>9</v>
      </c>
      <c r="AD630">
        <v>2</v>
      </c>
      <c r="AE630">
        <v>3</v>
      </c>
      <c r="AF630">
        <v>1</v>
      </c>
      <c r="AG630">
        <v>0</v>
      </c>
      <c r="AH630">
        <v>0</v>
      </c>
      <c r="AI630">
        <v>0</v>
      </c>
    </row>
    <row r="631" spans="1:35" x14ac:dyDescent="0.25">
      <c r="A631">
        <v>28</v>
      </c>
      <c r="B631" t="str">
        <f t="shared" si="18"/>
        <v>25-34</v>
      </c>
      <c r="C631" s="1" t="s">
        <v>38</v>
      </c>
      <c r="D631" s="17">
        <f>IF(Table1[[#This Row],[Attrition]]="Yes",1,0)</f>
        <v>0</v>
      </c>
      <c r="E631" t="s">
        <v>57</v>
      </c>
      <c r="F631" s="2">
        <v>1169</v>
      </c>
      <c r="G631" t="s">
        <v>55</v>
      </c>
      <c r="H631">
        <v>8</v>
      </c>
      <c r="I631">
        <v>2</v>
      </c>
      <c r="J631" t="str">
        <f t="shared" si="19"/>
        <v>College</v>
      </c>
      <c r="K631" t="s">
        <v>45</v>
      </c>
      <c r="L631">
        <v>2</v>
      </c>
      <c r="M631" t="s">
        <v>40</v>
      </c>
      <c r="N631" s="2">
        <v>63</v>
      </c>
      <c r="O631">
        <v>2</v>
      </c>
      <c r="P631">
        <v>1</v>
      </c>
      <c r="Q631" t="s">
        <v>55</v>
      </c>
      <c r="R631">
        <v>4</v>
      </c>
      <c r="S631" t="s">
        <v>46</v>
      </c>
      <c r="T631" s="2">
        <v>4936</v>
      </c>
      <c r="U631" s="2">
        <v>23965</v>
      </c>
      <c r="V631">
        <v>1</v>
      </c>
      <c r="W631" t="s">
        <v>38</v>
      </c>
      <c r="X631">
        <v>13</v>
      </c>
      <c r="Y631">
        <v>3</v>
      </c>
      <c r="Z631">
        <v>4</v>
      </c>
      <c r="AA631">
        <v>80</v>
      </c>
      <c r="AB631">
        <v>1</v>
      </c>
      <c r="AC631">
        <v>6</v>
      </c>
      <c r="AD631">
        <v>6</v>
      </c>
      <c r="AE631">
        <v>3</v>
      </c>
      <c r="AF631">
        <v>5</v>
      </c>
      <c r="AG631">
        <v>1</v>
      </c>
      <c r="AH631">
        <v>0</v>
      </c>
      <c r="AI631">
        <v>4</v>
      </c>
    </row>
    <row r="632" spans="1:35" x14ac:dyDescent="0.25">
      <c r="A632">
        <v>22</v>
      </c>
      <c r="B632" t="str">
        <f t="shared" si="18"/>
        <v>18-24</v>
      </c>
      <c r="C632" s="1" t="s">
        <v>38</v>
      </c>
      <c r="D632" s="17">
        <f>IF(Table1[[#This Row],[Attrition]]="Yes",1,0)</f>
        <v>0</v>
      </c>
      <c r="E632" t="s">
        <v>57</v>
      </c>
      <c r="F632" s="2">
        <v>1230</v>
      </c>
      <c r="G632" t="s">
        <v>39</v>
      </c>
      <c r="H632">
        <v>1</v>
      </c>
      <c r="I632">
        <v>2</v>
      </c>
      <c r="J632" t="str">
        <f t="shared" si="19"/>
        <v>College</v>
      </c>
      <c r="K632" t="s">
        <v>34</v>
      </c>
      <c r="L632">
        <v>4</v>
      </c>
      <c r="M632" t="s">
        <v>40</v>
      </c>
      <c r="N632" s="2">
        <v>33</v>
      </c>
      <c r="O632">
        <v>2</v>
      </c>
      <c r="P632">
        <v>2</v>
      </c>
      <c r="Q632" t="s">
        <v>47</v>
      </c>
      <c r="R632">
        <v>4</v>
      </c>
      <c r="S632" t="s">
        <v>42</v>
      </c>
      <c r="T632" s="2">
        <v>4775</v>
      </c>
      <c r="U632" s="2">
        <v>19146</v>
      </c>
      <c r="V632">
        <v>6</v>
      </c>
      <c r="W632" t="s">
        <v>38</v>
      </c>
      <c r="X632">
        <v>22</v>
      </c>
      <c r="Y632">
        <v>4</v>
      </c>
      <c r="Z632">
        <v>1</v>
      </c>
      <c r="AA632">
        <v>80</v>
      </c>
      <c r="AB632">
        <v>2</v>
      </c>
      <c r="AC632">
        <v>4</v>
      </c>
      <c r="AD632">
        <v>2</v>
      </c>
      <c r="AE632">
        <v>1</v>
      </c>
      <c r="AF632">
        <v>2</v>
      </c>
      <c r="AG632">
        <v>2</v>
      </c>
      <c r="AH632">
        <v>2</v>
      </c>
      <c r="AI632">
        <v>2</v>
      </c>
    </row>
    <row r="633" spans="1:35" x14ac:dyDescent="0.25">
      <c r="A633">
        <v>44</v>
      </c>
      <c r="B633" t="str">
        <f t="shared" si="18"/>
        <v>35-44</v>
      </c>
      <c r="C633" s="1" t="s">
        <v>38</v>
      </c>
      <c r="D633" s="17">
        <f>IF(Table1[[#This Row],[Attrition]]="Yes",1,0)</f>
        <v>0</v>
      </c>
      <c r="E633" t="s">
        <v>57</v>
      </c>
      <c r="F633" s="2">
        <v>986</v>
      </c>
      <c r="G633" t="s">
        <v>39</v>
      </c>
      <c r="H633">
        <v>8</v>
      </c>
      <c r="I633">
        <v>4</v>
      </c>
      <c r="J633" t="str">
        <f t="shared" si="19"/>
        <v>Master</v>
      </c>
      <c r="K633" t="s">
        <v>34</v>
      </c>
      <c r="L633">
        <v>1</v>
      </c>
      <c r="M633" t="s">
        <v>40</v>
      </c>
      <c r="N633" s="2">
        <v>62</v>
      </c>
      <c r="O633">
        <v>4</v>
      </c>
      <c r="P633">
        <v>1</v>
      </c>
      <c r="Q633" t="s">
        <v>44</v>
      </c>
      <c r="R633">
        <v>4</v>
      </c>
      <c r="S633" t="s">
        <v>42</v>
      </c>
      <c r="T633" s="2">
        <v>2818</v>
      </c>
      <c r="U633" s="2">
        <v>5044</v>
      </c>
      <c r="V633">
        <v>2</v>
      </c>
      <c r="W633" t="s">
        <v>32</v>
      </c>
      <c r="X633">
        <v>24</v>
      </c>
      <c r="Y633">
        <v>4</v>
      </c>
      <c r="Z633">
        <v>3</v>
      </c>
      <c r="AA633">
        <v>80</v>
      </c>
      <c r="AB633">
        <v>1</v>
      </c>
      <c r="AC633">
        <v>10</v>
      </c>
      <c r="AD633">
        <v>2</v>
      </c>
      <c r="AE633">
        <v>2</v>
      </c>
      <c r="AF633">
        <v>3</v>
      </c>
      <c r="AG633">
        <v>2</v>
      </c>
      <c r="AH633">
        <v>0</v>
      </c>
      <c r="AI633">
        <v>2</v>
      </c>
    </row>
    <row r="634" spans="1:35" x14ac:dyDescent="0.25">
      <c r="A634">
        <v>42</v>
      </c>
      <c r="B634" t="str">
        <f t="shared" si="18"/>
        <v>35-44</v>
      </c>
      <c r="C634" s="1" t="s">
        <v>38</v>
      </c>
      <c r="D634" s="17">
        <f>IF(Table1[[#This Row],[Attrition]]="Yes",1,0)</f>
        <v>0</v>
      </c>
      <c r="E634" t="s">
        <v>58</v>
      </c>
      <c r="F634" s="2">
        <v>1271</v>
      </c>
      <c r="G634" t="s">
        <v>39</v>
      </c>
      <c r="H634">
        <v>2</v>
      </c>
      <c r="I634">
        <v>1</v>
      </c>
      <c r="J634" t="str">
        <f t="shared" si="19"/>
        <v>Below College</v>
      </c>
      <c r="K634" t="s">
        <v>45</v>
      </c>
      <c r="L634">
        <v>2</v>
      </c>
      <c r="M634" t="s">
        <v>40</v>
      </c>
      <c r="N634" s="2">
        <v>35</v>
      </c>
      <c r="O634">
        <v>3</v>
      </c>
      <c r="P634">
        <v>1</v>
      </c>
      <c r="Q634" t="s">
        <v>41</v>
      </c>
      <c r="R634">
        <v>4</v>
      </c>
      <c r="S634" t="s">
        <v>37</v>
      </c>
      <c r="T634" s="2">
        <v>2515</v>
      </c>
      <c r="U634" s="2">
        <v>9068</v>
      </c>
      <c r="V634">
        <v>5</v>
      </c>
      <c r="W634" t="s">
        <v>32</v>
      </c>
      <c r="X634">
        <v>14</v>
      </c>
      <c r="Y634">
        <v>3</v>
      </c>
      <c r="Z634">
        <v>4</v>
      </c>
      <c r="AA634">
        <v>80</v>
      </c>
      <c r="AB634">
        <v>0</v>
      </c>
      <c r="AC634">
        <v>8</v>
      </c>
      <c r="AD634">
        <v>2</v>
      </c>
      <c r="AE634">
        <v>3</v>
      </c>
      <c r="AF634">
        <v>2</v>
      </c>
      <c r="AG634">
        <v>1</v>
      </c>
      <c r="AH634">
        <v>2</v>
      </c>
      <c r="AI634">
        <v>2</v>
      </c>
    </row>
    <row r="635" spans="1:35" x14ac:dyDescent="0.25">
      <c r="A635">
        <v>36</v>
      </c>
      <c r="B635" t="str">
        <f t="shared" si="18"/>
        <v>35-44</v>
      </c>
      <c r="C635" s="1" t="s">
        <v>38</v>
      </c>
      <c r="D635" s="17">
        <f>IF(Table1[[#This Row],[Attrition]]="Yes",1,0)</f>
        <v>0</v>
      </c>
      <c r="E635" t="s">
        <v>57</v>
      </c>
      <c r="F635" s="2">
        <v>1278</v>
      </c>
      <c r="G635" t="s">
        <v>55</v>
      </c>
      <c r="H635">
        <v>8</v>
      </c>
      <c r="I635">
        <v>3</v>
      </c>
      <c r="J635" t="str">
        <f t="shared" si="19"/>
        <v>Bachelor</v>
      </c>
      <c r="K635" t="s">
        <v>34</v>
      </c>
      <c r="L635">
        <v>1</v>
      </c>
      <c r="M635" t="s">
        <v>40</v>
      </c>
      <c r="N635" s="2">
        <v>77</v>
      </c>
      <c r="O635">
        <v>2</v>
      </c>
      <c r="P635">
        <v>1</v>
      </c>
      <c r="Q635" t="s">
        <v>55</v>
      </c>
      <c r="R635">
        <v>1</v>
      </c>
      <c r="S635" t="s">
        <v>42</v>
      </c>
      <c r="T635" s="2">
        <v>2342</v>
      </c>
      <c r="U635" s="2">
        <v>8635</v>
      </c>
      <c r="V635">
        <v>0</v>
      </c>
      <c r="W635" t="s">
        <v>38</v>
      </c>
      <c r="X635">
        <v>21</v>
      </c>
      <c r="Y635">
        <v>4</v>
      </c>
      <c r="Z635">
        <v>3</v>
      </c>
      <c r="AA635">
        <v>80</v>
      </c>
      <c r="AB635">
        <v>0</v>
      </c>
      <c r="AC635">
        <v>6</v>
      </c>
      <c r="AD635">
        <v>3</v>
      </c>
      <c r="AE635">
        <v>3</v>
      </c>
      <c r="AF635">
        <v>5</v>
      </c>
      <c r="AG635">
        <v>4</v>
      </c>
      <c r="AH635">
        <v>0</v>
      </c>
      <c r="AI635">
        <v>3</v>
      </c>
    </row>
    <row r="636" spans="1:35" x14ac:dyDescent="0.25">
      <c r="A636">
        <v>25</v>
      </c>
      <c r="B636" t="str">
        <f t="shared" si="18"/>
        <v>25-34</v>
      </c>
      <c r="C636" s="1" t="s">
        <v>38</v>
      </c>
      <c r="D636" s="17">
        <f>IF(Table1[[#This Row],[Attrition]]="Yes",1,0)</f>
        <v>0</v>
      </c>
      <c r="E636" t="s">
        <v>57</v>
      </c>
      <c r="F636" s="2">
        <v>141</v>
      </c>
      <c r="G636" t="s">
        <v>33</v>
      </c>
      <c r="H636">
        <v>3</v>
      </c>
      <c r="I636">
        <v>1</v>
      </c>
      <c r="J636" t="str">
        <f t="shared" si="19"/>
        <v>Below College</v>
      </c>
      <c r="K636" t="s">
        <v>43</v>
      </c>
      <c r="L636">
        <v>3</v>
      </c>
      <c r="M636" t="s">
        <v>40</v>
      </c>
      <c r="N636" s="2">
        <v>98</v>
      </c>
      <c r="O636">
        <v>3</v>
      </c>
      <c r="P636">
        <v>2</v>
      </c>
      <c r="Q636" t="s">
        <v>36</v>
      </c>
      <c r="R636">
        <v>1</v>
      </c>
      <c r="S636" t="s">
        <v>42</v>
      </c>
      <c r="T636" s="2">
        <v>4194</v>
      </c>
      <c r="U636" s="2">
        <v>14363</v>
      </c>
      <c r="V636">
        <v>1</v>
      </c>
      <c r="W636" t="s">
        <v>32</v>
      </c>
      <c r="X636">
        <v>18</v>
      </c>
      <c r="Y636">
        <v>3</v>
      </c>
      <c r="Z636">
        <v>4</v>
      </c>
      <c r="AA636">
        <v>80</v>
      </c>
      <c r="AB636">
        <v>0</v>
      </c>
      <c r="AC636">
        <v>5</v>
      </c>
      <c r="AD636">
        <v>3</v>
      </c>
      <c r="AE636">
        <v>3</v>
      </c>
      <c r="AF636">
        <v>5</v>
      </c>
      <c r="AG636">
        <v>3</v>
      </c>
      <c r="AH636">
        <v>0</v>
      </c>
      <c r="AI636">
        <v>3</v>
      </c>
    </row>
    <row r="637" spans="1:35" x14ac:dyDescent="0.25">
      <c r="A637">
        <v>35</v>
      </c>
      <c r="B637" t="str">
        <f t="shared" si="18"/>
        <v>35-44</v>
      </c>
      <c r="C637" s="1" t="s">
        <v>38</v>
      </c>
      <c r="D637" s="17">
        <f>IF(Table1[[#This Row],[Attrition]]="Yes",1,0)</f>
        <v>0</v>
      </c>
      <c r="E637" t="s">
        <v>57</v>
      </c>
      <c r="F637" s="2">
        <v>607</v>
      </c>
      <c r="G637" t="s">
        <v>39</v>
      </c>
      <c r="H637">
        <v>9</v>
      </c>
      <c r="I637">
        <v>3</v>
      </c>
      <c r="J637" t="str">
        <f t="shared" si="19"/>
        <v>Bachelor</v>
      </c>
      <c r="K637" t="s">
        <v>34</v>
      </c>
      <c r="L637">
        <v>4</v>
      </c>
      <c r="M637" t="s">
        <v>35</v>
      </c>
      <c r="N637" s="2">
        <v>66</v>
      </c>
      <c r="O637">
        <v>2</v>
      </c>
      <c r="P637">
        <v>3</v>
      </c>
      <c r="Q637" t="s">
        <v>47</v>
      </c>
      <c r="R637">
        <v>3</v>
      </c>
      <c r="S637" t="s">
        <v>42</v>
      </c>
      <c r="T637" s="2">
        <v>10685</v>
      </c>
      <c r="U637" s="2">
        <v>23457</v>
      </c>
      <c r="V637">
        <v>1</v>
      </c>
      <c r="W637" t="s">
        <v>32</v>
      </c>
      <c r="X637">
        <v>20</v>
      </c>
      <c r="Y637">
        <v>4</v>
      </c>
      <c r="Z637">
        <v>2</v>
      </c>
      <c r="AA637">
        <v>80</v>
      </c>
      <c r="AB637">
        <v>1</v>
      </c>
      <c r="AC637">
        <v>17</v>
      </c>
      <c r="AD637">
        <v>2</v>
      </c>
      <c r="AE637">
        <v>3</v>
      </c>
      <c r="AF637">
        <v>17</v>
      </c>
      <c r="AG637">
        <v>14</v>
      </c>
      <c r="AH637">
        <v>5</v>
      </c>
      <c r="AI637">
        <v>15</v>
      </c>
    </row>
    <row r="638" spans="1:35" x14ac:dyDescent="0.25">
      <c r="A638">
        <v>35</v>
      </c>
      <c r="B638" t="str">
        <f t="shared" si="18"/>
        <v>35-44</v>
      </c>
      <c r="C638" s="1" t="s">
        <v>32</v>
      </c>
      <c r="D638" s="17">
        <f>IF(Table1[[#This Row],[Attrition]]="Yes",1,0)</f>
        <v>1</v>
      </c>
      <c r="E638" t="s">
        <v>58</v>
      </c>
      <c r="F638" s="2">
        <v>130</v>
      </c>
      <c r="G638" t="s">
        <v>39</v>
      </c>
      <c r="H638">
        <v>25</v>
      </c>
      <c r="I638">
        <v>4</v>
      </c>
      <c r="J638" t="str">
        <f t="shared" si="19"/>
        <v>Master</v>
      </c>
      <c r="K638" t="s">
        <v>34</v>
      </c>
      <c r="L638">
        <v>4</v>
      </c>
      <c r="M638" t="s">
        <v>35</v>
      </c>
      <c r="N638" s="2">
        <v>96</v>
      </c>
      <c r="O638">
        <v>3</v>
      </c>
      <c r="P638">
        <v>1</v>
      </c>
      <c r="Q638" t="s">
        <v>41</v>
      </c>
      <c r="R638">
        <v>2</v>
      </c>
      <c r="S638" t="s">
        <v>46</v>
      </c>
      <c r="T638" s="2">
        <v>2022</v>
      </c>
      <c r="U638" s="2">
        <v>16612</v>
      </c>
      <c r="V638">
        <v>1</v>
      </c>
      <c r="W638" t="s">
        <v>32</v>
      </c>
      <c r="X638">
        <v>19</v>
      </c>
      <c r="Y638">
        <v>3</v>
      </c>
      <c r="Z638">
        <v>1</v>
      </c>
      <c r="AA638">
        <v>80</v>
      </c>
      <c r="AB638">
        <v>1</v>
      </c>
      <c r="AC638">
        <v>10</v>
      </c>
      <c r="AD638">
        <v>3</v>
      </c>
      <c r="AE638">
        <v>2</v>
      </c>
      <c r="AF638">
        <v>10</v>
      </c>
      <c r="AG638">
        <v>2</v>
      </c>
      <c r="AH638">
        <v>7</v>
      </c>
      <c r="AI638">
        <v>8</v>
      </c>
    </row>
    <row r="639" spans="1:35" x14ac:dyDescent="0.25">
      <c r="A639">
        <v>32</v>
      </c>
      <c r="B639" t="str">
        <f t="shared" si="18"/>
        <v>25-34</v>
      </c>
      <c r="C639" s="1" t="s">
        <v>38</v>
      </c>
      <c r="D639" s="17">
        <f>IF(Table1[[#This Row],[Attrition]]="Yes",1,0)</f>
        <v>0</v>
      </c>
      <c r="E639" t="s">
        <v>49</v>
      </c>
      <c r="F639" s="2">
        <v>300</v>
      </c>
      <c r="G639" t="s">
        <v>39</v>
      </c>
      <c r="H639">
        <v>1</v>
      </c>
      <c r="I639">
        <v>3</v>
      </c>
      <c r="J639" t="str">
        <f t="shared" si="19"/>
        <v>Bachelor</v>
      </c>
      <c r="K639" t="s">
        <v>34</v>
      </c>
      <c r="L639">
        <v>4</v>
      </c>
      <c r="M639" t="s">
        <v>40</v>
      </c>
      <c r="N639" s="2">
        <v>61</v>
      </c>
      <c r="O639">
        <v>3</v>
      </c>
      <c r="P639">
        <v>1</v>
      </c>
      <c r="Q639" t="s">
        <v>44</v>
      </c>
      <c r="R639">
        <v>4</v>
      </c>
      <c r="S639" t="s">
        <v>46</v>
      </c>
      <c r="T639" s="2">
        <v>2314</v>
      </c>
      <c r="U639" s="2">
        <v>9148</v>
      </c>
      <c r="V639">
        <v>0</v>
      </c>
      <c r="W639" t="s">
        <v>38</v>
      </c>
      <c r="X639">
        <v>12</v>
      </c>
      <c r="Y639">
        <v>3</v>
      </c>
      <c r="Z639">
        <v>2</v>
      </c>
      <c r="AA639">
        <v>80</v>
      </c>
      <c r="AB639">
        <v>1</v>
      </c>
      <c r="AC639">
        <v>4</v>
      </c>
      <c r="AD639">
        <v>2</v>
      </c>
      <c r="AE639">
        <v>3</v>
      </c>
      <c r="AF639">
        <v>3</v>
      </c>
      <c r="AG639">
        <v>0</v>
      </c>
      <c r="AH639">
        <v>0</v>
      </c>
      <c r="AI639">
        <v>2</v>
      </c>
    </row>
    <row r="640" spans="1:35" x14ac:dyDescent="0.25">
      <c r="A640">
        <v>25</v>
      </c>
      <c r="B640" t="str">
        <f t="shared" si="18"/>
        <v>25-34</v>
      </c>
      <c r="C640" s="1" t="s">
        <v>38</v>
      </c>
      <c r="D640" s="17">
        <f>IF(Table1[[#This Row],[Attrition]]="Yes",1,0)</f>
        <v>0</v>
      </c>
      <c r="E640" t="s">
        <v>57</v>
      </c>
      <c r="F640" s="2">
        <v>583</v>
      </c>
      <c r="G640" t="s">
        <v>33</v>
      </c>
      <c r="H640">
        <v>4</v>
      </c>
      <c r="I640">
        <v>1</v>
      </c>
      <c r="J640" t="str">
        <f t="shared" si="19"/>
        <v>Below College</v>
      </c>
      <c r="K640" t="s">
        <v>53</v>
      </c>
      <c r="L640">
        <v>3</v>
      </c>
      <c r="M640" t="s">
        <v>40</v>
      </c>
      <c r="N640" s="2">
        <v>87</v>
      </c>
      <c r="O640">
        <v>2</v>
      </c>
      <c r="P640">
        <v>2</v>
      </c>
      <c r="Q640" t="s">
        <v>36</v>
      </c>
      <c r="R640">
        <v>1</v>
      </c>
      <c r="S640" t="s">
        <v>42</v>
      </c>
      <c r="T640" s="2">
        <v>4256</v>
      </c>
      <c r="U640" s="2">
        <v>18154</v>
      </c>
      <c r="V640">
        <v>1</v>
      </c>
      <c r="W640" t="s">
        <v>38</v>
      </c>
      <c r="X640">
        <v>12</v>
      </c>
      <c r="Y640">
        <v>3</v>
      </c>
      <c r="Z640">
        <v>1</v>
      </c>
      <c r="AA640">
        <v>80</v>
      </c>
      <c r="AB640">
        <v>0</v>
      </c>
      <c r="AC640">
        <v>5</v>
      </c>
      <c r="AD640">
        <v>1</v>
      </c>
      <c r="AE640">
        <v>4</v>
      </c>
      <c r="AF640">
        <v>5</v>
      </c>
      <c r="AG640">
        <v>2</v>
      </c>
      <c r="AH640">
        <v>0</v>
      </c>
      <c r="AI640">
        <v>3</v>
      </c>
    </row>
    <row r="641" spans="1:35" x14ac:dyDescent="0.25">
      <c r="A641">
        <v>49</v>
      </c>
      <c r="B641" t="str">
        <f t="shared" si="18"/>
        <v>45-54</v>
      </c>
      <c r="C641" s="1" t="s">
        <v>38</v>
      </c>
      <c r="D641" s="17">
        <f>IF(Table1[[#This Row],[Attrition]]="Yes",1,0)</f>
        <v>0</v>
      </c>
      <c r="E641" t="s">
        <v>57</v>
      </c>
      <c r="F641" s="2">
        <v>1418</v>
      </c>
      <c r="G641" t="s">
        <v>39</v>
      </c>
      <c r="H641">
        <v>1</v>
      </c>
      <c r="I641">
        <v>3</v>
      </c>
      <c r="J641" t="str">
        <f t="shared" si="19"/>
        <v>Bachelor</v>
      </c>
      <c r="K641" t="s">
        <v>54</v>
      </c>
      <c r="L641">
        <v>3</v>
      </c>
      <c r="M641" t="s">
        <v>35</v>
      </c>
      <c r="N641" s="2">
        <v>36</v>
      </c>
      <c r="O641">
        <v>3</v>
      </c>
      <c r="P641">
        <v>1</v>
      </c>
      <c r="Q641" t="s">
        <v>41</v>
      </c>
      <c r="R641">
        <v>1</v>
      </c>
      <c r="S641" t="s">
        <v>42</v>
      </c>
      <c r="T641" s="2">
        <v>3580</v>
      </c>
      <c r="U641" s="2">
        <v>10554</v>
      </c>
      <c r="V641">
        <v>2</v>
      </c>
      <c r="W641" t="s">
        <v>38</v>
      </c>
      <c r="X641">
        <v>16</v>
      </c>
      <c r="Y641">
        <v>3</v>
      </c>
      <c r="Z641">
        <v>2</v>
      </c>
      <c r="AA641">
        <v>80</v>
      </c>
      <c r="AB641">
        <v>1</v>
      </c>
      <c r="AC641">
        <v>7</v>
      </c>
      <c r="AD641">
        <v>2</v>
      </c>
      <c r="AE641">
        <v>3</v>
      </c>
      <c r="AF641">
        <v>4</v>
      </c>
      <c r="AG641">
        <v>2</v>
      </c>
      <c r="AH641">
        <v>0</v>
      </c>
      <c r="AI641">
        <v>2</v>
      </c>
    </row>
    <row r="642" spans="1:35" x14ac:dyDescent="0.25">
      <c r="A642">
        <v>24</v>
      </c>
      <c r="B642" t="str">
        <f t="shared" ref="B642:B705" si="20">IF(A642="","",IF(A642&lt;25,"18-24",
 IF(A642&lt;35,"25-34",
 IF(A642&lt;45,"35-44",
 IF(A642&lt;55,"45-54",
 IF(A642&lt;65,"55-64","65+"))))))</f>
        <v>18-24</v>
      </c>
      <c r="C642" s="1" t="s">
        <v>38</v>
      </c>
      <c r="D642" s="17">
        <f>IF(Table1[[#This Row],[Attrition]]="Yes",1,0)</f>
        <v>0</v>
      </c>
      <c r="E642" t="s">
        <v>49</v>
      </c>
      <c r="F642" s="2">
        <v>1269</v>
      </c>
      <c r="G642" t="s">
        <v>39</v>
      </c>
      <c r="H642">
        <v>4</v>
      </c>
      <c r="I642">
        <v>1</v>
      </c>
      <c r="J642" t="str">
        <f t="shared" ref="J642:J705" si="21">CHOOSE(I642,"Below College","College","Bachelor","Master","Doctor")</f>
        <v>Below College</v>
      </c>
      <c r="K642" t="s">
        <v>34</v>
      </c>
      <c r="L642">
        <v>1</v>
      </c>
      <c r="M642" t="s">
        <v>40</v>
      </c>
      <c r="N642" s="2">
        <v>46</v>
      </c>
      <c r="O642">
        <v>2</v>
      </c>
      <c r="P642">
        <v>1</v>
      </c>
      <c r="Q642" t="s">
        <v>44</v>
      </c>
      <c r="R642">
        <v>4</v>
      </c>
      <c r="S642" t="s">
        <v>42</v>
      </c>
      <c r="T642" s="2">
        <v>3162</v>
      </c>
      <c r="U642" s="2">
        <v>10778</v>
      </c>
      <c r="V642">
        <v>0</v>
      </c>
      <c r="W642" t="s">
        <v>38</v>
      </c>
      <c r="X642">
        <v>17</v>
      </c>
      <c r="Y642">
        <v>3</v>
      </c>
      <c r="Z642">
        <v>4</v>
      </c>
      <c r="AA642">
        <v>80</v>
      </c>
      <c r="AB642">
        <v>0</v>
      </c>
      <c r="AC642">
        <v>6</v>
      </c>
      <c r="AD642">
        <v>2</v>
      </c>
      <c r="AE642">
        <v>2</v>
      </c>
      <c r="AF642">
        <v>5</v>
      </c>
      <c r="AG642">
        <v>2</v>
      </c>
      <c r="AH642">
        <v>3</v>
      </c>
      <c r="AI642">
        <v>4</v>
      </c>
    </row>
    <row r="643" spans="1:35" x14ac:dyDescent="0.25">
      <c r="A643">
        <v>32</v>
      </c>
      <c r="B643" t="str">
        <f t="shared" si="20"/>
        <v>25-34</v>
      </c>
      <c r="C643" s="1" t="s">
        <v>38</v>
      </c>
      <c r="D643" s="17">
        <f>IF(Table1[[#This Row],[Attrition]]="Yes",1,0)</f>
        <v>0</v>
      </c>
      <c r="E643" t="s">
        <v>58</v>
      </c>
      <c r="F643" s="2">
        <v>379</v>
      </c>
      <c r="G643" t="s">
        <v>33</v>
      </c>
      <c r="H643">
        <v>5</v>
      </c>
      <c r="I643">
        <v>2</v>
      </c>
      <c r="J643" t="str">
        <f t="shared" si="21"/>
        <v>College</v>
      </c>
      <c r="K643" t="s">
        <v>34</v>
      </c>
      <c r="L643">
        <v>2</v>
      </c>
      <c r="M643" t="s">
        <v>40</v>
      </c>
      <c r="N643" s="2">
        <v>48</v>
      </c>
      <c r="O643">
        <v>3</v>
      </c>
      <c r="P643">
        <v>2</v>
      </c>
      <c r="Q643" t="s">
        <v>36</v>
      </c>
      <c r="R643">
        <v>2</v>
      </c>
      <c r="S643" t="s">
        <v>42</v>
      </c>
      <c r="T643" s="2">
        <v>6524</v>
      </c>
      <c r="U643" s="2">
        <v>8891</v>
      </c>
      <c r="V643">
        <v>1</v>
      </c>
      <c r="W643" t="s">
        <v>38</v>
      </c>
      <c r="X643">
        <v>14</v>
      </c>
      <c r="Y643">
        <v>3</v>
      </c>
      <c r="Z643">
        <v>4</v>
      </c>
      <c r="AA643">
        <v>80</v>
      </c>
      <c r="AB643">
        <v>1</v>
      </c>
      <c r="AC643">
        <v>10</v>
      </c>
      <c r="AD643">
        <v>3</v>
      </c>
      <c r="AE643">
        <v>3</v>
      </c>
      <c r="AF643">
        <v>10</v>
      </c>
      <c r="AG643">
        <v>8</v>
      </c>
      <c r="AH643">
        <v>5</v>
      </c>
      <c r="AI643">
        <v>3</v>
      </c>
    </row>
    <row r="644" spans="1:35" x14ac:dyDescent="0.25">
      <c r="A644">
        <v>38</v>
      </c>
      <c r="B644" t="str">
        <f t="shared" si="20"/>
        <v>35-44</v>
      </c>
      <c r="C644" s="1" t="s">
        <v>38</v>
      </c>
      <c r="D644" s="17">
        <f>IF(Table1[[#This Row],[Attrition]]="Yes",1,0)</f>
        <v>0</v>
      </c>
      <c r="E644" t="s">
        <v>57</v>
      </c>
      <c r="F644" s="2">
        <v>395</v>
      </c>
      <c r="G644" t="s">
        <v>33</v>
      </c>
      <c r="H644">
        <v>9</v>
      </c>
      <c r="I644">
        <v>3</v>
      </c>
      <c r="J644" t="str">
        <f t="shared" si="21"/>
        <v>Bachelor</v>
      </c>
      <c r="K644" t="s">
        <v>53</v>
      </c>
      <c r="L644">
        <v>2</v>
      </c>
      <c r="M644" t="s">
        <v>40</v>
      </c>
      <c r="N644" s="2">
        <v>98</v>
      </c>
      <c r="O644">
        <v>2</v>
      </c>
      <c r="P644">
        <v>1</v>
      </c>
      <c r="Q644" t="s">
        <v>51</v>
      </c>
      <c r="R644">
        <v>2</v>
      </c>
      <c r="S644" t="s">
        <v>42</v>
      </c>
      <c r="T644" s="2">
        <v>2899</v>
      </c>
      <c r="U644" s="2">
        <v>12102</v>
      </c>
      <c r="V644">
        <v>0</v>
      </c>
      <c r="W644" t="s">
        <v>38</v>
      </c>
      <c r="X644">
        <v>19</v>
      </c>
      <c r="Y644">
        <v>3</v>
      </c>
      <c r="Z644">
        <v>4</v>
      </c>
      <c r="AA644">
        <v>80</v>
      </c>
      <c r="AB644">
        <v>1</v>
      </c>
      <c r="AC644">
        <v>3</v>
      </c>
      <c r="AD644">
        <v>3</v>
      </c>
      <c r="AE644">
        <v>3</v>
      </c>
      <c r="AF644">
        <v>2</v>
      </c>
      <c r="AG644">
        <v>2</v>
      </c>
      <c r="AH644">
        <v>1</v>
      </c>
      <c r="AI644">
        <v>2</v>
      </c>
    </row>
    <row r="645" spans="1:35" x14ac:dyDescent="0.25">
      <c r="A645">
        <v>42</v>
      </c>
      <c r="B645" t="str">
        <f t="shared" si="20"/>
        <v>35-44</v>
      </c>
      <c r="C645" s="1" t="s">
        <v>38</v>
      </c>
      <c r="D645" s="17">
        <f>IF(Table1[[#This Row],[Attrition]]="Yes",1,0)</f>
        <v>0</v>
      </c>
      <c r="E645" t="s">
        <v>57</v>
      </c>
      <c r="F645" s="2">
        <v>1265</v>
      </c>
      <c r="G645" t="s">
        <v>39</v>
      </c>
      <c r="H645">
        <v>3</v>
      </c>
      <c r="I645">
        <v>3</v>
      </c>
      <c r="J645" t="str">
        <f t="shared" si="21"/>
        <v>Bachelor</v>
      </c>
      <c r="K645" t="s">
        <v>34</v>
      </c>
      <c r="L645">
        <v>3</v>
      </c>
      <c r="M645" t="s">
        <v>35</v>
      </c>
      <c r="N645" s="2">
        <v>95</v>
      </c>
      <c r="O645">
        <v>4</v>
      </c>
      <c r="P645">
        <v>2</v>
      </c>
      <c r="Q645" t="s">
        <v>44</v>
      </c>
      <c r="R645">
        <v>4</v>
      </c>
      <c r="S645" t="s">
        <v>42</v>
      </c>
      <c r="T645" s="2">
        <v>5231</v>
      </c>
      <c r="U645" s="2">
        <v>23726</v>
      </c>
      <c r="V645">
        <v>2</v>
      </c>
      <c r="W645" t="s">
        <v>32</v>
      </c>
      <c r="X645">
        <v>13</v>
      </c>
      <c r="Y645">
        <v>3</v>
      </c>
      <c r="Z645">
        <v>2</v>
      </c>
      <c r="AA645">
        <v>80</v>
      </c>
      <c r="AB645">
        <v>1</v>
      </c>
      <c r="AC645">
        <v>17</v>
      </c>
      <c r="AD645">
        <v>1</v>
      </c>
      <c r="AE645">
        <v>2</v>
      </c>
      <c r="AF645">
        <v>5</v>
      </c>
      <c r="AG645">
        <v>3</v>
      </c>
      <c r="AH645">
        <v>1</v>
      </c>
      <c r="AI645">
        <v>3</v>
      </c>
    </row>
    <row r="646" spans="1:35" x14ac:dyDescent="0.25">
      <c r="A646">
        <v>31</v>
      </c>
      <c r="B646" t="str">
        <f t="shared" si="20"/>
        <v>25-34</v>
      </c>
      <c r="C646" s="1" t="s">
        <v>38</v>
      </c>
      <c r="D646" s="17">
        <f>IF(Table1[[#This Row],[Attrition]]="Yes",1,0)</f>
        <v>0</v>
      </c>
      <c r="E646" t="s">
        <v>57</v>
      </c>
      <c r="F646" s="2">
        <v>1222</v>
      </c>
      <c r="G646" t="s">
        <v>39</v>
      </c>
      <c r="H646">
        <v>11</v>
      </c>
      <c r="I646">
        <v>4</v>
      </c>
      <c r="J646" t="str">
        <f t="shared" si="21"/>
        <v>Master</v>
      </c>
      <c r="K646" t="s">
        <v>34</v>
      </c>
      <c r="L646">
        <v>4</v>
      </c>
      <c r="M646" t="s">
        <v>40</v>
      </c>
      <c r="N646" s="2">
        <v>48</v>
      </c>
      <c r="O646">
        <v>3</v>
      </c>
      <c r="P646">
        <v>1</v>
      </c>
      <c r="Q646" t="s">
        <v>41</v>
      </c>
      <c r="R646">
        <v>4</v>
      </c>
      <c r="S646" t="s">
        <v>42</v>
      </c>
      <c r="T646" s="2">
        <v>2356</v>
      </c>
      <c r="U646" s="2">
        <v>14871</v>
      </c>
      <c r="V646">
        <v>3</v>
      </c>
      <c r="W646" t="s">
        <v>32</v>
      </c>
      <c r="X646">
        <v>19</v>
      </c>
      <c r="Y646">
        <v>3</v>
      </c>
      <c r="Z646">
        <v>2</v>
      </c>
      <c r="AA646">
        <v>80</v>
      </c>
      <c r="AB646">
        <v>1</v>
      </c>
      <c r="AC646">
        <v>8</v>
      </c>
      <c r="AD646">
        <v>2</v>
      </c>
      <c r="AE646">
        <v>3</v>
      </c>
      <c r="AF646">
        <v>6</v>
      </c>
      <c r="AG646">
        <v>4</v>
      </c>
      <c r="AH646">
        <v>0</v>
      </c>
      <c r="AI646">
        <v>2</v>
      </c>
    </row>
    <row r="647" spans="1:35" x14ac:dyDescent="0.25">
      <c r="A647">
        <v>29</v>
      </c>
      <c r="B647" t="str">
        <f t="shared" si="20"/>
        <v>25-34</v>
      </c>
      <c r="C647" s="1" t="s">
        <v>32</v>
      </c>
      <c r="D647" s="17">
        <f>IF(Table1[[#This Row],[Attrition]]="Yes",1,0)</f>
        <v>1</v>
      </c>
      <c r="E647" t="s">
        <v>57</v>
      </c>
      <c r="F647" s="2">
        <v>341</v>
      </c>
      <c r="G647" t="s">
        <v>33</v>
      </c>
      <c r="H647">
        <v>1</v>
      </c>
      <c r="I647">
        <v>3</v>
      </c>
      <c r="J647" t="str">
        <f t="shared" si="21"/>
        <v>Bachelor</v>
      </c>
      <c r="K647" t="s">
        <v>45</v>
      </c>
      <c r="L647">
        <v>2</v>
      </c>
      <c r="M647" t="s">
        <v>35</v>
      </c>
      <c r="N647" s="2">
        <v>48</v>
      </c>
      <c r="O647">
        <v>2</v>
      </c>
      <c r="P647">
        <v>1</v>
      </c>
      <c r="Q647" t="s">
        <v>51</v>
      </c>
      <c r="R647">
        <v>3</v>
      </c>
      <c r="S647" t="s">
        <v>46</v>
      </c>
      <c r="T647" s="2">
        <v>2800</v>
      </c>
      <c r="U647" s="2">
        <v>23522</v>
      </c>
      <c r="V647">
        <v>6</v>
      </c>
      <c r="W647" t="s">
        <v>32</v>
      </c>
      <c r="X647">
        <v>19</v>
      </c>
      <c r="Y647">
        <v>3</v>
      </c>
      <c r="Z647">
        <v>3</v>
      </c>
      <c r="AA647">
        <v>80</v>
      </c>
      <c r="AB647">
        <v>3</v>
      </c>
      <c r="AC647">
        <v>5</v>
      </c>
      <c r="AD647">
        <v>3</v>
      </c>
      <c r="AE647">
        <v>3</v>
      </c>
      <c r="AF647">
        <v>3</v>
      </c>
      <c r="AG647">
        <v>2</v>
      </c>
      <c r="AH647">
        <v>0</v>
      </c>
      <c r="AI647">
        <v>2</v>
      </c>
    </row>
    <row r="648" spans="1:35" x14ac:dyDescent="0.25">
      <c r="A648">
        <v>53</v>
      </c>
      <c r="B648" t="str">
        <f t="shared" si="20"/>
        <v>45-54</v>
      </c>
      <c r="C648" s="1" t="s">
        <v>38</v>
      </c>
      <c r="D648" s="17">
        <f>IF(Table1[[#This Row],[Attrition]]="Yes",1,0)</f>
        <v>0</v>
      </c>
      <c r="E648" t="s">
        <v>57</v>
      </c>
      <c r="F648" s="2">
        <v>868</v>
      </c>
      <c r="G648" t="s">
        <v>33</v>
      </c>
      <c r="H648">
        <v>8</v>
      </c>
      <c r="I648">
        <v>3</v>
      </c>
      <c r="J648" t="str">
        <f t="shared" si="21"/>
        <v>Bachelor</v>
      </c>
      <c r="K648" t="s">
        <v>53</v>
      </c>
      <c r="L648">
        <v>1</v>
      </c>
      <c r="M648" t="s">
        <v>40</v>
      </c>
      <c r="N648" s="2">
        <v>73</v>
      </c>
      <c r="O648">
        <v>3</v>
      </c>
      <c r="P648">
        <v>4</v>
      </c>
      <c r="Q648" t="s">
        <v>36</v>
      </c>
      <c r="R648">
        <v>4</v>
      </c>
      <c r="S648" t="s">
        <v>42</v>
      </c>
      <c r="T648" s="2">
        <v>11836</v>
      </c>
      <c r="U648" s="2">
        <v>22789</v>
      </c>
      <c r="V648">
        <v>5</v>
      </c>
      <c r="W648" t="s">
        <v>38</v>
      </c>
      <c r="X648">
        <v>14</v>
      </c>
      <c r="Y648">
        <v>3</v>
      </c>
      <c r="Z648">
        <v>3</v>
      </c>
      <c r="AA648">
        <v>80</v>
      </c>
      <c r="AB648">
        <v>1</v>
      </c>
      <c r="AC648">
        <v>28</v>
      </c>
      <c r="AD648">
        <v>3</v>
      </c>
      <c r="AE648">
        <v>3</v>
      </c>
      <c r="AF648">
        <v>2</v>
      </c>
      <c r="AG648">
        <v>0</v>
      </c>
      <c r="AH648">
        <v>2</v>
      </c>
      <c r="AI648">
        <v>2</v>
      </c>
    </row>
    <row r="649" spans="1:35" x14ac:dyDescent="0.25">
      <c r="A649">
        <v>35</v>
      </c>
      <c r="B649" t="str">
        <f t="shared" si="20"/>
        <v>35-44</v>
      </c>
      <c r="C649" s="1" t="s">
        <v>38</v>
      </c>
      <c r="D649" s="17">
        <f>IF(Table1[[#This Row],[Attrition]]="Yes",1,0)</f>
        <v>0</v>
      </c>
      <c r="E649" t="s">
        <v>57</v>
      </c>
      <c r="F649" s="2">
        <v>672</v>
      </c>
      <c r="G649" t="s">
        <v>39</v>
      </c>
      <c r="H649">
        <v>25</v>
      </c>
      <c r="I649">
        <v>3</v>
      </c>
      <c r="J649" t="str">
        <f t="shared" si="21"/>
        <v>Bachelor</v>
      </c>
      <c r="K649" t="s">
        <v>54</v>
      </c>
      <c r="L649">
        <v>4</v>
      </c>
      <c r="M649" t="s">
        <v>40</v>
      </c>
      <c r="N649" s="2">
        <v>78</v>
      </c>
      <c r="O649">
        <v>2</v>
      </c>
      <c r="P649">
        <v>3</v>
      </c>
      <c r="Q649" t="s">
        <v>47</v>
      </c>
      <c r="R649">
        <v>2</v>
      </c>
      <c r="S649" t="s">
        <v>42</v>
      </c>
      <c r="T649" s="2">
        <v>10903</v>
      </c>
      <c r="U649" s="2">
        <v>9129</v>
      </c>
      <c r="V649">
        <v>3</v>
      </c>
      <c r="W649" t="s">
        <v>38</v>
      </c>
      <c r="X649">
        <v>16</v>
      </c>
      <c r="Y649">
        <v>3</v>
      </c>
      <c r="Z649">
        <v>1</v>
      </c>
      <c r="AA649">
        <v>80</v>
      </c>
      <c r="AB649">
        <v>0</v>
      </c>
      <c r="AC649">
        <v>16</v>
      </c>
      <c r="AD649">
        <v>2</v>
      </c>
      <c r="AE649">
        <v>3</v>
      </c>
      <c r="AF649">
        <v>13</v>
      </c>
      <c r="AG649">
        <v>10</v>
      </c>
      <c r="AH649">
        <v>4</v>
      </c>
      <c r="AI649">
        <v>8</v>
      </c>
    </row>
    <row r="650" spans="1:35" x14ac:dyDescent="0.25">
      <c r="A650">
        <v>37</v>
      </c>
      <c r="B650" t="str">
        <f t="shared" si="20"/>
        <v>35-44</v>
      </c>
      <c r="C650" s="1" t="s">
        <v>38</v>
      </c>
      <c r="D650" s="17">
        <f>IF(Table1[[#This Row],[Attrition]]="Yes",1,0)</f>
        <v>0</v>
      </c>
      <c r="E650" t="s">
        <v>58</v>
      </c>
      <c r="F650" s="2">
        <v>1231</v>
      </c>
      <c r="G650" t="s">
        <v>33</v>
      </c>
      <c r="H650">
        <v>21</v>
      </c>
      <c r="I650">
        <v>2</v>
      </c>
      <c r="J650" t="str">
        <f t="shared" si="21"/>
        <v>College</v>
      </c>
      <c r="K650" t="s">
        <v>45</v>
      </c>
      <c r="L650">
        <v>3</v>
      </c>
      <c r="M650" t="s">
        <v>35</v>
      </c>
      <c r="N650" s="2">
        <v>54</v>
      </c>
      <c r="O650">
        <v>3</v>
      </c>
      <c r="P650">
        <v>1</v>
      </c>
      <c r="Q650" t="s">
        <v>51</v>
      </c>
      <c r="R650">
        <v>4</v>
      </c>
      <c r="S650" t="s">
        <v>42</v>
      </c>
      <c r="T650" s="2">
        <v>2973</v>
      </c>
      <c r="U650" s="2">
        <v>21222</v>
      </c>
      <c r="V650">
        <v>5</v>
      </c>
      <c r="W650" t="s">
        <v>38</v>
      </c>
      <c r="X650">
        <v>15</v>
      </c>
      <c r="Y650">
        <v>3</v>
      </c>
      <c r="Z650">
        <v>2</v>
      </c>
      <c r="AA650">
        <v>80</v>
      </c>
      <c r="AB650">
        <v>1</v>
      </c>
      <c r="AC650">
        <v>10</v>
      </c>
      <c r="AD650">
        <v>3</v>
      </c>
      <c r="AE650">
        <v>3</v>
      </c>
      <c r="AF650">
        <v>5</v>
      </c>
      <c r="AG650">
        <v>4</v>
      </c>
      <c r="AH650">
        <v>0</v>
      </c>
      <c r="AI650">
        <v>0</v>
      </c>
    </row>
    <row r="651" spans="1:35" x14ac:dyDescent="0.25">
      <c r="A651">
        <v>53</v>
      </c>
      <c r="B651" t="str">
        <f t="shared" si="20"/>
        <v>45-54</v>
      </c>
      <c r="C651" s="1" t="s">
        <v>38</v>
      </c>
      <c r="D651" s="17">
        <f>IF(Table1[[#This Row],[Attrition]]="Yes",1,0)</f>
        <v>0</v>
      </c>
      <c r="E651" t="s">
        <v>57</v>
      </c>
      <c r="F651" s="2">
        <v>102</v>
      </c>
      <c r="G651" t="s">
        <v>39</v>
      </c>
      <c r="H651">
        <v>23</v>
      </c>
      <c r="I651">
        <v>4</v>
      </c>
      <c r="J651" t="str">
        <f t="shared" si="21"/>
        <v>Master</v>
      </c>
      <c r="K651" t="s">
        <v>34</v>
      </c>
      <c r="L651">
        <v>4</v>
      </c>
      <c r="M651" t="s">
        <v>35</v>
      </c>
      <c r="N651" s="2">
        <v>72</v>
      </c>
      <c r="O651">
        <v>3</v>
      </c>
      <c r="P651">
        <v>4</v>
      </c>
      <c r="Q651" t="s">
        <v>52</v>
      </c>
      <c r="R651">
        <v>4</v>
      </c>
      <c r="S651" t="s">
        <v>37</v>
      </c>
      <c r="T651" s="2">
        <v>14275</v>
      </c>
      <c r="U651" s="2">
        <v>20206</v>
      </c>
      <c r="V651">
        <v>6</v>
      </c>
      <c r="W651" t="s">
        <v>38</v>
      </c>
      <c r="X651">
        <v>18</v>
      </c>
      <c r="Y651">
        <v>3</v>
      </c>
      <c r="Z651">
        <v>3</v>
      </c>
      <c r="AA651">
        <v>80</v>
      </c>
      <c r="AB651">
        <v>0</v>
      </c>
      <c r="AC651">
        <v>33</v>
      </c>
      <c r="AD651">
        <v>0</v>
      </c>
      <c r="AE651">
        <v>3</v>
      </c>
      <c r="AF651">
        <v>12</v>
      </c>
      <c r="AG651">
        <v>9</v>
      </c>
      <c r="AH651">
        <v>3</v>
      </c>
      <c r="AI651">
        <v>8</v>
      </c>
    </row>
    <row r="652" spans="1:35" x14ac:dyDescent="0.25">
      <c r="A652">
        <v>43</v>
      </c>
      <c r="B652" t="str">
        <f t="shared" si="20"/>
        <v>35-44</v>
      </c>
      <c r="C652" s="1" t="s">
        <v>38</v>
      </c>
      <c r="D652" s="17">
        <f>IF(Table1[[#This Row],[Attrition]]="Yes",1,0)</f>
        <v>0</v>
      </c>
      <c r="E652" t="s">
        <v>58</v>
      </c>
      <c r="F652" s="2">
        <v>422</v>
      </c>
      <c r="G652" t="s">
        <v>39</v>
      </c>
      <c r="H652">
        <v>1</v>
      </c>
      <c r="I652">
        <v>3</v>
      </c>
      <c r="J652" t="str">
        <f t="shared" si="21"/>
        <v>Bachelor</v>
      </c>
      <c r="K652" t="s">
        <v>34</v>
      </c>
      <c r="L652">
        <v>4</v>
      </c>
      <c r="M652" t="s">
        <v>35</v>
      </c>
      <c r="N652" s="2">
        <v>33</v>
      </c>
      <c r="O652">
        <v>3</v>
      </c>
      <c r="P652">
        <v>2</v>
      </c>
      <c r="Q652" t="s">
        <v>48</v>
      </c>
      <c r="R652">
        <v>4</v>
      </c>
      <c r="S652" t="s">
        <v>42</v>
      </c>
      <c r="T652" s="2">
        <v>5562</v>
      </c>
      <c r="U652" s="2">
        <v>21782</v>
      </c>
      <c r="V652">
        <v>4</v>
      </c>
      <c r="W652" t="s">
        <v>38</v>
      </c>
      <c r="X652">
        <v>13</v>
      </c>
      <c r="Y652">
        <v>3</v>
      </c>
      <c r="Z652">
        <v>2</v>
      </c>
      <c r="AA652">
        <v>80</v>
      </c>
      <c r="AB652">
        <v>1</v>
      </c>
      <c r="AC652">
        <v>12</v>
      </c>
      <c r="AD652">
        <v>2</v>
      </c>
      <c r="AE652">
        <v>2</v>
      </c>
      <c r="AF652">
        <v>5</v>
      </c>
      <c r="AG652">
        <v>2</v>
      </c>
      <c r="AH652">
        <v>2</v>
      </c>
      <c r="AI652">
        <v>2</v>
      </c>
    </row>
    <row r="653" spans="1:35" x14ac:dyDescent="0.25">
      <c r="A653">
        <v>47</v>
      </c>
      <c r="B653" t="str">
        <f t="shared" si="20"/>
        <v>45-54</v>
      </c>
      <c r="C653" s="1" t="s">
        <v>38</v>
      </c>
      <c r="D653" s="17">
        <f>IF(Table1[[#This Row],[Attrition]]="Yes",1,0)</f>
        <v>0</v>
      </c>
      <c r="E653" t="s">
        <v>57</v>
      </c>
      <c r="F653" s="2">
        <v>249</v>
      </c>
      <c r="G653" t="s">
        <v>33</v>
      </c>
      <c r="H653">
        <v>2</v>
      </c>
      <c r="I653">
        <v>2</v>
      </c>
      <c r="J653" t="str">
        <f t="shared" si="21"/>
        <v>College</v>
      </c>
      <c r="K653" t="s">
        <v>53</v>
      </c>
      <c r="L653">
        <v>3</v>
      </c>
      <c r="M653" t="s">
        <v>35</v>
      </c>
      <c r="N653" s="2">
        <v>35</v>
      </c>
      <c r="O653">
        <v>3</v>
      </c>
      <c r="P653">
        <v>2</v>
      </c>
      <c r="Q653" t="s">
        <v>36</v>
      </c>
      <c r="R653">
        <v>4</v>
      </c>
      <c r="S653" t="s">
        <v>42</v>
      </c>
      <c r="T653" s="2">
        <v>4537</v>
      </c>
      <c r="U653" s="2">
        <v>17783</v>
      </c>
      <c r="V653">
        <v>0</v>
      </c>
      <c r="W653" t="s">
        <v>32</v>
      </c>
      <c r="X653">
        <v>22</v>
      </c>
      <c r="Y653">
        <v>4</v>
      </c>
      <c r="Z653">
        <v>1</v>
      </c>
      <c r="AA653">
        <v>80</v>
      </c>
      <c r="AB653">
        <v>1</v>
      </c>
      <c r="AC653">
        <v>8</v>
      </c>
      <c r="AD653">
        <v>2</v>
      </c>
      <c r="AE653">
        <v>3</v>
      </c>
      <c r="AF653">
        <v>7</v>
      </c>
      <c r="AG653">
        <v>6</v>
      </c>
      <c r="AH653">
        <v>7</v>
      </c>
      <c r="AI653">
        <v>7</v>
      </c>
    </row>
    <row r="654" spans="1:35" x14ac:dyDescent="0.25">
      <c r="A654">
        <v>37</v>
      </c>
      <c r="B654" t="str">
        <f t="shared" si="20"/>
        <v>35-44</v>
      </c>
      <c r="C654" s="1" t="s">
        <v>38</v>
      </c>
      <c r="D654" s="17">
        <f>IF(Table1[[#This Row],[Attrition]]="Yes",1,0)</f>
        <v>0</v>
      </c>
      <c r="E654" t="s">
        <v>49</v>
      </c>
      <c r="F654" s="2">
        <v>1252</v>
      </c>
      <c r="G654" t="s">
        <v>33</v>
      </c>
      <c r="H654">
        <v>19</v>
      </c>
      <c r="I654">
        <v>2</v>
      </c>
      <c r="J654" t="str">
        <f t="shared" si="21"/>
        <v>College</v>
      </c>
      <c r="K654" t="s">
        <v>45</v>
      </c>
      <c r="L654">
        <v>1</v>
      </c>
      <c r="M654" t="s">
        <v>40</v>
      </c>
      <c r="N654" s="2">
        <v>32</v>
      </c>
      <c r="O654">
        <v>3</v>
      </c>
      <c r="P654">
        <v>3</v>
      </c>
      <c r="Q654" t="s">
        <v>36</v>
      </c>
      <c r="R654">
        <v>2</v>
      </c>
      <c r="S654" t="s">
        <v>37</v>
      </c>
      <c r="T654" s="2">
        <v>7642</v>
      </c>
      <c r="U654" s="2">
        <v>4814</v>
      </c>
      <c r="V654">
        <v>1</v>
      </c>
      <c r="W654" t="s">
        <v>32</v>
      </c>
      <c r="X654">
        <v>13</v>
      </c>
      <c r="Y654">
        <v>3</v>
      </c>
      <c r="Z654">
        <v>4</v>
      </c>
      <c r="AA654">
        <v>80</v>
      </c>
      <c r="AB654">
        <v>0</v>
      </c>
      <c r="AC654">
        <v>10</v>
      </c>
      <c r="AD654">
        <v>2</v>
      </c>
      <c r="AE654">
        <v>3</v>
      </c>
      <c r="AF654">
        <v>10</v>
      </c>
      <c r="AG654">
        <v>0</v>
      </c>
      <c r="AH654">
        <v>0</v>
      </c>
      <c r="AI654">
        <v>9</v>
      </c>
    </row>
    <row r="655" spans="1:35" x14ac:dyDescent="0.25">
      <c r="A655">
        <v>50</v>
      </c>
      <c r="B655" t="str">
        <f t="shared" si="20"/>
        <v>45-54</v>
      </c>
      <c r="C655" s="1" t="s">
        <v>38</v>
      </c>
      <c r="D655" s="17">
        <f>IF(Table1[[#This Row],[Attrition]]="Yes",1,0)</f>
        <v>0</v>
      </c>
      <c r="E655" t="s">
        <v>49</v>
      </c>
      <c r="F655" s="2">
        <v>881</v>
      </c>
      <c r="G655" t="s">
        <v>39</v>
      </c>
      <c r="H655">
        <v>2</v>
      </c>
      <c r="I655">
        <v>4</v>
      </c>
      <c r="J655" t="str">
        <f t="shared" si="21"/>
        <v>Master</v>
      </c>
      <c r="K655" t="s">
        <v>34</v>
      </c>
      <c r="L655">
        <v>1</v>
      </c>
      <c r="M655" t="s">
        <v>40</v>
      </c>
      <c r="N655" s="2">
        <v>98</v>
      </c>
      <c r="O655">
        <v>3</v>
      </c>
      <c r="P655">
        <v>4</v>
      </c>
      <c r="Q655" t="s">
        <v>50</v>
      </c>
      <c r="R655">
        <v>1</v>
      </c>
      <c r="S655" t="s">
        <v>46</v>
      </c>
      <c r="T655" s="2">
        <v>17924</v>
      </c>
      <c r="U655" s="2">
        <v>4544</v>
      </c>
      <c r="V655">
        <v>1</v>
      </c>
      <c r="W655" t="s">
        <v>38</v>
      </c>
      <c r="X655">
        <v>11</v>
      </c>
      <c r="Y655">
        <v>3</v>
      </c>
      <c r="Z655">
        <v>4</v>
      </c>
      <c r="AA655">
        <v>80</v>
      </c>
      <c r="AB655">
        <v>1</v>
      </c>
      <c r="AC655">
        <v>31</v>
      </c>
      <c r="AD655">
        <v>3</v>
      </c>
      <c r="AE655">
        <v>3</v>
      </c>
      <c r="AF655">
        <v>31</v>
      </c>
      <c r="AG655">
        <v>6</v>
      </c>
      <c r="AH655">
        <v>14</v>
      </c>
      <c r="AI655">
        <v>7</v>
      </c>
    </row>
    <row r="656" spans="1:35" x14ac:dyDescent="0.25">
      <c r="A656">
        <v>39</v>
      </c>
      <c r="B656" t="str">
        <f t="shared" si="20"/>
        <v>35-44</v>
      </c>
      <c r="C656" s="1" t="s">
        <v>38</v>
      </c>
      <c r="D656" s="17">
        <f>IF(Table1[[#This Row],[Attrition]]="Yes",1,0)</f>
        <v>0</v>
      </c>
      <c r="E656" t="s">
        <v>57</v>
      </c>
      <c r="F656" s="2">
        <v>1383</v>
      </c>
      <c r="G656" t="s">
        <v>55</v>
      </c>
      <c r="H656">
        <v>2</v>
      </c>
      <c r="I656">
        <v>3</v>
      </c>
      <c r="J656" t="str">
        <f t="shared" si="21"/>
        <v>Bachelor</v>
      </c>
      <c r="K656" t="s">
        <v>34</v>
      </c>
      <c r="L656">
        <v>4</v>
      </c>
      <c r="M656" t="s">
        <v>35</v>
      </c>
      <c r="N656" s="2">
        <v>42</v>
      </c>
      <c r="O656">
        <v>2</v>
      </c>
      <c r="P656">
        <v>2</v>
      </c>
      <c r="Q656" t="s">
        <v>55</v>
      </c>
      <c r="R656">
        <v>4</v>
      </c>
      <c r="S656" t="s">
        <v>42</v>
      </c>
      <c r="T656" s="2">
        <v>5204</v>
      </c>
      <c r="U656" s="2">
        <v>7790</v>
      </c>
      <c r="V656">
        <v>8</v>
      </c>
      <c r="W656" t="s">
        <v>38</v>
      </c>
      <c r="X656">
        <v>11</v>
      </c>
      <c r="Y656">
        <v>3</v>
      </c>
      <c r="Z656">
        <v>3</v>
      </c>
      <c r="AA656">
        <v>80</v>
      </c>
      <c r="AB656">
        <v>2</v>
      </c>
      <c r="AC656">
        <v>13</v>
      </c>
      <c r="AD656">
        <v>2</v>
      </c>
      <c r="AE656">
        <v>3</v>
      </c>
      <c r="AF656">
        <v>5</v>
      </c>
      <c r="AG656">
        <v>4</v>
      </c>
      <c r="AH656">
        <v>0</v>
      </c>
      <c r="AI656">
        <v>4</v>
      </c>
    </row>
    <row r="657" spans="1:35" x14ac:dyDescent="0.25">
      <c r="A657">
        <v>33</v>
      </c>
      <c r="B657" t="str">
        <f t="shared" si="20"/>
        <v>25-34</v>
      </c>
      <c r="C657" s="1" t="s">
        <v>38</v>
      </c>
      <c r="D657" s="17">
        <f>IF(Table1[[#This Row],[Attrition]]="Yes",1,0)</f>
        <v>0</v>
      </c>
      <c r="E657" t="s">
        <v>57</v>
      </c>
      <c r="F657" s="2">
        <v>1075</v>
      </c>
      <c r="G657" t="s">
        <v>55</v>
      </c>
      <c r="H657">
        <v>3</v>
      </c>
      <c r="I657">
        <v>2</v>
      </c>
      <c r="J657" t="str">
        <f t="shared" si="21"/>
        <v>College</v>
      </c>
      <c r="K657" t="s">
        <v>55</v>
      </c>
      <c r="L657">
        <v>4</v>
      </c>
      <c r="M657" t="s">
        <v>40</v>
      </c>
      <c r="N657" s="2">
        <v>57</v>
      </c>
      <c r="O657">
        <v>3</v>
      </c>
      <c r="P657">
        <v>1</v>
      </c>
      <c r="Q657" t="s">
        <v>55</v>
      </c>
      <c r="R657">
        <v>2</v>
      </c>
      <c r="S657" t="s">
        <v>46</v>
      </c>
      <c r="T657" s="2">
        <v>2277</v>
      </c>
      <c r="U657" s="2">
        <v>22650</v>
      </c>
      <c r="V657">
        <v>3</v>
      </c>
      <c r="W657" t="s">
        <v>32</v>
      </c>
      <c r="X657">
        <v>11</v>
      </c>
      <c r="Y657">
        <v>3</v>
      </c>
      <c r="Z657">
        <v>3</v>
      </c>
      <c r="AA657">
        <v>80</v>
      </c>
      <c r="AB657">
        <v>1</v>
      </c>
      <c r="AC657">
        <v>7</v>
      </c>
      <c r="AD657">
        <v>4</v>
      </c>
      <c r="AE657">
        <v>4</v>
      </c>
      <c r="AF657">
        <v>4</v>
      </c>
      <c r="AG657">
        <v>3</v>
      </c>
      <c r="AH657">
        <v>0</v>
      </c>
      <c r="AI657">
        <v>3</v>
      </c>
    </row>
    <row r="658" spans="1:35" x14ac:dyDescent="0.25">
      <c r="A658">
        <v>32</v>
      </c>
      <c r="B658" t="str">
        <f t="shared" si="20"/>
        <v>25-34</v>
      </c>
      <c r="C658" s="1" t="s">
        <v>32</v>
      </c>
      <c r="D658" s="17">
        <f>IF(Table1[[#This Row],[Attrition]]="Yes",1,0)</f>
        <v>1</v>
      </c>
      <c r="E658" t="s">
        <v>57</v>
      </c>
      <c r="F658" s="2">
        <v>374</v>
      </c>
      <c r="G658" t="s">
        <v>39</v>
      </c>
      <c r="H658">
        <v>25</v>
      </c>
      <c r="I658">
        <v>4</v>
      </c>
      <c r="J658" t="str">
        <f t="shared" si="21"/>
        <v>Master</v>
      </c>
      <c r="K658" t="s">
        <v>34</v>
      </c>
      <c r="L658">
        <v>1</v>
      </c>
      <c r="M658" t="s">
        <v>40</v>
      </c>
      <c r="N658" s="2">
        <v>87</v>
      </c>
      <c r="O658">
        <v>3</v>
      </c>
      <c r="P658">
        <v>1</v>
      </c>
      <c r="Q658" t="s">
        <v>44</v>
      </c>
      <c r="R658">
        <v>4</v>
      </c>
      <c r="S658" t="s">
        <v>37</v>
      </c>
      <c r="T658" s="2">
        <v>2795</v>
      </c>
      <c r="U658" s="2">
        <v>18016</v>
      </c>
      <c r="V658">
        <v>1</v>
      </c>
      <c r="W658" t="s">
        <v>32</v>
      </c>
      <c r="X658">
        <v>24</v>
      </c>
      <c r="Y658">
        <v>4</v>
      </c>
      <c r="Z658">
        <v>3</v>
      </c>
      <c r="AA658">
        <v>80</v>
      </c>
      <c r="AB658">
        <v>0</v>
      </c>
      <c r="AC658">
        <v>1</v>
      </c>
      <c r="AD658">
        <v>2</v>
      </c>
      <c r="AE658">
        <v>1</v>
      </c>
      <c r="AF658">
        <v>1</v>
      </c>
      <c r="AG658">
        <v>0</v>
      </c>
      <c r="AH658">
        <v>0</v>
      </c>
      <c r="AI658">
        <v>1</v>
      </c>
    </row>
    <row r="659" spans="1:35" x14ac:dyDescent="0.25">
      <c r="A659">
        <v>29</v>
      </c>
      <c r="B659" t="str">
        <f t="shared" si="20"/>
        <v>25-34</v>
      </c>
      <c r="C659" s="1" t="s">
        <v>38</v>
      </c>
      <c r="D659" s="17">
        <f>IF(Table1[[#This Row],[Attrition]]="Yes",1,0)</f>
        <v>0</v>
      </c>
      <c r="E659" t="s">
        <v>57</v>
      </c>
      <c r="F659" s="2">
        <v>1086</v>
      </c>
      <c r="G659" t="s">
        <v>39</v>
      </c>
      <c r="H659">
        <v>7</v>
      </c>
      <c r="I659">
        <v>1</v>
      </c>
      <c r="J659" t="str">
        <f t="shared" si="21"/>
        <v>Below College</v>
      </c>
      <c r="K659" t="s">
        <v>45</v>
      </c>
      <c r="L659">
        <v>1</v>
      </c>
      <c r="M659" t="s">
        <v>35</v>
      </c>
      <c r="N659" s="2">
        <v>62</v>
      </c>
      <c r="O659">
        <v>2</v>
      </c>
      <c r="P659">
        <v>1</v>
      </c>
      <c r="Q659" t="s">
        <v>44</v>
      </c>
      <c r="R659">
        <v>4</v>
      </c>
      <c r="S659" t="s">
        <v>46</v>
      </c>
      <c r="T659" s="2">
        <v>2532</v>
      </c>
      <c r="U659" s="2">
        <v>6054</v>
      </c>
      <c r="V659">
        <v>6</v>
      </c>
      <c r="W659" t="s">
        <v>38</v>
      </c>
      <c r="X659">
        <v>14</v>
      </c>
      <c r="Y659">
        <v>3</v>
      </c>
      <c r="Z659">
        <v>3</v>
      </c>
      <c r="AA659">
        <v>80</v>
      </c>
      <c r="AB659">
        <v>3</v>
      </c>
      <c r="AC659">
        <v>8</v>
      </c>
      <c r="AD659">
        <v>5</v>
      </c>
      <c r="AE659">
        <v>3</v>
      </c>
      <c r="AF659">
        <v>4</v>
      </c>
      <c r="AG659">
        <v>3</v>
      </c>
      <c r="AH659">
        <v>0</v>
      </c>
      <c r="AI659">
        <v>3</v>
      </c>
    </row>
    <row r="660" spans="1:35" x14ac:dyDescent="0.25">
      <c r="A660">
        <v>44</v>
      </c>
      <c r="B660" t="str">
        <f t="shared" si="20"/>
        <v>35-44</v>
      </c>
      <c r="C660" s="1" t="s">
        <v>38</v>
      </c>
      <c r="D660" s="17">
        <f>IF(Table1[[#This Row],[Attrition]]="Yes",1,0)</f>
        <v>0</v>
      </c>
      <c r="E660" t="s">
        <v>57</v>
      </c>
      <c r="F660" s="2">
        <v>661</v>
      </c>
      <c r="G660" t="s">
        <v>39</v>
      </c>
      <c r="H660">
        <v>9</v>
      </c>
      <c r="I660">
        <v>2</v>
      </c>
      <c r="J660" t="str">
        <f t="shared" si="21"/>
        <v>College</v>
      </c>
      <c r="K660" t="s">
        <v>34</v>
      </c>
      <c r="L660">
        <v>2</v>
      </c>
      <c r="M660" t="s">
        <v>40</v>
      </c>
      <c r="N660" s="2">
        <v>61</v>
      </c>
      <c r="O660">
        <v>3</v>
      </c>
      <c r="P660">
        <v>1</v>
      </c>
      <c r="Q660" t="s">
        <v>41</v>
      </c>
      <c r="R660">
        <v>1</v>
      </c>
      <c r="S660" t="s">
        <v>42</v>
      </c>
      <c r="T660" s="2">
        <v>2559</v>
      </c>
      <c r="U660" s="2">
        <v>7508</v>
      </c>
      <c r="V660">
        <v>1</v>
      </c>
      <c r="W660" t="s">
        <v>32</v>
      </c>
      <c r="X660">
        <v>13</v>
      </c>
      <c r="Y660">
        <v>3</v>
      </c>
      <c r="Z660">
        <v>4</v>
      </c>
      <c r="AA660">
        <v>80</v>
      </c>
      <c r="AB660">
        <v>0</v>
      </c>
      <c r="AC660">
        <v>8</v>
      </c>
      <c r="AD660">
        <v>0</v>
      </c>
      <c r="AE660">
        <v>3</v>
      </c>
      <c r="AF660">
        <v>8</v>
      </c>
      <c r="AG660">
        <v>7</v>
      </c>
      <c r="AH660">
        <v>7</v>
      </c>
      <c r="AI660">
        <v>1</v>
      </c>
    </row>
    <row r="661" spans="1:35" x14ac:dyDescent="0.25">
      <c r="A661">
        <v>28</v>
      </c>
      <c r="B661" t="str">
        <f t="shared" si="20"/>
        <v>25-34</v>
      </c>
      <c r="C661" s="1" t="s">
        <v>38</v>
      </c>
      <c r="D661" s="17">
        <f>IF(Table1[[#This Row],[Attrition]]="Yes",1,0)</f>
        <v>0</v>
      </c>
      <c r="E661" t="s">
        <v>57</v>
      </c>
      <c r="F661" s="2">
        <v>821</v>
      </c>
      <c r="G661" t="s">
        <v>33</v>
      </c>
      <c r="H661">
        <v>5</v>
      </c>
      <c r="I661">
        <v>4</v>
      </c>
      <c r="J661" t="str">
        <f t="shared" si="21"/>
        <v>Master</v>
      </c>
      <c r="K661" t="s">
        <v>45</v>
      </c>
      <c r="L661">
        <v>1</v>
      </c>
      <c r="M661" t="s">
        <v>40</v>
      </c>
      <c r="N661" s="2">
        <v>98</v>
      </c>
      <c r="O661">
        <v>3</v>
      </c>
      <c r="P661">
        <v>2</v>
      </c>
      <c r="Q661" t="s">
        <v>36</v>
      </c>
      <c r="R661">
        <v>4</v>
      </c>
      <c r="S661" t="s">
        <v>37</v>
      </c>
      <c r="T661" s="2">
        <v>4908</v>
      </c>
      <c r="U661" s="2">
        <v>24252</v>
      </c>
      <c r="V661">
        <v>1</v>
      </c>
      <c r="W661" t="s">
        <v>38</v>
      </c>
      <c r="X661">
        <v>14</v>
      </c>
      <c r="Y661">
        <v>3</v>
      </c>
      <c r="Z661">
        <v>2</v>
      </c>
      <c r="AA661">
        <v>80</v>
      </c>
      <c r="AB661">
        <v>0</v>
      </c>
      <c r="AC661">
        <v>4</v>
      </c>
      <c r="AD661">
        <v>3</v>
      </c>
      <c r="AE661">
        <v>3</v>
      </c>
      <c r="AF661">
        <v>4</v>
      </c>
      <c r="AG661">
        <v>2</v>
      </c>
      <c r="AH661">
        <v>0</v>
      </c>
      <c r="AI661">
        <v>2</v>
      </c>
    </row>
    <row r="662" spans="1:35" x14ac:dyDescent="0.25">
      <c r="A662">
        <v>58</v>
      </c>
      <c r="B662" t="str">
        <f t="shared" si="20"/>
        <v>55-64</v>
      </c>
      <c r="C662" s="1" t="s">
        <v>32</v>
      </c>
      <c r="D662" s="17">
        <f>IF(Table1[[#This Row],[Attrition]]="Yes",1,0)</f>
        <v>1</v>
      </c>
      <c r="E662" t="s">
        <v>58</v>
      </c>
      <c r="F662" s="2">
        <v>781</v>
      </c>
      <c r="G662" t="s">
        <v>39</v>
      </c>
      <c r="H662">
        <v>2</v>
      </c>
      <c r="I662">
        <v>1</v>
      </c>
      <c r="J662" t="str">
        <f t="shared" si="21"/>
        <v>Below College</v>
      </c>
      <c r="K662" t="s">
        <v>34</v>
      </c>
      <c r="L662">
        <v>4</v>
      </c>
      <c r="M662" t="s">
        <v>40</v>
      </c>
      <c r="N662" s="2">
        <v>57</v>
      </c>
      <c r="O662">
        <v>2</v>
      </c>
      <c r="P662">
        <v>1</v>
      </c>
      <c r="Q662" t="s">
        <v>44</v>
      </c>
      <c r="R662">
        <v>4</v>
      </c>
      <c r="S662" t="s">
        <v>46</v>
      </c>
      <c r="T662" s="2">
        <v>2380</v>
      </c>
      <c r="U662" s="2">
        <v>13384</v>
      </c>
      <c r="V662">
        <v>9</v>
      </c>
      <c r="W662" t="s">
        <v>32</v>
      </c>
      <c r="X662">
        <v>14</v>
      </c>
      <c r="Y662">
        <v>3</v>
      </c>
      <c r="Z662">
        <v>4</v>
      </c>
      <c r="AA662">
        <v>80</v>
      </c>
      <c r="AB662">
        <v>1</v>
      </c>
      <c r="AC662">
        <v>3</v>
      </c>
      <c r="AD662">
        <v>3</v>
      </c>
      <c r="AE662">
        <v>2</v>
      </c>
      <c r="AF662">
        <v>1</v>
      </c>
      <c r="AG662">
        <v>0</v>
      </c>
      <c r="AH662">
        <v>0</v>
      </c>
      <c r="AI662">
        <v>0</v>
      </c>
    </row>
    <row r="663" spans="1:35" x14ac:dyDescent="0.25">
      <c r="A663">
        <v>43</v>
      </c>
      <c r="B663" t="str">
        <f t="shared" si="20"/>
        <v>35-44</v>
      </c>
      <c r="C663" s="1" t="s">
        <v>38</v>
      </c>
      <c r="D663" s="17">
        <f>IF(Table1[[#This Row],[Attrition]]="Yes",1,0)</f>
        <v>0</v>
      </c>
      <c r="E663" t="s">
        <v>57</v>
      </c>
      <c r="F663" s="2">
        <v>177</v>
      </c>
      <c r="G663" t="s">
        <v>39</v>
      </c>
      <c r="H663">
        <v>8</v>
      </c>
      <c r="I663">
        <v>3</v>
      </c>
      <c r="J663" t="str">
        <f t="shared" si="21"/>
        <v>Bachelor</v>
      </c>
      <c r="K663" t="s">
        <v>34</v>
      </c>
      <c r="L663">
        <v>1</v>
      </c>
      <c r="M663" t="s">
        <v>35</v>
      </c>
      <c r="N663" s="2">
        <v>55</v>
      </c>
      <c r="O663">
        <v>3</v>
      </c>
      <c r="P663">
        <v>2</v>
      </c>
      <c r="Q663" t="s">
        <v>47</v>
      </c>
      <c r="R663">
        <v>2</v>
      </c>
      <c r="S663" t="s">
        <v>46</v>
      </c>
      <c r="T663" s="2">
        <v>4765</v>
      </c>
      <c r="U663" s="2">
        <v>23814</v>
      </c>
      <c r="V663">
        <v>4</v>
      </c>
      <c r="W663" t="s">
        <v>38</v>
      </c>
      <c r="X663">
        <v>21</v>
      </c>
      <c r="Y663">
        <v>4</v>
      </c>
      <c r="Z663">
        <v>3</v>
      </c>
      <c r="AA663">
        <v>80</v>
      </c>
      <c r="AB663">
        <v>1</v>
      </c>
      <c r="AC663">
        <v>4</v>
      </c>
      <c r="AD663">
        <v>2</v>
      </c>
      <c r="AE663">
        <v>4</v>
      </c>
      <c r="AF663">
        <v>1</v>
      </c>
      <c r="AG663">
        <v>0</v>
      </c>
      <c r="AH663">
        <v>0</v>
      </c>
      <c r="AI663">
        <v>0</v>
      </c>
    </row>
    <row r="664" spans="1:35" x14ac:dyDescent="0.25">
      <c r="A664">
        <v>20</v>
      </c>
      <c r="B664" t="str">
        <f t="shared" si="20"/>
        <v>18-24</v>
      </c>
      <c r="C664" s="1" t="s">
        <v>32</v>
      </c>
      <c r="D664" s="17">
        <f>IF(Table1[[#This Row],[Attrition]]="Yes",1,0)</f>
        <v>1</v>
      </c>
      <c r="E664" t="s">
        <v>57</v>
      </c>
      <c r="F664" s="2">
        <v>500</v>
      </c>
      <c r="G664" t="s">
        <v>33</v>
      </c>
      <c r="H664">
        <v>2</v>
      </c>
      <c r="I664">
        <v>3</v>
      </c>
      <c r="J664" t="str">
        <f t="shared" si="21"/>
        <v>Bachelor</v>
      </c>
      <c r="K664" t="s">
        <v>45</v>
      </c>
      <c r="L664">
        <v>3</v>
      </c>
      <c r="M664" t="s">
        <v>35</v>
      </c>
      <c r="N664" s="2">
        <v>49</v>
      </c>
      <c r="O664">
        <v>2</v>
      </c>
      <c r="P664">
        <v>1</v>
      </c>
      <c r="Q664" t="s">
        <v>51</v>
      </c>
      <c r="R664">
        <v>3</v>
      </c>
      <c r="S664" t="s">
        <v>37</v>
      </c>
      <c r="T664" s="2">
        <v>2044</v>
      </c>
      <c r="U664" s="2">
        <v>22052</v>
      </c>
      <c r="V664">
        <v>1</v>
      </c>
      <c r="W664" t="s">
        <v>38</v>
      </c>
      <c r="X664">
        <v>13</v>
      </c>
      <c r="Y664">
        <v>3</v>
      </c>
      <c r="Z664">
        <v>4</v>
      </c>
      <c r="AA664">
        <v>80</v>
      </c>
      <c r="AB664">
        <v>0</v>
      </c>
      <c r="AC664">
        <v>2</v>
      </c>
      <c r="AD664">
        <v>3</v>
      </c>
      <c r="AE664">
        <v>2</v>
      </c>
      <c r="AF664">
        <v>2</v>
      </c>
      <c r="AG664">
        <v>2</v>
      </c>
      <c r="AH664">
        <v>0</v>
      </c>
      <c r="AI664">
        <v>2</v>
      </c>
    </row>
    <row r="665" spans="1:35" x14ac:dyDescent="0.25">
      <c r="A665">
        <v>21</v>
      </c>
      <c r="B665" t="str">
        <f t="shared" si="20"/>
        <v>18-24</v>
      </c>
      <c r="C665" s="1" t="s">
        <v>32</v>
      </c>
      <c r="D665" s="17">
        <f>IF(Table1[[#This Row],[Attrition]]="Yes",1,0)</f>
        <v>1</v>
      </c>
      <c r="E665" t="s">
        <v>57</v>
      </c>
      <c r="F665" s="2">
        <v>1427</v>
      </c>
      <c r="G665" t="s">
        <v>39</v>
      </c>
      <c r="H665">
        <v>18</v>
      </c>
      <c r="I665">
        <v>1</v>
      </c>
      <c r="J665" t="str">
        <f t="shared" si="21"/>
        <v>Below College</v>
      </c>
      <c r="K665" t="s">
        <v>43</v>
      </c>
      <c r="L665">
        <v>4</v>
      </c>
      <c r="M665" t="s">
        <v>35</v>
      </c>
      <c r="N665" s="2">
        <v>65</v>
      </c>
      <c r="O665">
        <v>3</v>
      </c>
      <c r="P665">
        <v>1</v>
      </c>
      <c r="Q665" t="s">
        <v>41</v>
      </c>
      <c r="R665">
        <v>4</v>
      </c>
      <c r="S665" t="s">
        <v>37</v>
      </c>
      <c r="T665" s="2">
        <v>2693</v>
      </c>
      <c r="U665" s="2">
        <v>8870</v>
      </c>
      <c r="V665">
        <v>1</v>
      </c>
      <c r="W665" t="s">
        <v>38</v>
      </c>
      <c r="X665">
        <v>19</v>
      </c>
      <c r="Y665">
        <v>3</v>
      </c>
      <c r="Z665">
        <v>1</v>
      </c>
      <c r="AA665">
        <v>80</v>
      </c>
      <c r="AB665">
        <v>0</v>
      </c>
      <c r="AC665">
        <v>1</v>
      </c>
      <c r="AD665">
        <v>3</v>
      </c>
      <c r="AE665">
        <v>2</v>
      </c>
      <c r="AF665">
        <v>1</v>
      </c>
      <c r="AG665">
        <v>0</v>
      </c>
      <c r="AH665">
        <v>0</v>
      </c>
      <c r="AI665">
        <v>0</v>
      </c>
    </row>
    <row r="666" spans="1:35" x14ac:dyDescent="0.25">
      <c r="A666">
        <v>36</v>
      </c>
      <c r="B666" t="str">
        <f t="shared" si="20"/>
        <v>35-44</v>
      </c>
      <c r="C666" s="1" t="s">
        <v>38</v>
      </c>
      <c r="D666" s="17">
        <f>IF(Table1[[#This Row],[Attrition]]="Yes",1,0)</f>
        <v>0</v>
      </c>
      <c r="E666" t="s">
        <v>57</v>
      </c>
      <c r="F666" s="2">
        <v>1425</v>
      </c>
      <c r="G666" t="s">
        <v>39</v>
      </c>
      <c r="H666">
        <v>14</v>
      </c>
      <c r="I666">
        <v>1</v>
      </c>
      <c r="J666" t="str">
        <f t="shared" si="21"/>
        <v>Below College</v>
      </c>
      <c r="K666" t="s">
        <v>34</v>
      </c>
      <c r="L666">
        <v>3</v>
      </c>
      <c r="M666" t="s">
        <v>40</v>
      </c>
      <c r="N666" s="2">
        <v>68</v>
      </c>
      <c r="O666">
        <v>3</v>
      </c>
      <c r="P666">
        <v>2</v>
      </c>
      <c r="Q666" t="s">
        <v>48</v>
      </c>
      <c r="R666">
        <v>4</v>
      </c>
      <c r="S666" t="s">
        <v>42</v>
      </c>
      <c r="T666" s="2">
        <v>6586</v>
      </c>
      <c r="U666" s="2">
        <v>4821</v>
      </c>
      <c r="V666">
        <v>0</v>
      </c>
      <c r="W666" t="s">
        <v>32</v>
      </c>
      <c r="X666">
        <v>17</v>
      </c>
      <c r="Y666">
        <v>3</v>
      </c>
      <c r="Z666">
        <v>1</v>
      </c>
      <c r="AA666">
        <v>80</v>
      </c>
      <c r="AB666">
        <v>1</v>
      </c>
      <c r="AC666">
        <v>17</v>
      </c>
      <c r="AD666">
        <v>2</v>
      </c>
      <c r="AE666">
        <v>2</v>
      </c>
      <c r="AF666">
        <v>16</v>
      </c>
      <c r="AG666">
        <v>8</v>
      </c>
      <c r="AH666">
        <v>4</v>
      </c>
      <c r="AI666">
        <v>11</v>
      </c>
    </row>
    <row r="667" spans="1:35" x14ac:dyDescent="0.25">
      <c r="A667">
        <v>47</v>
      </c>
      <c r="B667" t="str">
        <f t="shared" si="20"/>
        <v>45-54</v>
      </c>
      <c r="C667" s="1" t="s">
        <v>38</v>
      </c>
      <c r="D667" s="17">
        <f>IF(Table1[[#This Row],[Attrition]]="Yes",1,0)</f>
        <v>0</v>
      </c>
      <c r="E667" t="s">
        <v>57</v>
      </c>
      <c r="F667" s="2">
        <v>1454</v>
      </c>
      <c r="G667" t="s">
        <v>33</v>
      </c>
      <c r="H667">
        <v>2</v>
      </c>
      <c r="I667">
        <v>4</v>
      </c>
      <c r="J667" t="str">
        <f t="shared" si="21"/>
        <v>Master</v>
      </c>
      <c r="K667" t="s">
        <v>34</v>
      </c>
      <c r="L667">
        <v>4</v>
      </c>
      <c r="M667" t="s">
        <v>35</v>
      </c>
      <c r="N667" s="2">
        <v>65</v>
      </c>
      <c r="O667">
        <v>2</v>
      </c>
      <c r="P667">
        <v>1</v>
      </c>
      <c r="Q667" t="s">
        <v>51</v>
      </c>
      <c r="R667">
        <v>4</v>
      </c>
      <c r="S667" t="s">
        <v>37</v>
      </c>
      <c r="T667" s="2">
        <v>3294</v>
      </c>
      <c r="U667" s="2">
        <v>13137</v>
      </c>
      <c r="V667">
        <v>1</v>
      </c>
      <c r="W667" t="s">
        <v>32</v>
      </c>
      <c r="X667">
        <v>18</v>
      </c>
      <c r="Y667">
        <v>3</v>
      </c>
      <c r="Z667">
        <v>1</v>
      </c>
      <c r="AA667">
        <v>80</v>
      </c>
      <c r="AB667">
        <v>0</v>
      </c>
      <c r="AC667">
        <v>3</v>
      </c>
      <c r="AD667">
        <v>3</v>
      </c>
      <c r="AE667">
        <v>2</v>
      </c>
      <c r="AF667">
        <v>3</v>
      </c>
      <c r="AG667">
        <v>2</v>
      </c>
      <c r="AH667">
        <v>1</v>
      </c>
      <c r="AI667">
        <v>2</v>
      </c>
    </row>
    <row r="668" spans="1:35" x14ac:dyDescent="0.25">
      <c r="A668">
        <v>22</v>
      </c>
      <c r="B668" t="str">
        <f t="shared" si="20"/>
        <v>18-24</v>
      </c>
      <c r="C668" s="1" t="s">
        <v>32</v>
      </c>
      <c r="D668" s="17">
        <f>IF(Table1[[#This Row],[Attrition]]="Yes",1,0)</f>
        <v>1</v>
      </c>
      <c r="E668" t="s">
        <v>57</v>
      </c>
      <c r="F668" s="2">
        <v>617</v>
      </c>
      <c r="G668" t="s">
        <v>39</v>
      </c>
      <c r="H668">
        <v>3</v>
      </c>
      <c r="I668">
        <v>1</v>
      </c>
      <c r="J668" t="str">
        <f t="shared" si="21"/>
        <v>Below College</v>
      </c>
      <c r="K668" t="s">
        <v>34</v>
      </c>
      <c r="L668">
        <v>2</v>
      </c>
      <c r="M668" t="s">
        <v>35</v>
      </c>
      <c r="N668" s="2">
        <v>34</v>
      </c>
      <c r="O668">
        <v>3</v>
      </c>
      <c r="P668">
        <v>2</v>
      </c>
      <c r="Q668" t="s">
        <v>47</v>
      </c>
      <c r="R668">
        <v>3</v>
      </c>
      <c r="S668" t="s">
        <v>42</v>
      </c>
      <c r="T668" s="2">
        <v>4171</v>
      </c>
      <c r="U668" s="2">
        <v>10022</v>
      </c>
      <c r="V668">
        <v>0</v>
      </c>
      <c r="W668" t="s">
        <v>32</v>
      </c>
      <c r="X668">
        <v>19</v>
      </c>
      <c r="Y668">
        <v>3</v>
      </c>
      <c r="Z668">
        <v>1</v>
      </c>
      <c r="AA668">
        <v>80</v>
      </c>
      <c r="AB668">
        <v>1</v>
      </c>
      <c r="AC668">
        <v>4</v>
      </c>
      <c r="AD668">
        <v>3</v>
      </c>
      <c r="AE668">
        <v>4</v>
      </c>
      <c r="AF668">
        <v>3</v>
      </c>
      <c r="AG668">
        <v>2</v>
      </c>
      <c r="AH668">
        <v>0</v>
      </c>
      <c r="AI668">
        <v>2</v>
      </c>
    </row>
    <row r="669" spans="1:35" x14ac:dyDescent="0.25">
      <c r="A669">
        <v>41</v>
      </c>
      <c r="B669" t="str">
        <f t="shared" si="20"/>
        <v>35-44</v>
      </c>
      <c r="C669" s="1" t="s">
        <v>32</v>
      </c>
      <c r="D669" s="17">
        <f>IF(Table1[[#This Row],[Attrition]]="Yes",1,0)</f>
        <v>1</v>
      </c>
      <c r="E669" t="s">
        <v>57</v>
      </c>
      <c r="F669" s="2">
        <v>1085</v>
      </c>
      <c r="G669" t="s">
        <v>39</v>
      </c>
      <c r="H669">
        <v>2</v>
      </c>
      <c r="I669">
        <v>4</v>
      </c>
      <c r="J669" t="str">
        <f t="shared" si="21"/>
        <v>Master</v>
      </c>
      <c r="K669" t="s">
        <v>34</v>
      </c>
      <c r="L669">
        <v>2</v>
      </c>
      <c r="M669" t="s">
        <v>35</v>
      </c>
      <c r="N669" s="2">
        <v>57</v>
      </c>
      <c r="O669">
        <v>1</v>
      </c>
      <c r="P669">
        <v>1</v>
      </c>
      <c r="Q669" t="s">
        <v>44</v>
      </c>
      <c r="R669">
        <v>4</v>
      </c>
      <c r="S669" t="s">
        <v>46</v>
      </c>
      <c r="T669" s="2">
        <v>2778</v>
      </c>
      <c r="U669" s="2">
        <v>17725</v>
      </c>
      <c r="V669">
        <v>4</v>
      </c>
      <c r="W669" t="s">
        <v>32</v>
      </c>
      <c r="X669">
        <v>13</v>
      </c>
      <c r="Y669">
        <v>3</v>
      </c>
      <c r="Z669">
        <v>3</v>
      </c>
      <c r="AA669">
        <v>80</v>
      </c>
      <c r="AB669">
        <v>1</v>
      </c>
      <c r="AC669">
        <v>10</v>
      </c>
      <c r="AD669">
        <v>1</v>
      </c>
      <c r="AE669">
        <v>2</v>
      </c>
      <c r="AF669">
        <v>7</v>
      </c>
      <c r="AG669">
        <v>7</v>
      </c>
      <c r="AH669">
        <v>1</v>
      </c>
      <c r="AI669">
        <v>0</v>
      </c>
    </row>
    <row r="670" spans="1:35" x14ac:dyDescent="0.25">
      <c r="A670">
        <v>28</v>
      </c>
      <c r="B670" t="str">
        <f t="shared" si="20"/>
        <v>25-34</v>
      </c>
      <c r="C670" s="1" t="s">
        <v>38</v>
      </c>
      <c r="D670" s="17">
        <f>IF(Table1[[#This Row],[Attrition]]="Yes",1,0)</f>
        <v>0</v>
      </c>
      <c r="E670" t="s">
        <v>57</v>
      </c>
      <c r="F670" s="2">
        <v>995</v>
      </c>
      <c r="G670" t="s">
        <v>39</v>
      </c>
      <c r="H670">
        <v>9</v>
      </c>
      <c r="I670">
        <v>3</v>
      </c>
      <c r="J670" t="str">
        <f t="shared" si="21"/>
        <v>Bachelor</v>
      </c>
      <c r="K670" t="s">
        <v>45</v>
      </c>
      <c r="L670">
        <v>3</v>
      </c>
      <c r="M670" t="s">
        <v>35</v>
      </c>
      <c r="N670" s="2">
        <v>77</v>
      </c>
      <c r="O670">
        <v>3</v>
      </c>
      <c r="P670">
        <v>1</v>
      </c>
      <c r="Q670" t="s">
        <v>41</v>
      </c>
      <c r="R670">
        <v>3</v>
      </c>
      <c r="S670" t="s">
        <v>46</v>
      </c>
      <c r="T670" s="2">
        <v>2377</v>
      </c>
      <c r="U670" s="2">
        <v>9834</v>
      </c>
      <c r="V670">
        <v>5</v>
      </c>
      <c r="W670" t="s">
        <v>38</v>
      </c>
      <c r="X670">
        <v>18</v>
      </c>
      <c r="Y670">
        <v>3</v>
      </c>
      <c r="Z670">
        <v>2</v>
      </c>
      <c r="AA670">
        <v>80</v>
      </c>
      <c r="AB670">
        <v>1</v>
      </c>
      <c r="AC670">
        <v>6</v>
      </c>
      <c r="AD670">
        <v>2</v>
      </c>
      <c r="AE670">
        <v>3</v>
      </c>
      <c r="AF670">
        <v>2</v>
      </c>
      <c r="AG670">
        <v>2</v>
      </c>
      <c r="AH670">
        <v>2</v>
      </c>
      <c r="AI670">
        <v>2</v>
      </c>
    </row>
    <row r="671" spans="1:35" x14ac:dyDescent="0.25">
      <c r="A671">
        <v>39</v>
      </c>
      <c r="B671" t="str">
        <f t="shared" si="20"/>
        <v>35-44</v>
      </c>
      <c r="C671" s="1" t="s">
        <v>32</v>
      </c>
      <c r="D671" s="17">
        <f>IF(Table1[[#This Row],[Attrition]]="Yes",1,0)</f>
        <v>1</v>
      </c>
      <c r="E671" t="s">
        <v>57</v>
      </c>
      <c r="F671" s="2">
        <v>1122</v>
      </c>
      <c r="G671" t="s">
        <v>39</v>
      </c>
      <c r="H671">
        <v>6</v>
      </c>
      <c r="I671">
        <v>3</v>
      </c>
      <c r="J671" t="str">
        <f t="shared" si="21"/>
        <v>Bachelor</v>
      </c>
      <c r="K671" t="s">
        <v>45</v>
      </c>
      <c r="L671">
        <v>4</v>
      </c>
      <c r="M671" t="s">
        <v>40</v>
      </c>
      <c r="N671" s="2">
        <v>70</v>
      </c>
      <c r="O671">
        <v>3</v>
      </c>
      <c r="P671">
        <v>1</v>
      </c>
      <c r="Q671" t="s">
        <v>44</v>
      </c>
      <c r="R671">
        <v>1</v>
      </c>
      <c r="S671" t="s">
        <v>42</v>
      </c>
      <c r="T671" s="2">
        <v>2404</v>
      </c>
      <c r="U671" s="2">
        <v>4303</v>
      </c>
      <c r="V671">
        <v>7</v>
      </c>
      <c r="W671" t="s">
        <v>32</v>
      </c>
      <c r="X671">
        <v>21</v>
      </c>
      <c r="Y671">
        <v>4</v>
      </c>
      <c r="Z671">
        <v>4</v>
      </c>
      <c r="AA671">
        <v>80</v>
      </c>
      <c r="AB671">
        <v>0</v>
      </c>
      <c r="AC671">
        <v>8</v>
      </c>
      <c r="AD671">
        <v>2</v>
      </c>
      <c r="AE671">
        <v>1</v>
      </c>
      <c r="AF671">
        <v>2</v>
      </c>
      <c r="AG671">
        <v>2</v>
      </c>
      <c r="AH671">
        <v>2</v>
      </c>
      <c r="AI671">
        <v>2</v>
      </c>
    </row>
    <row r="672" spans="1:35" x14ac:dyDescent="0.25">
      <c r="A672">
        <v>27</v>
      </c>
      <c r="B672" t="str">
        <f t="shared" si="20"/>
        <v>25-34</v>
      </c>
      <c r="C672" s="1" t="s">
        <v>38</v>
      </c>
      <c r="D672" s="17">
        <f>IF(Table1[[#This Row],[Attrition]]="Yes",1,0)</f>
        <v>0</v>
      </c>
      <c r="E672" t="s">
        <v>57</v>
      </c>
      <c r="F672" s="2">
        <v>618</v>
      </c>
      <c r="G672" t="s">
        <v>39</v>
      </c>
      <c r="H672">
        <v>4</v>
      </c>
      <c r="I672">
        <v>3</v>
      </c>
      <c r="J672" t="str">
        <f t="shared" si="21"/>
        <v>Bachelor</v>
      </c>
      <c r="K672" t="s">
        <v>34</v>
      </c>
      <c r="L672">
        <v>2</v>
      </c>
      <c r="M672" t="s">
        <v>35</v>
      </c>
      <c r="N672" s="2">
        <v>76</v>
      </c>
      <c r="O672">
        <v>3</v>
      </c>
      <c r="P672">
        <v>1</v>
      </c>
      <c r="Q672" t="s">
        <v>41</v>
      </c>
      <c r="R672">
        <v>3</v>
      </c>
      <c r="S672" t="s">
        <v>37</v>
      </c>
      <c r="T672" s="2">
        <v>2318</v>
      </c>
      <c r="U672" s="2">
        <v>17808</v>
      </c>
      <c r="V672">
        <v>1</v>
      </c>
      <c r="W672" t="s">
        <v>38</v>
      </c>
      <c r="X672">
        <v>19</v>
      </c>
      <c r="Y672">
        <v>3</v>
      </c>
      <c r="Z672">
        <v>3</v>
      </c>
      <c r="AA672">
        <v>80</v>
      </c>
      <c r="AB672">
        <v>0</v>
      </c>
      <c r="AC672">
        <v>1</v>
      </c>
      <c r="AD672">
        <v>2</v>
      </c>
      <c r="AE672">
        <v>3</v>
      </c>
      <c r="AF672">
        <v>1</v>
      </c>
      <c r="AG672">
        <v>1</v>
      </c>
      <c r="AH672">
        <v>0</v>
      </c>
      <c r="AI672">
        <v>0</v>
      </c>
    </row>
    <row r="673" spans="1:35" x14ac:dyDescent="0.25">
      <c r="A673">
        <v>34</v>
      </c>
      <c r="B673" t="str">
        <f t="shared" si="20"/>
        <v>25-34</v>
      </c>
      <c r="C673" s="1" t="s">
        <v>38</v>
      </c>
      <c r="D673" s="17">
        <f>IF(Table1[[#This Row],[Attrition]]="Yes",1,0)</f>
        <v>0</v>
      </c>
      <c r="E673" t="s">
        <v>57</v>
      </c>
      <c r="F673" s="2">
        <v>546</v>
      </c>
      <c r="G673" t="s">
        <v>39</v>
      </c>
      <c r="H673">
        <v>10</v>
      </c>
      <c r="I673">
        <v>3</v>
      </c>
      <c r="J673" t="str">
        <f t="shared" si="21"/>
        <v>Bachelor</v>
      </c>
      <c r="K673" t="s">
        <v>34</v>
      </c>
      <c r="L673">
        <v>2</v>
      </c>
      <c r="M673" t="s">
        <v>40</v>
      </c>
      <c r="N673" s="2">
        <v>83</v>
      </c>
      <c r="O673">
        <v>3</v>
      </c>
      <c r="P673">
        <v>1</v>
      </c>
      <c r="Q673" t="s">
        <v>44</v>
      </c>
      <c r="R673">
        <v>2</v>
      </c>
      <c r="S673" t="s">
        <v>46</v>
      </c>
      <c r="T673" s="2">
        <v>2008</v>
      </c>
      <c r="U673" s="2">
        <v>6896</v>
      </c>
      <c r="V673">
        <v>1</v>
      </c>
      <c r="W673" t="s">
        <v>38</v>
      </c>
      <c r="X673">
        <v>14</v>
      </c>
      <c r="Y673">
        <v>3</v>
      </c>
      <c r="Z673">
        <v>2</v>
      </c>
      <c r="AA673">
        <v>80</v>
      </c>
      <c r="AB673">
        <v>2</v>
      </c>
      <c r="AC673">
        <v>1</v>
      </c>
      <c r="AD673">
        <v>3</v>
      </c>
      <c r="AE673">
        <v>3</v>
      </c>
      <c r="AF673">
        <v>1</v>
      </c>
      <c r="AG673">
        <v>0</v>
      </c>
      <c r="AH673">
        <v>1</v>
      </c>
      <c r="AI673">
        <v>0</v>
      </c>
    </row>
    <row r="674" spans="1:35" x14ac:dyDescent="0.25">
      <c r="A674">
        <v>42</v>
      </c>
      <c r="B674" t="str">
        <f t="shared" si="20"/>
        <v>35-44</v>
      </c>
      <c r="C674" s="1" t="s">
        <v>38</v>
      </c>
      <c r="D674" s="17">
        <f>IF(Table1[[#This Row],[Attrition]]="Yes",1,0)</f>
        <v>0</v>
      </c>
      <c r="E674" t="s">
        <v>57</v>
      </c>
      <c r="F674" s="2">
        <v>462</v>
      </c>
      <c r="G674" t="s">
        <v>33</v>
      </c>
      <c r="H674">
        <v>14</v>
      </c>
      <c r="I674">
        <v>2</v>
      </c>
      <c r="J674" t="str">
        <f t="shared" si="21"/>
        <v>College</v>
      </c>
      <c r="K674" t="s">
        <v>45</v>
      </c>
      <c r="L674">
        <v>3</v>
      </c>
      <c r="M674" t="s">
        <v>35</v>
      </c>
      <c r="N674" s="2">
        <v>68</v>
      </c>
      <c r="O674">
        <v>2</v>
      </c>
      <c r="P674">
        <v>2</v>
      </c>
      <c r="Q674" t="s">
        <v>36</v>
      </c>
      <c r="R674">
        <v>3</v>
      </c>
      <c r="S674" t="s">
        <v>37</v>
      </c>
      <c r="T674" s="2">
        <v>6244</v>
      </c>
      <c r="U674" s="2">
        <v>7824</v>
      </c>
      <c r="V674">
        <v>7</v>
      </c>
      <c r="W674" t="s">
        <v>38</v>
      </c>
      <c r="X674">
        <v>17</v>
      </c>
      <c r="Y674">
        <v>3</v>
      </c>
      <c r="Z674">
        <v>1</v>
      </c>
      <c r="AA674">
        <v>80</v>
      </c>
      <c r="AB674">
        <v>0</v>
      </c>
      <c r="AC674">
        <v>10</v>
      </c>
      <c r="AD674">
        <v>6</v>
      </c>
      <c r="AE674">
        <v>3</v>
      </c>
      <c r="AF674">
        <v>5</v>
      </c>
      <c r="AG674">
        <v>4</v>
      </c>
      <c r="AH674">
        <v>0</v>
      </c>
      <c r="AI674">
        <v>3</v>
      </c>
    </row>
    <row r="675" spans="1:35" x14ac:dyDescent="0.25">
      <c r="A675">
        <v>33</v>
      </c>
      <c r="B675" t="str">
        <f t="shared" si="20"/>
        <v>25-34</v>
      </c>
      <c r="C675" s="1" t="s">
        <v>38</v>
      </c>
      <c r="D675" s="17">
        <f>IF(Table1[[#This Row],[Attrition]]="Yes",1,0)</f>
        <v>0</v>
      </c>
      <c r="E675" t="s">
        <v>57</v>
      </c>
      <c r="F675" s="2">
        <v>1198</v>
      </c>
      <c r="G675" t="s">
        <v>39</v>
      </c>
      <c r="H675">
        <v>1</v>
      </c>
      <c r="I675">
        <v>4</v>
      </c>
      <c r="J675" t="str">
        <f t="shared" si="21"/>
        <v>Master</v>
      </c>
      <c r="K675" t="s">
        <v>43</v>
      </c>
      <c r="L675">
        <v>3</v>
      </c>
      <c r="M675" t="s">
        <v>40</v>
      </c>
      <c r="N675" s="2">
        <v>100</v>
      </c>
      <c r="O675">
        <v>2</v>
      </c>
      <c r="P675">
        <v>1</v>
      </c>
      <c r="Q675" t="s">
        <v>41</v>
      </c>
      <c r="R675">
        <v>1</v>
      </c>
      <c r="S675" t="s">
        <v>37</v>
      </c>
      <c r="T675" s="2">
        <v>2799</v>
      </c>
      <c r="U675" s="2">
        <v>3339</v>
      </c>
      <c r="V675">
        <v>3</v>
      </c>
      <c r="W675" t="s">
        <v>32</v>
      </c>
      <c r="X675">
        <v>11</v>
      </c>
      <c r="Y675">
        <v>3</v>
      </c>
      <c r="Z675">
        <v>2</v>
      </c>
      <c r="AA675">
        <v>80</v>
      </c>
      <c r="AB675">
        <v>0</v>
      </c>
      <c r="AC675">
        <v>6</v>
      </c>
      <c r="AD675">
        <v>1</v>
      </c>
      <c r="AE675">
        <v>3</v>
      </c>
      <c r="AF675">
        <v>3</v>
      </c>
      <c r="AG675">
        <v>2</v>
      </c>
      <c r="AH675">
        <v>0</v>
      </c>
      <c r="AI675">
        <v>2</v>
      </c>
    </row>
    <row r="676" spans="1:35" x14ac:dyDescent="0.25">
      <c r="A676">
        <v>58</v>
      </c>
      <c r="B676" t="str">
        <f t="shared" si="20"/>
        <v>55-64</v>
      </c>
      <c r="C676" s="1" t="s">
        <v>38</v>
      </c>
      <c r="D676" s="17">
        <f>IF(Table1[[#This Row],[Attrition]]="Yes",1,0)</f>
        <v>0</v>
      </c>
      <c r="E676" t="s">
        <v>57</v>
      </c>
      <c r="F676" s="2">
        <v>1272</v>
      </c>
      <c r="G676" t="s">
        <v>39</v>
      </c>
      <c r="H676">
        <v>5</v>
      </c>
      <c r="I676">
        <v>3</v>
      </c>
      <c r="J676" t="str">
        <f t="shared" si="21"/>
        <v>Bachelor</v>
      </c>
      <c r="K676" t="s">
        <v>54</v>
      </c>
      <c r="L676">
        <v>3</v>
      </c>
      <c r="M676" t="s">
        <v>35</v>
      </c>
      <c r="N676" s="2">
        <v>37</v>
      </c>
      <c r="O676">
        <v>2</v>
      </c>
      <c r="P676">
        <v>3</v>
      </c>
      <c r="Q676" t="s">
        <v>48</v>
      </c>
      <c r="R676">
        <v>2</v>
      </c>
      <c r="S676" t="s">
        <v>46</v>
      </c>
      <c r="T676" s="2">
        <v>10552</v>
      </c>
      <c r="U676" s="2">
        <v>9255</v>
      </c>
      <c r="V676">
        <v>2</v>
      </c>
      <c r="W676" t="s">
        <v>32</v>
      </c>
      <c r="X676">
        <v>13</v>
      </c>
      <c r="Y676">
        <v>3</v>
      </c>
      <c r="Z676">
        <v>4</v>
      </c>
      <c r="AA676">
        <v>80</v>
      </c>
      <c r="AB676">
        <v>1</v>
      </c>
      <c r="AC676">
        <v>24</v>
      </c>
      <c r="AD676">
        <v>3</v>
      </c>
      <c r="AE676">
        <v>3</v>
      </c>
      <c r="AF676">
        <v>6</v>
      </c>
      <c r="AG676">
        <v>0</v>
      </c>
      <c r="AH676">
        <v>0</v>
      </c>
      <c r="AI676">
        <v>4</v>
      </c>
    </row>
    <row r="677" spans="1:35" x14ac:dyDescent="0.25">
      <c r="A677">
        <v>31</v>
      </c>
      <c r="B677" t="str">
        <f t="shared" si="20"/>
        <v>25-34</v>
      </c>
      <c r="C677" s="1" t="s">
        <v>38</v>
      </c>
      <c r="D677" s="17">
        <f>IF(Table1[[#This Row],[Attrition]]="Yes",1,0)</f>
        <v>0</v>
      </c>
      <c r="E677" t="s">
        <v>57</v>
      </c>
      <c r="F677" s="2">
        <v>154</v>
      </c>
      <c r="G677" t="s">
        <v>33</v>
      </c>
      <c r="H677">
        <v>7</v>
      </c>
      <c r="I677">
        <v>4</v>
      </c>
      <c r="J677" t="str">
        <f t="shared" si="21"/>
        <v>Master</v>
      </c>
      <c r="K677" t="s">
        <v>34</v>
      </c>
      <c r="L677">
        <v>2</v>
      </c>
      <c r="M677" t="s">
        <v>40</v>
      </c>
      <c r="N677" s="2">
        <v>41</v>
      </c>
      <c r="O677">
        <v>2</v>
      </c>
      <c r="P677">
        <v>1</v>
      </c>
      <c r="Q677" t="s">
        <v>51</v>
      </c>
      <c r="R677">
        <v>3</v>
      </c>
      <c r="S677" t="s">
        <v>42</v>
      </c>
      <c r="T677" s="2">
        <v>2329</v>
      </c>
      <c r="U677" s="2">
        <v>11737</v>
      </c>
      <c r="V677">
        <v>3</v>
      </c>
      <c r="W677" t="s">
        <v>38</v>
      </c>
      <c r="X677">
        <v>15</v>
      </c>
      <c r="Y677">
        <v>3</v>
      </c>
      <c r="Z677">
        <v>2</v>
      </c>
      <c r="AA677">
        <v>80</v>
      </c>
      <c r="AB677">
        <v>0</v>
      </c>
      <c r="AC677">
        <v>13</v>
      </c>
      <c r="AD677">
        <v>2</v>
      </c>
      <c r="AE677">
        <v>4</v>
      </c>
      <c r="AF677">
        <v>7</v>
      </c>
      <c r="AG677">
        <v>7</v>
      </c>
      <c r="AH677">
        <v>5</v>
      </c>
      <c r="AI677">
        <v>2</v>
      </c>
    </row>
    <row r="678" spans="1:35" x14ac:dyDescent="0.25">
      <c r="A678">
        <v>35</v>
      </c>
      <c r="B678" t="str">
        <f t="shared" si="20"/>
        <v>35-44</v>
      </c>
      <c r="C678" s="1" t="s">
        <v>38</v>
      </c>
      <c r="D678" s="17">
        <f>IF(Table1[[#This Row],[Attrition]]="Yes",1,0)</f>
        <v>0</v>
      </c>
      <c r="E678" t="s">
        <v>57</v>
      </c>
      <c r="F678" s="2">
        <v>1137</v>
      </c>
      <c r="G678" t="s">
        <v>39</v>
      </c>
      <c r="H678">
        <v>21</v>
      </c>
      <c r="I678">
        <v>1</v>
      </c>
      <c r="J678" t="str">
        <f t="shared" si="21"/>
        <v>Below College</v>
      </c>
      <c r="K678" t="s">
        <v>34</v>
      </c>
      <c r="L678">
        <v>4</v>
      </c>
      <c r="M678" t="s">
        <v>35</v>
      </c>
      <c r="N678" s="2">
        <v>51</v>
      </c>
      <c r="O678">
        <v>3</v>
      </c>
      <c r="P678">
        <v>2</v>
      </c>
      <c r="Q678" t="s">
        <v>48</v>
      </c>
      <c r="R678">
        <v>4</v>
      </c>
      <c r="S678" t="s">
        <v>42</v>
      </c>
      <c r="T678" s="2">
        <v>4014</v>
      </c>
      <c r="U678" s="2">
        <v>19170</v>
      </c>
      <c r="V678">
        <v>1</v>
      </c>
      <c r="W678" t="s">
        <v>32</v>
      </c>
      <c r="X678">
        <v>25</v>
      </c>
      <c r="Y678">
        <v>4</v>
      </c>
      <c r="Z678">
        <v>4</v>
      </c>
      <c r="AA678">
        <v>80</v>
      </c>
      <c r="AB678">
        <v>1</v>
      </c>
      <c r="AC678">
        <v>10</v>
      </c>
      <c r="AD678">
        <v>2</v>
      </c>
      <c r="AE678">
        <v>1</v>
      </c>
      <c r="AF678">
        <v>10</v>
      </c>
      <c r="AG678">
        <v>6</v>
      </c>
      <c r="AH678">
        <v>0</v>
      </c>
      <c r="AI678">
        <v>7</v>
      </c>
    </row>
    <row r="679" spans="1:35" x14ac:dyDescent="0.25">
      <c r="A679">
        <v>49</v>
      </c>
      <c r="B679" t="str">
        <f t="shared" si="20"/>
        <v>45-54</v>
      </c>
      <c r="C679" s="1" t="s">
        <v>38</v>
      </c>
      <c r="D679" s="17">
        <f>IF(Table1[[#This Row],[Attrition]]="Yes",1,0)</f>
        <v>0</v>
      </c>
      <c r="E679" t="s">
        <v>57</v>
      </c>
      <c r="F679" s="2">
        <v>527</v>
      </c>
      <c r="G679" t="s">
        <v>39</v>
      </c>
      <c r="H679">
        <v>8</v>
      </c>
      <c r="I679">
        <v>2</v>
      </c>
      <c r="J679" t="str">
        <f t="shared" si="21"/>
        <v>College</v>
      </c>
      <c r="K679" t="s">
        <v>43</v>
      </c>
      <c r="L679">
        <v>1</v>
      </c>
      <c r="M679" t="s">
        <v>35</v>
      </c>
      <c r="N679" s="2">
        <v>51</v>
      </c>
      <c r="O679">
        <v>3</v>
      </c>
      <c r="P679">
        <v>3</v>
      </c>
      <c r="Q679" t="s">
        <v>44</v>
      </c>
      <c r="R679">
        <v>2</v>
      </c>
      <c r="S679" t="s">
        <v>42</v>
      </c>
      <c r="T679" s="2">
        <v>7403</v>
      </c>
      <c r="U679" s="2">
        <v>22477</v>
      </c>
      <c r="V679">
        <v>4</v>
      </c>
      <c r="W679" t="s">
        <v>38</v>
      </c>
      <c r="X679">
        <v>11</v>
      </c>
      <c r="Y679">
        <v>3</v>
      </c>
      <c r="Z679">
        <v>3</v>
      </c>
      <c r="AA679">
        <v>80</v>
      </c>
      <c r="AB679">
        <v>1</v>
      </c>
      <c r="AC679">
        <v>29</v>
      </c>
      <c r="AD679">
        <v>3</v>
      </c>
      <c r="AE679">
        <v>2</v>
      </c>
      <c r="AF679">
        <v>26</v>
      </c>
      <c r="AG679">
        <v>9</v>
      </c>
      <c r="AH679">
        <v>1</v>
      </c>
      <c r="AI679">
        <v>7</v>
      </c>
    </row>
    <row r="680" spans="1:35" x14ac:dyDescent="0.25">
      <c r="A680">
        <v>48</v>
      </c>
      <c r="B680" t="str">
        <f t="shared" si="20"/>
        <v>45-54</v>
      </c>
      <c r="C680" s="1" t="s">
        <v>38</v>
      </c>
      <c r="D680" s="17">
        <f>IF(Table1[[#This Row],[Attrition]]="Yes",1,0)</f>
        <v>0</v>
      </c>
      <c r="E680" t="s">
        <v>57</v>
      </c>
      <c r="F680" s="2">
        <v>1469</v>
      </c>
      <c r="G680" t="s">
        <v>39</v>
      </c>
      <c r="H680">
        <v>20</v>
      </c>
      <c r="I680">
        <v>4</v>
      </c>
      <c r="J680" t="str">
        <f t="shared" si="21"/>
        <v>Master</v>
      </c>
      <c r="K680" t="s">
        <v>45</v>
      </c>
      <c r="L680">
        <v>4</v>
      </c>
      <c r="M680" t="s">
        <v>40</v>
      </c>
      <c r="N680" s="2">
        <v>51</v>
      </c>
      <c r="O680">
        <v>3</v>
      </c>
      <c r="P680">
        <v>1</v>
      </c>
      <c r="Q680" t="s">
        <v>41</v>
      </c>
      <c r="R680">
        <v>3</v>
      </c>
      <c r="S680" t="s">
        <v>42</v>
      </c>
      <c r="T680" s="2">
        <v>2259</v>
      </c>
      <c r="U680" s="2">
        <v>5543</v>
      </c>
      <c r="V680">
        <v>4</v>
      </c>
      <c r="W680" t="s">
        <v>38</v>
      </c>
      <c r="X680">
        <v>17</v>
      </c>
      <c r="Y680">
        <v>3</v>
      </c>
      <c r="Z680">
        <v>1</v>
      </c>
      <c r="AA680">
        <v>80</v>
      </c>
      <c r="AB680">
        <v>2</v>
      </c>
      <c r="AC680">
        <v>13</v>
      </c>
      <c r="AD680">
        <v>2</v>
      </c>
      <c r="AE680">
        <v>2</v>
      </c>
      <c r="AF680">
        <v>0</v>
      </c>
      <c r="AG680">
        <v>0</v>
      </c>
      <c r="AH680">
        <v>0</v>
      </c>
      <c r="AI680">
        <v>0</v>
      </c>
    </row>
    <row r="681" spans="1:35" x14ac:dyDescent="0.25">
      <c r="A681">
        <v>31</v>
      </c>
      <c r="B681" t="str">
        <f t="shared" si="20"/>
        <v>25-34</v>
      </c>
      <c r="C681" s="1" t="s">
        <v>38</v>
      </c>
      <c r="D681" s="17">
        <f>IF(Table1[[#This Row],[Attrition]]="Yes",1,0)</f>
        <v>0</v>
      </c>
      <c r="E681" t="s">
        <v>49</v>
      </c>
      <c r="F681" s="2">
        <v>1188</v>
      </c>
      <c r="G681" t="s">
        <v>33</v>
      </c>
      <c r="H681">
        <v>20</v>
      </c>
      <c r="I681">
        <v>2</v>
      </c>
      <c r="J681" t="str">
        <f t="shared" si="21"/>
        <v>College</v>
      </c>
      <c r="K681" t="s">
        <v>53</v>
      </c>
      <c r="L681">
        <v>4</v>
      </c>
      <c r="M681" t="s">
        <v>35</v>
      </c>
      <c r="N681" s="2">
        <v>45</v>
      </c>
      <c r="O681">
        <v>3</v>
      </c>
      <c r="P681">
        <v>2</v>
      </c>
      <c r="Q681" t="s">
        <v>36</v>
      </c>
      <c r="R681">
        <v>3</v>
      </c>
      <c r="S681" t="s">
        <v>42</v>
      </c>
      <c r="T681" s="2">
        <v>6932</v>
      </c>
      <c r="U681" s="2">
        <v>24406</v>
      </c>
      <c r="V681">
        <v>1</v>
      </c>
      <c r="W681" t="s">
        <v>38</v>
      </c>
      <c r="X681">
        <v>13</v>
      </c>
      <c r="Y681">
        <v>3</v>
      </c>
      <c r="Z681">
        <v>4</v>
      </c>
      <c r="AA681">
        <v>80</v>
      </c>
      <c r="AB681">
        <v>1</v>
      </c>
      <c r="AC681">
        <v>9</v>
      </c>
      <c r="AD681">
        <v>2</v>
      </c>
      <c r="AE681">
        <v>2</v>
      </c>
      <c r="AF681">
        <v>9</v>
      </c>
      <c r="AG681">
        <v>8</v>
      </c>
      <c r="AH681">
        <v>0</v>
      </c>
      <c r="AI681">
        <v>0</v>
      </c>
    </row>
    <row r="682" spans="1:35" x14ac:dyDescent="0.25">
      <c r="A682">
        <v>36</v>
      </c>
      <c r="B682" t="str">
        <f t="shared" si="20"/>
        <v>35-44</v>
      </c>
      <c r="C682" s="1" t="s">
        <v>38</v>
      </c>
      <c r="D682" s="17">
        <f>IF(Table1[[#This Row],[Attrition]]="Yes",1,0)</f>
        <v>0</v>
      </c>
      <c r="E682" t="s">
        <v>57</v>
      </c>
      <c r="F682" s="2">
        <v>188</v>
      </c>
      <c r="G682" t="s">
        <v>39</v>
      </c>
      <c r="H682">
        <v>7</v>
      </c>
      <c r="I682">
        <v>4</v>
      </c>
      <c r="J682" t="str">
        <f t="shared" si="21"/>
        <v>Master</v>
      </c>
      <c r="K682" t="s">
        <v>43</v>
      </c>
      <c r="L682">
        <v>2</v>
      </c>
      <c r="M682" t="s">
        <v>40</v>
      </c>
      <c r="N682" s="2">
        <v>65</v>
      </c>
      <c r="O682">
        <v>3</v>
      </c>
      <c r="P682">
        <v>1</v>
      </c>
      <c r="Q682" t="s">
        <v>41</v>
      </c>
      <c r="R682">
        <v>4</v>
      </c>
      <c r="S682" t="s">
        <v>37</v>
      </c>
      <c r="T682" s="2">
        <v>4678</v>
      </c>
      <c r="U682" s="2">
        <v>23293</v>
      </c>
      <c r="V682">
        <v>2</v>
      </c>
      <c r="W682" t="s">
        <v>38</v>
      </c>
      <c r="X682">
        <v>18</v>
      </c>
      <c r="Y682">
        <v>3</v>
      </c>
      <c r="Z682">
        <v>3</v>
      </c>
      <c r="AA682">
        <v>80</v>
      </c>
      <c r="AB682">
        <v>0</v>
      </c>
      <c r="AC682">
        <v>8</v>
      </c>
      <c r="AD682">
        <v>6</v>
      </c>
      <c r="AE682">
        <v>3</v>
      </c>
      <c r="AF682">
        <v>6</v>
      </c>
      <c r="AG682">
        <v>2</v>
      </c>
      <c r="AH682">
        <v>0</v>
      </c>
      <c r="AI682">
        <v>1</v>
      </c>
    </row>
    <row r="683" spans="1:35" x14ac:dyDescent="0.25">
      <c r="A683">
        <v>38</v>
      </c>
      <c r="B683" t="str">
        <f t="shared" si="20"/>
        <v>35-44</v>
      </c>
      <c r="C683" s="1" t="s">
        <v>38</v>
      </c>
      <c r="D683" s="17">
        <f>IF(Table1[[#This Row],[Attrition]]="Yes",1,0)</f>
        <v>0</v>
      </c>
      <c r="E683" t="s">
        <v>57</v>
      </c>
      <c r="F683" s="2">
        <v>1333</v>
      </c>
      <c r="G683" t="s">
        <v>39</v>
      </c>
      <c r="H683">
        <v>1</v>
      </c>
      <c r="I683">
        <v>3</v>
      </c>
      <c r="J683" t="str">
        <f t="shared" si="21"/>
        <v>Bachelor</v>
      </c>
      <c r="K683" t="s">
        <v>54</v>
      </c>
      <c r="L683">
        <v>4</v>
      </c>
      <c r="M683" t="s">
        <v>35</v>
      </c>
      <c r="N683" s="2">
        <v>80</v>
      </c>
      <c r="O683">
        <v>3</v>
      </c>
      <c r="P683">
        <v>3</v>
      </c>
      <c r="Q683" t="s">
        <v>52</v>
      </c>
      <c r="R683">
        <v>1</v>
      </c>
      <c r="S683" t="s">
        <v>42</v>
      </c>
      <c r="T683" s="2">
        <v>13582</v>
      </c>
      <c r="U683" s="2">
        <v>16292</v>
      </c>
      <c r="V683">
        <v>1</v>
      </c>
      <c r="W683" t="s">
        <v>38</v>
      </c>
      <c r="X683">
        <v>13</v>
      </c>
      <c r="Y683">
        <v>3</v>
      </c>
      <c r="Z683">
        <v>2</v>
      </c>
      <c r="AA683">
        <v>80</v>
      </c>
      <c r="AB683">
        <v>1</v>
      </c>
      <c r="AC683">
        <v>15</v>
      </c>
      <c r="AD683">
        <v>3</v>
      </c>
      <c r="AE683">
        <v>3</v>
      </c>
      <c r="AF683">
        <v>15</v>
      </c>
      <c r="AG683">
        <v>12</v>
      </c>
      <c r="AH683">
        <v>5</v>
      </c>
      <c r="AI683">
        <v>11</v>
      </c>
    </row>
    <row r="684" spans="1:35" x14ac:dyDescent="0.25">
      <c r="A684">
        <v>32</v>
      </c>
      <c r="B684" t="str">
        <f t="shared" si="20"/>
        <v>25-34</v>
      </c>
      <c r="C684" s="1" t="s">
        <v>38</v>
      </c>
      <c r="D684" s="17">
        <f>IF(Table1[[#This Row],[Attrition]]="Yes",1,0)</f>
        <v>0</v>
      </c>
      <c r="E684" t="s">
        <v>49</v>
      </c>
      <c r="F684" s="2">
        <v>1184</v>
      </c>
      <c r="G684" t="s">
        <v>39</v>
      </c>
      <c r="H684">
        <v>1</v>
      </c>
      <c r="I684">
        <v>3</v>
      </c>
      <c r="J684" t="str">
        <f t="shared" si="21"/>
        <v>Bachelor</v>
      </c>
      <c r="K684" t="s">
        <v>34</v>
      </c>
      <c r="L684">
        <v>3</v>
      </c>
      <c r="M684" t="s">
        <v>35</v>
      </c>
      <c r="N684" s="2">
        <v>70</v>
      </c>
      <c r="O684">
        <v>2</v>
      </c>
      <c r="P684">
        <v>1</v>
      </c>
      <c r="Q684" t="s">
        <v>44</v>
      </c>
      <c r="R684">
        <v>2</v>
      </c>
      <c r="S684" t="s">
        <v>42</v>
      </c>
      <c r="T684" s="2">
        <v>2332</v>
      </c>
      <c r="U684" s="2">
        <v>3974</v>
      </c>
      <c r="V684">
        <v>6</v>
      </c>
      <c r="W684" t="s">
        <v>38</v>
      </c>
      <c r="X684">
        <v>20</v>
      </c>
      <c r="Y684">
        <v>4</v>
      </c>
      <c r="Z684">
        <v>3</v>
      </c>
      <c r="AA684">
        <v>80</v>
      </c>
      <c r="AB684">
        <v>0</v>
      </c>
      <c r="AC684">
        <v>5</v>
      </c>
      <c r="AD684">
        <v>3</v>
      </c>
      <c r="AE684">
        <v>3</v>
      </c>
      <c r="AF684">
        <v>3</v>
      </c>
      <c r="AG684">
        <v>0</v>
      </c>
      <c r="AH684">
        <v>0</v>
      </c>
      <c r="AI684">
        <v>2</v>
      </c>
    </row>
    <row r="685" spans="1:35" x14ac:dyDescent="0.25">
      <c r="A685">
        <v>25</v>
      </c>
      <c r="B685" t="str">
        <f t="shared" si="20"/>
        <v>25-34</v>
      </c>
      <c r="C685" s="1" t="s">
        <v>32</v>
      </c>
      <c r="D685" s="17">
        <f>IF(Table1[[#This Row],[Attrition]]="Yes",1,0)</f>
        <v>1</v>
      </c>
      <c r="E685" t="s">
        <v>57</v>
      </c>
      <c r="F685" s="2">
        <v>867</v>
      </c>
      <c r="G685" t="s">
        <v>33</v>
      </c>
      <c r="H685">
        <v>19</v>
      </c>
      <c r="I685">
        <v>2</v>
      </c>
      <c r="J685" t="str">
        <f t="shared" si="21"/>
        <v>College</v>
      </c>
      <c r="K685" t="s">
        <v>53</v>
      </c>
      <c r="L685">
        <v>3</v>
      </c>
      <c r="M685" t="s">
        <v>40</v>
      </c>
      <c r="N685" s="2">
        <v>36</v>
      </c>
      <c r="O685">
        <v>2</v>
      </c>
      <c r="P685">
        <v>1</v>
      </c>
      <c r="Q685" t="s">
        <v>51</v>
      </c>
      <c r="R685">
        <v>2</v>
      </c>
      <c r="S685" t="s">
        <v>42</v>
      </c>
      <c r="T685" s="2">
        <v>2413</v>
      </c>
      <c r="U685" s="2">
        <v>18798</v>
      </c>
      <c r="V685">
        <v>1</v>
      </c>
      <c r="W685" t="s">
        <v>32</v>
      </c>
      <c r="X685">
        <v>18</v>
      </c>
      <c r="Y685">
        <v>3</v>
      </c>
      <c r="Z685">
        <v>3</v>
      </c>
      <c r="AA685">
        <v>80</v>
      </c>
      <c r="AB685">
        <v>3</v>
      </c>
      <c r="AC685">
        <v>1</v>
      </c>
      <c r="AD685">
        <v>2</v>
      </c>
      <c r="AE685">
        <v>3</v>
      </c>
      <c r="AF685">
        <v>1</v>
      </c>
      <c r="AG685">
        <v>0</v>
      </c>
      <c r="AH685">
        <v>0</v>
      </c>
      <c r="AI685">
        <v>0</v>
      </c>
    </row>
    <row r="686" spans="1:35" x14ac:dyDescent="0.25">
      <c r="A686">
        <v>40</v>
      </c>
      <c r="B686" t="str">
        <f t="shared" si="20"/>
        <v>35-44</v>
      </c>
      <c r="C686" s="1" t="s">
        <v>38</v>
      </c>
      <c r="D686" s="17">
        <f>IF(Table1[[#This Row],[Attrition]]="Yes",1,0)</f>
        <v>0</v>
      </c>
      <c r="E686" t="s">
        <v>57</v>
      </c>
      <c r="F686" s="2">
        <v>658</v>
      </c>
      <c r="G686" t="s">
        <v>33</v>
      </c>
      <c r="H686">
        <v>10</v>
      </c>
      <c r="I686">
        <v>4</v>
      </c>
      <c r="J686" t="str">
        <f t="shared" si="21"/>
        <v>Master</v>
      </c>
      <c r="K686" t="s">
        <v>53</v>
      </c>
      <c r="L686">
        <v>1</v>
      </c>
      <c r="M686" t="s">
        <v>40</v>
      </c>
      <c r="N686" s="2">
        <v>67</v>
      </c>
      <c r="O686">
        <v>2</v>
      </c>
      <c r="P686">
        <v>3</v>
      </c>
      <c r="Q686" t="s">
        <v>36</v>
      </c>
      <c r="R686">
        <v>2</v>
      </c>
      <c r="S686" t="s">
        <v>46</v>
      </c>
      <c r="T686" s="2">
        <v>9705</v>
      </c>
      <c r="U686" s="2">
        <v>20652</v>
      </c>
      <c r="V686">
        <v>2</v>
      </c>
      <c r="W686" t="s">
        <v>38</v>
      </c>
      <c r="X686">
        <v>12</v>
      </c>
      <c r="Y686">
        <v>3</v>
      </c>
      <c r="Z686">
        <v>2</v>
      </c>
      <c r="AA686">
        <v>80</v>
      </c>
      <c r="AB686">
        <v>1</v>
      </c>
      <c r="AC686">
        <v>11</v>
      </c>
      <c r="AD686">
        <v>2</v>
      </c>
      <c r="AE686">
        <v>2</v>
      </c>
      <c r="AF686">
        <v>1</v>
      </c>
      <c r="AG686">
        <v>0</v>
      </c>
      <c r="AH686">
        <v>0</v>
      </c>
      <c r="AI686">
        <v>0</v>
      </c>
    </row>
    <row r="687" spans="1:35" x14ac:dyDescent="0.25">
      <c r="A687">
        <v>26</v>
      </c>
      <c r="B687" t="str">
        <f t="shared" si="20"/>
        <v>25-34</v>
      </c>
      <c r="C687" s="1" t="s">
        <v>38</v>
      </c>
      <c r="D687" s="17">
        <f>IF(Table1[[#This Row],[Attrition]]="Yes",1,0)</f>
        <v>0</v>
      </c>
      <c r="E687" t="s">
        <v>58</v>
      </c>
      <c r="F687" s="2">
        <v>1283</v>
      </c>
      <c r="G687" t="s">
        <v>33</v>
      </c>
      <c r="H687">
        <v>1</v>
      </c>
      <c r="I687">
        <v>3</v>
      </c>
      <c r="J687" t="str">
        <f t="shared" si="21"/>
        <v>Bachelor</v>
      </c>
      <c r="K687" t="s">
        <v>45</v>
      </c>
      <c r="L687">
        <v>3</v>
      </c>
      <c r="M687" t="s">
        <v>40</v>
      </c>
      <c r="N687" s="2">
        <v>52</v>
      </c>
      <c r="O687">
        <v>2</v>
      </c>
      <c r="P687">
        <v>2</v>
      </c>
      <c r="Q687" t="s">
        <v>36</v>
      </c>
      <c r="R687">
        <v>1</v>
      </c>
      <c r="S687" t="s">
        <v>37</v>
      </c>
      <c r="T687" s="2">
        <v>4294</v>
      </c>
      <c r="U687" s="2">
        <v>11148</v>
      </c>
      <c r="V687">
        <v>1</v>
      </c>
      <c r="W687" t="s">
        <v>38</v>
      </c>
      <c r="X687">
        <v>12</v>
      </c>
      <c r="Y687">
        <v>3</v>
      </c>
      <c r="Z687">
        <v>2</v>
      </c>
      <c r="AA687">
        <v>80</v>
      </c>
      <c r="AB687">
        <v>0</v>
      </c>
      <c r="AC687">
        <v>7</v>
      </c>
      <c r="AD687">
        <v>2</v>
      </c>
      <c r="AE687">
        <v>3</v>
      </c>
      <c r="AF687">
        <v>7</v>
      </c>
      <c r="AG687">
        <v>7</v>
      </c>
      <c r="AH687">
        <v>0</v>
      </c>
      <c r="AI687">
        <v>7</v>
      </c>
    </row>
    <row r="688" spans="1:35" x14ac:dyDescent="0.25">
      <c r="A688">
        <v>41</v>
      </c>
      <c r="B688" t="str">
        <f t="shared" si="20"/>
        <v>35-44</v>
      </c>
      <c r="C688" s="1" t="s">
        <v>38</v>
      </c>
      <c r="D688" s="17">
        <f>IF(Table1[[#This Row],[Attrition]]="Yes",1,0)</f>
        <v>0</v>
      </c>
      <c r="E688" t="s">
        <v>57</v>
      </c>
      <c r="F688" s="2">
        <v>263</v>
      </c>
      <c r="G688" t="s">
        <v>39</v>
      </c>
      <c r="H688">
        <v>6</v>
      </c>
      <c r="I688">
        <v>3</v>
      </c>
      <c r="J688" t="str">
        <f t="shared" si="21"/>
        <v>Bachelor</v>
      </c>
      <c r="K688" t="s">
        <v>45</v>
      </c>
      <c r="L688">
        <v>4</v>
      </c>
      <c r="M688" t="s">
        <v>40</v>
      </c>
      <c r="N688" s="2">
        <v>59</v>
      </c>
      <c r="O688">
        <v>3</v>
      </c>
      <c r="P688">
        <v>1</v>
      </c>
      <c r="Q688" t="s">
        <v>44</v>
      </c>
      <c r="R688">
        <v>1</v>
      </c>
      <c r="S688" t="s">
        <v>37</v>
      </c>
      <c r="T688" s="2">
        <v>4721</v>
      </c>
      <c r="U688" s="2">
        <v>3119</v>
      </c>
      <c r="V688">
        <v>2</v>
      </c>
      <c r="W688" t="s">
        <v>32</v>
      </c>
      <c r="X688">
        <v>13</v>
      </c>
      <c r="Y688">
        <v>3</v>
      </c>
      <c r="Z688">
        <v>3</v>
      </c>
      <c r="AA688">
        <v>80</v>
      </c>
      <c r="AB688">
        <v>0</v>
      </c>
      <c r="AC688">
        <v>20</v>
      </c>
      <c r="AD688">
        <v>3</v>
      </c>
      <c r="AE688">
        <v>3</v>
      </c>
      <c r="AF688">
        <v>18</v>
      </c>
      <c r="AG688">
        <v>13</v>
      </c>
      <c r="AH688">
        <v>2</v>
      </c>
      <c r="AI688">
        <v>17</v>
      </c>
    </row>
    <row r="689" spans="1:35" x14ac:dyDescent="0.25">
      <c r="A689">
        <v>36</v>
      </c>
      <c r="B689" t="str">
        <f t="shared" si="20"/>
        <v>35-44</v>
      </c>
      <c r="C689" s="1" t="s">
        <v>38</v>
      </c>
      <c r="D689" s="17">
        <f>IF(Table1[[#This Row],[Attrition]]="Yes",1,0)</f>
        <v>0</v>
      </c>
      <c r="E689" t="s">
        <v>57</v>
      </c>
      <c r="F689" s="2">
        <v>938</v>
      </c>
      <c r="G689" t="s">
        <v>39</v>
      </c>
      <c r="H689">
        <v>2</v>
      </c>
      <c r="I689">
        <v>4</v>
      </c>
      <c r="J689" t="str">
        <f t="shared" si="21"/>
        <v>Master</v>
      </c>
      <c r="K689" t="s">
        <v>45</v>
      </c>
      <c r="L689">
        <v>3</v>
      </c>
      <c r="M689" t="s">
        <v>40</v>
      </c>
      <c r="N689" s="2">
        <v>79</v>
      </c>
      <c r="O689">
        <v>3</v>
      </c>
      <c r="P689">
        <v>1</v>
      </c>
      <c r="Q689" t="s">
        <v>44</v>
      </c>
      <c r="R689">
        <v>3</v>
      </c>
      <c r="S689" t="s">
        <v>37</v>
      </c>
      <c r="T689" s="2">
        <v>2519</v>
      </c>
      <c r="U689" s="2">
        <v>12287</v>
      </c>
      <c r="V689">
        <v>4</v>
      </c>
      <c r="W689" t="s">
        <v>38</v>
      </c>
      <c r="X689">
        <v>21</v>
      </c>
      <c r="Y689">
        <v>4</v>
      </c>
      <c r="Z689">
        <v>3</v>
      </c>
      <c r="AA689">
        <v>80</v>
      </c>
      <c r="AB689">
        <v>0</v>
      </c>
      <c r="AC689">
        <v>16</v>
      </c>
      <c r="AD689">
        <v>6</v>
      </c>
      <c r="AE689">
        <v>3</v>
      </c>
      <c r="AF689">
        <v>11</v>
      </c>
      <c r="AG689">
        <v>8</v>
      </c>
      <c r="AH689">
        <v>3</v>
      </c>
      <c r="AI689">
        <v>9</v>
      </c>
    </row>
    <row r="690" spans="1:35" x14ac:dyDescent="0.25">
      <c r="A690">
        <v>19</v>
      </c>
      <c r="B690" t="str">
        <f t="shared" si="20"/>
        <v>18-24</v>
      </c>
      <c r="C690" s="1" t="s">
        <v>32</v>
      </c>
      <c r="D690" s="17">
        <f>IF(Table1[[#This Row],[Attrition]]="Yes",1,0)</f>
        <v>1</v>
      </c>
      <c r="E690" t="s">
        <v>57</v>
      </c>
      <c r="F690" s="2">
        <v>419</v>
      </c>
      <c r="G690" t="s">
        <v>33</v>
      </c>
      <c r="H690">
        <v>21</v>
      </c>
      <c r="I690">
        <v>3</v>
      </c>
      <c r="J690" t="str">
        <f t="shared" si="21"/>
        <v>Bachelor</v>
      </c>
      <c r="K690" t="s">
        <v>43</v>
      </c>
      <c r="L690">
        <v>4</v>
      </c>
      <c r="M690" t="s">
        <v>40</v>
      </c>
      <c r="N690" s="2">
        <v>37</v>
      </c>
      <c r="O690">
        <v>2</v>
      </c>
      <c r="P690">
        <v>1</v>
      </c>
      <c r="Q690" t="s">
        <v>51</v>
      </c>
      <c r="R690">
        <v>2</v>
      </c>
      <c r="S690" t="s">
        <v>37</v>
      </c>
      <c r="T690" s="2">
        <v>2121</v>
      </c>
      <c r="U690" s="2">
        <v>9947</v>
      </c>
      <c r="V690">
        <v>1</v>
      </c>
      <c r="W690" t="s">
        <v>32</v>
      </c>
      <c r="X690">
        <v>13</v>
      </c>
      <c r="Y690">
        <v>3</v>
      </c>
      <c r="Z690">
        <v>2</v>
      </c>
      <c r="AA690">
        <v>80</v>
      </c>
      <c r="AB690">
        <v>0</v>
      </c>
      <c r="AC690">
        <v>1</v>
      </c>
      <c r="AD690">
        <v>3</v>
      </c>
      <c r="AE690">
        <v>4</v>
      </c>
      <c r="AF690">
        <v>1</v>
      </c>
      <c r="AG690">
        <v>0</v>
      </c>
      <c r="AH690">
        <v>0</v>
      </c>
      <c r="AI690">
        <v>0</v>
      </c>
    </row>
    <row r="691" spans="1:35" x14ac:dyDescent="0.25">
      <c r="A691">
        <v>20</v>
      </c>
      <c r="B691" t="str">
        <f t="shared" si="20"/>
        <v>18-24</v>
      </c>
      <c r="C691" s="1" t="s">
        <v>32</v>
      </c>
      <c r="D691" s="17">
        <f>IF(Table1[[#This Row],[Attrition]]="Yes",1,0)</f>
        <v>1</v>
      </c>
      <c r="E691" t="s">
        <v>57</v>
      </c>
      <c r="F691" s="2">
        <v>129</v>
      </c>
      <c r="G691" t="s">
        <v>39</v>
      </c>
      <c r="H691">
        <v>4</v>
      </c>
      <c r="I691">
        <v>3</v>
      </c>
      <c r="J691" t="str">
        <f t="shared" si="21"/>
        <v>Bachelor</v>
      </c>
      <c r="K691" t="s">
        <v>54</v>
      </c>
      <c r="L691">
        <v>1</v>
      </c>
      <c r="M691" t="s">
        <v>40</v>
      </c>
      <c r="N691" s="2">
        <v>84</v>
      </c>
      <c r="O691">
        <v>3</v>
      </c>
      <c r="P691">
        <v>1</v>
      </c>
      <c r="Q691" t="s">
        <v>44</v>
      </c>
      <c r="R691">
        <v>1</v>
      </c>
      <c r="S691" t="s">
        <v>37</v>
      </c>
      <c r="T691" s="2">
        <v>2973</v>
      </c>
      <c r="U691" s="2">
        <v>13008</v>
      </c>
      <c r="V691">
        <v>1</v>
      </c>
      <c r="W691" t="s">
        <v>38</v>
      </c>
      <c r="X691">
        <v>19</v>
      </c>
      <c r="Y691">
        <v>3</v>
      </c>
      <c r="Z691">
        <v>2</v>
      </c>
      <c r="AA691">
        <v>80</v>
      </c>
      <c r="AB691">
        <v>0</v>
      </c>
      <c r="AC691">
        <v>1</v>
      </c>
      <c r="AD691">
        <v>2</v>
      </c>
      <c r="AE691">
        <v>3</v>
      </c>
      <c r="AF691">
        <v>1</v>
      </c>
      <c r="AG691">
        <v>0</v>
      </c>
      <c r="AH691">
        <v>0</v>
      </c>
      <c r="AI691">
        <v>0</v>
      </c>
    </row>
    <row r="692" spans="1:35" x14ac:dyDescent="0.25">
      <c r="A692">
        <v>31</v>
      </c>
      <c r="B692" t="str">
        <f t="shared" si="20"/>
        <v>25-34</v>
      </c>
      <c r="C692" s="1" t="s">
        <v>38</v>
      </c>
      <c r="D692" s="17">
        <f>IF(Table1[[#This Row],[Attrition]]="Yes",1,0)</f>
        <v>0</v>
      </c>
      <c r="E692" t="s">
        <v>57</v>
      </c>
      <c r="F692" s="2">
        <v>616</v>
      </c>
      <c r="G692" t="s">
        <v>39</v>
      </c>
      <c r="H692">
        <v>12</v>
      </c>
      <c r="I692">
        <v>3</v>
      </c>
      <c r="J692" t="str">
        <f t="shared" si="21"/>
        <v>Bachelor</v>
      </c>
      <c r="K692" t="s">
        <v>45</v>
      </c>
      <c r="L692">
        <v>4</v>
      </c>
      <c r="M692" t="s">
        <v>35</v>
      </c>
      <c r="N692" s="2">
        <v>41</v>
      </c>
      <c r="O692">
        <v>3</v>
      </c>
      <c r="P692">
        <v>2</v>
      </c>
      <c r="Q692" t="s">
        <v>48</v>
      </c>
      <c r="R692">
        <v>4</v>
      </c>
      <c r="S692" t="s">
        <v>42</v>
      </c>
      <c r="T692" s="2">
        <v>5855</v>
      </c>
      <c r="U692" s="2">
        <v>17369</v>
      </c>
      <c r="V692">
        <v>0</v>
      </c>
      <c r="W692" t="s">
        <v>32</v>
      </c>
      <c r="X692">
        <v>11</v>
      </c>
      <c r="Y692">
        <v>3</v>
      </c>
      <c r="Z692">
        <v>3</v>
      </c>
      <c r="AA692">
        <v>80</v>
      </c>
      <c r="AB692">
        <v>2</v>
      </c>
      <c r="AC692">
        <v>10</v>
      </c>
      <c r="AD692">
        <v>2</v>
      </c>
      <c r="AE692">
        <v>1</v>
      </c>
      <c r="AF692">
        <v>9</v>
      </c>
      <c r="AG692">
        <v>7</v>
      </c>
      <c r="AH692">
        <v>8</v>
      </c>
      <c r="AI692">
        <v>5</v>
      </c>
    </row>
    <row r="693" spans="1:35" x14ac:dyDescent="0.25">
      <c r="A693">
        <v>40</v>
      </c>
      <c r="B693" t="str">
        <f t="shared" si="20"/>
        <v>35-44</v>
      </c>
      <c r="C693" s="1" t="s">
        <v>38</v>
      </c>
      <c r="D693" s="17">
        <f>IF(Table1[[#This Row],[Attrition]]="Yes",1,0)</f>
        <v>0</v>
      </c>
      <c r="E693" t="s">
        <v>58</v>
      </c>
      <c r="F693" s="2">
        <v>1469</v>
      </c>
      <c r="G693" t="s">
        <v>39</v>
      </c>
      <c r="H693">
        <v>9</v>
      </c>
      <c r="I693">
        <v>4</v>
      </c>
      <c r="J693" t="str">
        <f t="shared" si="21"/>
        <v>Master</v>
      </c>
      <c r="K693" t="s">
        <v>45</v>
      </c>
      <c r="L693">
        <v>4</v>
      </c>
      <c r="M693" t="s">
        <v>40</v>
      </c>
      <c r="N693" s="2">
        <v>35</v>
      </c>
      <c r="O693">
        <v>3</v>
      </c>
      <c r="P693">
        <v>1</v>
      </c>
      <c r="Q693" t="s">
        <v>41</v>
      </c>
      <c r="R693">
        <v>2</v>
      </c>
      <c r="S693" t="s">
        <v>46</v>
      </c>
      <c r="T693" s="2">
        <v>3617</v>
      </c>
      <c r="U693" s="2">
        <v>25063</v>
      </c>
      <c r="V693">
        <v>8</v>
      </c>
      <c r="W693" t="s">
        <v>32</v>
      </c>
      <c r="X693">
        <v>14</v>
      </c>
      <c r="Y693">
        <v>3</v>
      </c>
      <c r="Z693">
        <v>4</v>
      </c>
      <c r="AA693">
        <v>80</v>
      </c>
      <c r="AB693">
        <v>1</v>
      </c>
      <c r="AC693">
        <v>3</v>
      </c>
      <c r="AD693">
        <v>2</v>
      </c>
      <c r="AE693">
        <v>3</v>
      </c>
      <c r="AF693">
        <v>1</v>
      </c>
      <c r="AG693">
        <v>1</v>
      </c>
      <c r="AH693">
        <v>0</v>
      </c>
      <c r="AI693">
        <v>0</v>
      </c>
    </row>
    <row r="694" spans="1:35" x14ac:dyDescent="0.25">
      <c r="A694">
        <v>32</v>
      </c>
      <c r="B694" t="str">
        <f t="shared" si="20"/>
        <v>25-34</v>
      </c>
      <c r="C694" s="1" t="s">
        <v>38</v>
      </c>
      <c r="D694" s="17">
        <f>IF(Table1[[#This Row],[Attrition]]="Yes",1,0)</f>
        <v>0</v>
      </c>
      <c r="E694" t="s">
        <v>57</v>
      </c>
      <c r="F694" s="2">
        <v>498</v>
      </c>
      <c r="G694" t="s">
        <v>39</v>
      </c>
      <c r="H694">
        <v>3</v>
      </c>
      <c r="I694">
        <v>4</v>
      </c>
      <c r="J694" t="str">
        <f t="shared" si="21"/>
        <v>Master</v>
      </c>
      <c r="K694" t="s">
        <v>45</v>
      </c>
      <c r="L694">
        <v>3</v>
      </c>
      <c r="M694" t="s">
        <v>35</v>
      </c>
      <c r="N694" s="2">
        <v>93</v>
      </c>
      <c r="O694">
        <v>3</v>
      </c>
      <c r="P694">
        <v>2</v>
      </c>
      <c r="Q694" t="s">
        <v>47</v>
      </c>
      <c r="R694">
        <v>1</v>
      </c>
      <c r="S694" t="s">
        <v>42</v>
      </c>
      <c r="T694" s="2">
        <v>6725</v>
      </c>
      <c r="U694" s="2">
        <v>13554</v>
      </c>
      <c r="V694">
        <v>1</v>
      </c>
      <c r="W694" t="s">
        <v>38</v>
      </c>
      <c r="X694">
        <v>12</v>
      </c>
      <c r="Y694">
        <v>3</v>
      </c>
      <c r="Z694">
        <v>3</v>
      </c>
      <c r="AA694">
        <v>80</v>
      </c>
      <c r="AB694">
        <v>1</v>
      </c>
      <c r="AC694">
        <v>8</v>
      </c>
      <c r="AD694">
        <v>2</v>
      </c>
      <c r="AE694">
        <v>4</v>
      </c>
      <c r="AF694">
        <v>8</v>
      </c>
      <c r="AG694">
        <v>7</v>
      </c>
      <c r="AH694">
        <v>6</v>
      </c>
      <c r="AI694">
        <v>3</v>
      </c>
    </row>
    <row r="695" spans="1:35" x14ac:dyDescent="0.25">
      <c r="A695">
        <v>36</v>
      </c>
      <c r="B695" t="str">
        <f t="shared" si="20"/>
        <v>35-44</v>
      </c>
      <c r="C695" s="1" t="s">
        <v>32</v>
      </c>
      <c r="D695" s="17">
        <f>IF(Table1[[#This Row],[Attrition]]="Yes",1,0)</f>
        <v>1</v>
      </c>
      <c r="E695" t="s">
        <v>57</v>
      </c>
      <c r="F695" s="2">
        <v>530</v>
      </c>
      <c r="G695" t="s">
        <v>33</v>
      </c>
      <c r="H695">
        <v>3</v>
      </c>
      <c r="I695">
        <v>1</v>
      </c>
      <c r="J695" t="str">
        <f t="shared" si="21"/>
        <v>Below College</v>
      </c>
      <c r="K695" t="s">
        <v>34</v>
      </c>
      <c r="L695">
        <v>3</v>
      </c>
      <c r="M695" t="s">
        <v>40</v>
      </c>
      <c r="N695" s="2">
        <v>51</v>
      </c>
      <c r="O695">
        <v>2</v>
      </c>
      <c r="P695">
        <v>3</v>
      </c>
      <c r="Q695" t="s">
        <v>36</v>
      </c>
      <c r="R695">
        <v>4</v>
      </c>
      <c r="S695" t="s">
        <v>42</v>
      </c>
      <c r="T695" s="2">
        <v>10325</v>
      </c>
      <c r="U695" s="2">
        <v>5518</v>
      </c>
      <c r="V695">
        <v>1</v>
      </c>
      <c r="W695" t="s">
        <v>32</v>
      </c>
      <c r="X695">
        <v>11</v>
      </c>
      <c r="Y695">
        <v>3</v>
      </c>
      <c r="Z695">
        <v>1</v>
      </c>
      <c r="AA695">
        <v>80</v>
      </c>
      <c r="AB695">
        <v>1</v>
      </c>
      <c r="AC695">
        <v>16</v>
      </c>
      <c r="AD695">
        <v>6</v>
      </c>
      <c r="AE695">
        <v>3</v>
      </c>
      <c r="AF695">
        <v>16</v>
      </c>
      <c r="AG695">
        <v>7</v>
      </c>
      <c r="AH695">
        <v>3</v>
      </c>
      <c r="AI695">
        <v>7</v>
      </c>
    </row>
    <row r="696" spans="1:35" x14ac:dyDescent="0.25">
      <c r="A696">
        <v>33</v>
      </c>
      <c r="B696" t="str">
        <f t="shared" si="20"/>
        <v>25-34</v>
      </c>
      <c r="C696" s="1" t="s">
        <v>38</v>
      </c>
      <c r="D696" s="17">
        <f>IF(Table1[[#This Row],[Attrition]]="Yes",1,0)</f>
        <v>0</v>
      </c>
      <c r="E696" t="s">
        <v>57</v>
      </c>
      <c r="F696" s="2">
        <v>1069</v>
      </c>
      <c r="G696" t="s">
        <v>39</v>
      </c>
      <c r="H696">
        <v>1</v>
      </c>
      <c r="I696">
        <v>3</v>
      </c>
      <c r="J696" t="str">
        <f t="shared" si="21"/>
        <v>Bachelor</v>
      </c>
      <c r="K696" t="s">
        <v>34</v>
      </c>
      <c r="L696">
        <v>2</v>
      </c>
      <c r="M696" t="s">
        <v>35</v>
      </c>
      <c r="N696" s="2">
        <v>42</v>
      </c>
      <c r="O696">
        <v>2</v>
      </c>
      <c r="P696">
        <v>2</v>
      </c>
      <c r="Q696" t="s">
        <v>48</v>
      </c>
      <c r="R696">
        <v>4</v>
      </c>
      <c r="S696" t="s">
        <v>37</v>
      </c>
      <c r="T696" s="2">
        <v>6949</v>
      </c>
      <c r="U696" s="2">
        <v>12291</v>
      </c>
      <c r="V696">
        <v>0</v>
      </c>
      <c r="W696" t="s">
        <v>38</v>
      </c>
      <c r="X696">
        <v>14</v>
      </c>
      <c r="Y696">
        <v>3</v>
      </c>
      <c r="Z696">
        <v>1</v>
      </c>
      <c r="AA696">
        <v>80</v>
      </c>
      <c r="AB696">
        <v>0</v>
      </c>
      <c r="AC696">
        <v>6</v>
      </c>
      <c r="AD696">
        <v>3</v>
      </c>
      <c r="AE696">
        <v>3</v>
      </c>
      <c r="AF696">
        <v>5</v>
      </c>
      <c r="AG696">
        <v>0</v>
      </c>
      <c r="AH696">
        <v>1</v>
      </c>
      <c r="AI696">
        <v>4</v>
      </c>
    </row>
    <row r="697" spans="1:35" x14ac:dyDescent="0.25">
      <c r="A697">
        <v>37</v>
      </c>
      <c r="B697" t="str">
        <f t="shared" si="20"/>
        <v>35-44</v>
      </c>
      <c r="C697" s="1" t="s">
        <v>32</v>
      </c>
      <c r="D697" s="17">
        <f>IF(Table1[[#This Row],[Attrition]]="Yes",1,0)</f>
        <v>1</v>
      </c>
      <c r="E697" t="s">
        <v>57</v>
      </c>
      <c r="F697" s="2">
        <v>625</v>
      </c>
      <c r="G697" t="s">
        <v>33</v>
      </c>
      <c r="H697">
        <v>1</v>
      </c>
      <c r="I697">
        <v>4</v>
      </c>
      <c r="J697" t="str">
        <f t="shared" si="21"/>
        <v>Master</v>
      </c>
      <c r="K697" t="s">
        <v>34</v>
      </c>
      <c r="L697">
        <v>1</v>
      </c>
      <c r="M697" t="s">
        <v>40</v>
      </c>
      <c r="N697" s="2">
        <v>46</v>
      </c>
      <c r="O697">
        <v>2</v>
      </c>
      <c r="P697">
        <v>3</v>
      </c>
      <c r="Q697" t="s">
        <v>36</v>
      </c>
      <c r="R697">
        <v>3</v>
      </c>
      <c r="S697" t="s">
        <v>42</v>
      </c>
      <c r="T697" s="2">
        <v>10609</v>
      </c>
      <c r="U697" s="2">
        <v>14922</v>
      </c>
      <c r="V697">
        <v>5</v>
      </c>
      <c r="W697" t="s">
        <v>38</v>
      </c>
      <c r="X697">
        <v>11</v>
      </c>
      <c r="Y697">
        <v>3</v>
      </c>
      <c r="Z697">
        <v>3</v>
      </c>
      <c r="AA697">
        <v>80</v>
      </c>
      <c r="AB697">
        <v>0</v>
      </c>
      <c r="AC697">
        <v>17</v>
      </c>
      <c r="AD697">
        <v>2</v>
      </c>
      <c r="AE697">
        <v>1</v>
      </c>
      <c r="AF697">
        <v>14</v>
      </c>
      <c r="AG697">
        <v>1</v>
      </c>
      <c r="AH697">
        <v>11</v>
      </c>
      <c r="AI697">
        <v>7</v>
      </c>
    </row>
    <row r="698" spans="1:35" x14ac:dyDescent="0.25">
      <c r="A698">
        <v>45</v>
      </c>
      <c r="B698" t="str">
        <f t="shared" si="20"/>
        <v>45-54</v>
      </c>
      <c r="C698" s="1" t="s">
        <v>38</v>
      </c>
      <c r="D698" s="17">
        <f>IF(Table1[[#This Row],[Attrition]]="Yes",1,0)</f>
        <v>0</v>
      </c>
      <c r="E698" t="s">
        <v>49</v>
      </c>
      <c r="F698" s="2">
        <v>805</v>
      </c>
      <c r="G698" t="s">
        <v>39</v>
      </c>
      <c r="H698">
        <v>4</v>
      </c>
      <c r="I698">
        <v>2</v>
      </c>
      <c r="J698" t="str">
        <f t="shared" si="21"/>
        <v>College</v>
      </c>
      <c r="K698" t="s">
        <v>34</v>
      </c>
      <c r="L698">
        <v>3</v>
      </c>
      <c r="M698" t="s">
        <v>40</v>
      </c>
      <c r="N698" s="2">
        <v>57</v>
      </c>
      <c r="O698">
        <v>3</v>
      </c>
      <c r="P698">
        <v>2</v>
      </c>
      <c r="Q698" t="s">
        <v>44</v>
      </c>
      <c r="R698">
        <v>2</v>
      </c>
      <c r="S698" t="s">
        <v>42</v>
      </c>
      <c r="T698" s="2">
        <v>4447</v>
      </c>
      <c r="U698" s="2">
        <v>23163</v>
      </c>
      <c r="V698">
        <v>1</v>
      </c>
      <c r="W698" t="s">
        <v>38</v>
      </c>
      <c r="X698">
        <v>12</v>
      </c>
      <c r="Y698">
        <v>3</v>
      </c>
      <c r="Z698">
        <v>2</v>
      </c>
      <c r="AA698">
        <v>80</v>
      </c>
      <c r="AB698">
        <v>0</v>
      </c>
      <c r="AC698">
        <v>9</v>
      </c>
      <c r="AD698">
        <v>5</v>
      </c>
      <c r="AE698">
        <v>2</v>
      </c>
      <c r="AF698">
        <v>9</v>
      </c>
      <c r="AG698">
        <v>7</v>
      </c>
      <c r="AH698">
        <v>0</v>
      </c>
      <c r="AI698">
        <v>8</v>
      </c>
    </row>
    <row r="699" spans="1:35" x14ac:dyDescent="0.25">
      <c r="A699">
        <v>29</v>
      </c>
      <c r="B699" t="str">
        <f t="shared" si="20"/>
        <v>25-34</v>
      </c>
      <c r="C699" s="1" t="s">
        <v>38</v>
      </c>
      <c r="D699" s="17">
        <f>IF(Table1[[#This Row],[Attrition]]="Yes",1,0)</f>
        <v>0</v>
      </c>
      <c r="E699" t="s">
        <v>58</v>
      </c>
      <c r="F699" s="2">
        <v>1404</v>
      </c>
      <c r="G699" t="s">
        <v>33</v>
      </c>
      <c r="H699">
        <v>20</v>
      </c>
      <c r="I699">
        <v>3</v>
      </c>
      <c r="J699" t="str">
        <f t="shared" si="21"/>
        <v>Bachelor</v>
      </c>
      <c r="K699" t="s">
        <v>54</v>
      </c>
      <c r="L699">
        <v>3</v>
      </c>
      <c r="M699" t="s">
        <v>35</v>
      </c>
      <c r="N699" s="2">
        <v>84</v>
      </c>
      <c r="O699">
        <v>3</v>
      </c>
      <c r="P699">
        <v>1</v>
      </c>
      <c r="Q699" t="s">
        <v>51</v>
      </c>
      <c r="R699">
        <v>4</v>
      </c>
      <c r="S699" t="s">
        <v>42</v>
      </c>
      <c r="T699" s="2">
        <v>2157</v>
      </c>
      <c r="U699" s="2">
        <v>18203</v>
      </c>
      <c r="V699">
        <v>1</v>
      </c>
      <c r="W699" t="s">
        <v>38</v>
      </c>
      <c r="X699">
        <v>15</v>
      </c>
      <c r="Y699">
        <v>3</v>
      </c>
      <c r="Z699">
        <v>2</v>
      </c>
      <c r="AA699">
        <v>80</v>
      </c>
      <c r="AB699">
        <v>1</v>
      </c>
      <c r="AC699">
        <v>3</v>
      </c>
      <c r="AD699">
        <v>5</v>
      </c>
      <c r="AE699">
        <v>3</v>
      </c>
      <c r="AF699">
        <v>3</v>
      </c>
      <c r="AG699">
        <v>1</v>
      </c>
      <c r="AH699">
        <v>0</v>
      </c>
      <c r="AI699">
        <v>2</v>
      </c>
    </row>
    <row r="700" spans="1:35" x14ac:dyDescent="0.25">
      <c r="A700">
        <v>35</v>
      </c>
      <c r="B700" t="str">
        <f t="shared" si="20"/>
        <v>35-44</v>
      </c>
      <c r="C700" s="1" t="s">
        <v>38</v>
      </c>
      <c r="D700" s="17">
        <f>IF(Table1[[#This Row],[Attrition]]="Yes",1,0)</f>
        <v>0</v>
      </c>
      <c r="E700" t="s">
        <v>57</v>
      </c>
      <c r="F700" s="2">
        <v>1219</v>
      </c>
      <c r="G700" t="s">
        <v>33</v>
      </c>
      <c r="H700">
        <v>18</v>
      </c>
      <c r="I700">
        <v>3</v>
      </c>
      <c r="J700" t="str">
        <f t="shared" si="21"/>
        <v>Bachelor</v>
      </c>
      <c r="K700" t="s">
        <v>45</v>
      </c>
      <c r="L700">
        <v>3</v>
      </c>
      <c r="M700" t="s">
        <v>35</v>
      </c>
      <c r="N700" s="2">
        <v>86</v>
      </c>
      <c r="O700">
        <v>3</v>
      </c>
      <c r="P700">
        <v>2</v>
      </c>
      <c r="Q700" t="s">
        <v>36</v>
      </c>
      <c r="R700">
        <v>3</v>
      </c>
      <c r="S700" t="s">
        <v>42</v>
      </c>
      <c r="T700" s="2">
        <v>4601</v>
      </c>
      <c r="U700" s="2">
        <v>6179</v>
      </c>
      <c r="V700">
        <v>1</v>
      </c>
      <c r="W700" t="s">
        <v>38</v>
      </c>
      <c r="X700">
        <v>16</v>
      </c>
      <c r="Y700">
        <v>3</v>
      </c>
      <c r="Z700">
        <v>2</v>
      </c>
      <c r="AA700">
        <v>80</v>
      </c>
      <c r="AB700">
        <v>0</v>
      </c>
      <c r="AC700">
        <v>5</v>
      </c>
      <c r="AD700">
        <v>3</v>
      </c>
      <c r="AE700">
        <v>3</v>
      </c>
      <c r="AF700">
        <v>5</v>
      </c>
      <c r="AG700">
        <v>2</v>
      </c>
      <c r="AH700">
        <v>1</v>
      </c>
      <c r="AI700">
        <v>0</v>
      </c>
    </row>
    <row r="701" spans="1:35" x14ac:dyDescent="0.25">
      <c r="A701">
        <v>52</v>
      </c>
      <c r="B701" t="str">
        <f t="shared" si="20"/>
        <v>45-54</v>
      </c>
      <c r="C701" s="1" t="s">
        <v>38</v>
      </c>
      <c r="D701" s="17">
        <f>IF(Table1[[#This Row],[Attrition]]="Yes",1,0)</f>
        <v>0</v>
      </c>
      <c r="E701" t="s">
        <v>57</v>
      </c>
      <c r="F701" s="2">
        <v>1053</v>
      </c>
      <c r="G701" t="s">
        <v>39</v>
      </c>
      <c r="H701">
        <v>1</v>
      </c>
      <c r="I701">
        <v>2</v>
      </c>
      <c r="J701" t="str">
        <f t="shared" si="21"/>
        <v>College</v>
      </c>
      <c r="K701" t="s">
        <v>34</v>
      </c>
      <c r="L701">
        <v>4</v>
      </c>
      <c r="M701" t="s">
        <v>40</v>
      </c>
      <c r="N701" s="2">
        <v>70</v>
      </c>
      <c r="O701">
        <v>3</v>
      </c>
      <c r="P701">
        <v>4</v>
      </c>
      <c r="Q701" t="s">
        <v>50</v>
      </c>
      <c r="R701">
        <v>4</v>
      </c>
      <c r="S701" t="s">
        <v>42</v>
      </c>
      <c r="T701" s="2">
        <v>17099</v>
      </c>
      <c r="U701" s="2">
        <v>13829</v>
      </c>
      <c r="V701">
        <v>2</v>
      </c>
      <c r="W701" t="s">
        <v>38</v>
      </c>
      <c r="X701">
        <v>15</v>
      </c>
      <c r="Y701">
        <v>3</v>
      </c>
      <c r="Z701">
        <v>2</v>
      </c>
      <c r="AA701">
        <v>80</v>
      </c>
      <c r="AB701">
        <v>1</v>
      </c>
      <c r="AC701">
        <v>26</v>
      </c>
      <c r="AD701">
        <v>2</v>
      </c>
      <c r="AE701">
        <v>2</v>
      </c>
      <c r="AF701">
        <v>9</v>
      </c>
      <c r="AG701">
        <v>8</v>
      </c>
      <c r="AH701">
        <v>7</v>
      </c>
      <c r="AI701">
        <v>8</v>
      </c>
    </row>
    <row r="702" spans="1:35" x14ac:dyDescent="0.25">
      <c r="A702">
        <v>58</v>
      </c>
      <c r="B702" t="str">
        <f t="shared" si="20"/>
        <v>55-64</v>
      </c>
      <c r="C702" s="1" t="s">
        <v>32</v>
      </c>
      <c r="D702" s="17">
        <f>IF(Table1[[#This Row],[Attrition]]="Yes",1,0)</f>
        <v>1</v>
      </c>
      <c r="E702" t="s">
        <v>57</v>
      </c>
      <c r="F702" s="2">
        <v>289</v>
      </c>
      <c r="G702" t="s">
        <v>39</v>
      </c>
      <c r="H702">
        <v>2</v>
      </c>
      <c r="I702">
        <v>3</v>
      </c>
      <c r="J702" t="str">
        <f t="shared" si="21"/>
        <v>Bachelor</v>
      </c>
      <c r="K702" t="s">
        <v>54</v>
      </c>
      <c r="L702">
        <v>4</v>
      </c>
      <c r="M702" t="s">
        <v>40</v>
      </c>
      <c r="N702" s="2">
        <v>51</v>
      </c>
      <c r="O702">
        <v>3</v>
      </c>
      <c r="P702">
        <v>1</v>
      </c>
      <c r="Q702" t="s">
        <v>41</v>
      </c>
      <c r="R702">
        <v>3</v>
      </c>
      <c r="S702" t="s">
        <v>37</v>
      </c>
      <c r="T702" s="2">
        <v>2479</v>
      </c>
      <c r="U702" s="2">
        <v>26227</v>
      </c>
      <c r="V702">
        <v>4</v>
      </c>
      <c r="W702" t="s">
        <v>38</v>
      </c>
      <c r="X702">
        <v>24</v>
      </c>
      <c r="Y702">
        <v>4</v>
      </c>
      <c r="Z702">
        <v>1</v>
      </c>
      <c r="AA702">
        <v>80</v>
      </c>
      <c r="AB702">
        <v>0</v>
      </c>
      <c r="AC702">
        <v>7</v>
      </c>
      <c r="AD702">
        <v>4</v>
      </c>
      <c r="AE702">
        <v>3</v>
      </c>
      <c r="AF702">
        <v>1</v>
      </c>
      <c r="AG702">
        <v>0</v>
      </c>
      <c r="AH702">
        <v>0</v>
      </c>
      <c r="AI702">
        <v>0</v>
      </c>
    </row>
    <row r="703" spans="1:35" x14ac:dyDescent="0.25">
      <c r="A703">
        <v>53</v>
      </c>
      <c r="B703" t="str">
        <f t="shared" si="20"/>
        <v>45-54</v>
      </c>
      <c r="C703" s="1" t="s">
        <v>38</v>
      </c>
      <c r="D703" s="17">
        <f>IF(Table1[[#This Row],[Attrition]]="Yes",1,0)</f>
        <v>0</v>
      </c>
      <c r="E703" t="s">
        <v>57</v>
      </c>
      <c r="F703" s="2">
        <v>1376</v>
      </c>
      <c r="G703" t="s">
        <v>33</v>
      </c>
      <c r="H703">
        <v>2</v>
      </c>
      <c r="I703">
        <v>2</v>
      </c>
      <c r="J703" t="str">
        <f t="shared" si="21"/>
        <v>College</v>
      </c>
      <c r="K703" t="s">
        <v>45</v>
      </c>
      <c r="L703">
        <v>3</v>
      </c>
      <c r="M703" t="s">
        <v>40</v>
      </c>
      <c r="N703" s="2">
        <v>45</v>
      </c>
      <c r="O703">
        <v>3</v>
      </c>
      <c r="P703">
        <v>4</v>
      </c>
      <c r="Q703" t="s">
        <v>50</v>
      </c>
      <c r="R703">
        <v>3</v>
      </c>
      <c r="S703" t="s">
        <v>46</v>
      </c>
      <c r="T703" s="2">
        <v>14852</v>
      </c>
      <c r="U703" s="2">
        <v>13938</v>
      </c>
      <c r="V703">
        <v>6</v>
      </c>
      <c r="W703" t="s">
        <v>38</v>
      </c>
      <c r="X703">
        <v>13</v>
      </c>
      <c r="Y703">
        <v>3</v>
      </c>
      <c r="Z703">
        <v>3</v>
      </c>
      <c r="AA703">
        <v>80</v>
      </c>
      <c r="AB703">
        <v>1</v>
      </c>
      <c r="AC703">
        <v>22</v>
      </c>
      <c r="AD703">
        <v>3</v>
      </c>
      <c r="AE703">
        <v>4</v>
      </c>
      <c r="AF703">
        <v>17</v>
      </c>
      <c r="AG703">
        <v>13</v>
      </c>
      <c r="AH703">
        <v>15</v>
      </c>
      <c r="AI703">
        <v>2</v>
      </c>
    </row>
    <row r="704" spans="1:35" x14ac:dyDescent="0.25">
      <c r="A704">
        <v>30</v>
      </c>
      <c r="B704" t="str">
        <f t="shared" si="20"/>
        <v>25-34</v>
      </c>
      <c r="C704" s="1" t="s">
        <v>38</v>
      </c>
      <c r="D704" s="17">
        <f>IF(Table1[[#This Row],[Attrition]]="Yes",1,0)</f>
        <v>0</v>
      </c>
      <c r="E704" t="s">
        <v>57</v>
      </c>
      <c r="F704" s="2">
        <v>231</v>
      </c>
      <c r="G704" t="s">
        <v>33</v>
      </c>
      <c r="H704">
        <v>8</v>
      </c>
      <c r="I704">
        <v>2</v>
      </c>
      <c r="J704" t="str">
        <f t="shared" si="21"/>
        <v>College</v>
      </c>
      <c r="K704" t="s">
        <v>43</v>
      </c>
      <c r="L704">
        <v>3</v>
      </c>
      <c r="M704" t="s">
        <v>40</v>
      </c>
      <c r="N704" s="2">
        <v>62</v>
      </c>
      <c r="O704">
        <v>3</v>
      </c>
      <c r="P704">
        <v>3</v>
      </c>
      <c r="Q704" t="s">
        <v>36</v>
      </c>
      <c r="R704">
        <v>3</v>
      </c>
      <c r="S704" t="s">
        <v>46</v>
      </c>
      <c r="T704" s="2">
        <v>7264</v>
      </c>
      <c r="U704" s="2">
        <v>9977</v>
      </c>
      <c r="V704">
        <v>5</v>
      </c>
      <c r="W704" t="s">
        <v>38</v>
      </c>
      <c r="X704">
        <v>11</v>
      </c>
      <c r="Y704">
        <v>3</v>
      </c>
      <c r="Z704">
        <v>1</v>
      </c>
      <c r="AA704">
        <v>80</v>
      </c>
      <c r="AB704">
        <v>1</v>
      </c>
      <c r="AC704">
        <v>10</v>
      </c>
      <c r="AD704">
        <v>2</v>
      </c>
      <c r="AE704">
        <v>4</v>
      </c>
      <c r="AF704">
        <v>8</v>
      </c>
      <c r="AG704">
        <v>4</v>
      </c>
      <c r="AH704">
        <v>7</v>
      </c>
      <c r="AI704">
        <v>7</v>
      </c>
    </row>
    <row r="705" spans="1:35" x14ac:dyDescent="0.25">
      <c r="A705">
        <v>38</v>
      </c>
      <c r="B705" t="str">
        <f t="shared" si="20"/>
        <v>35-44</v>
      </c>
      <c r="C705" s="1" t="s">
        <v>38</v>
      </c>
      <c r="D705" s="17">
        <f>IF(Table1[[#This Row],[Attrition]]="Yes",1,0)</f>
        <v>0</v>
      </c>
      <c r="E705" t="s">
        <v>49</v>
      </c>
      <c r="F705" s="2">
        <v>152</v>
      </c>
      <c r="G705" t="s">
        <v>33</v>
      </c>
      <c r="H705">
        <v>10</v>
      </c>
      <c r="I705">
        <v>3</v>
      </c>
      <c r="J705" t="str">
        <f t="shared" si="21"/>
        <v>Bachelor</v>
      </c>
      <c r="K705" t="s">
        <v>54</v>
      </c>
      <c r="L705">
        <v>3</v>
      </c>
      <c r="M705" t="s">
        <v>35</v>
      </c>
      <c r="N705" s="2">
        <v>85</v>
      </c>
      <c r="O705">
        <v>3</v>
      </c>
      <c r="P705">
        <v>2</v>
      </c>
      <c r="Q705" t="s">
        <v>36</v>
      </c>
      <c r="R705">
        <v>4</v>
      </c>
      <c r="S705" t="s">
        <v>37</v>
      </c>
      <c r="T705" s="2">
        <v>5666</v>
      </c>
      <c r="U705" s="2">
        <v>19899</v>
      </c>
      <c r="V705">
        <v>1</v>
      </c>
      <c r="W705" t="s">
        <v>32</v>
      </c>
      <c r="X705">
        <v>13</v>
      </c>
      <c r="Y705">
        <v>3</v>
      </c>
      <c r="Z705">
        <v>2</v>
      </c>
      <c r="AA705">
        <v>80</v>
      </c>
      <c r="AB705">
        <v>0</v>
      </c>
      <c r="AC705">
        <v>6</v>
      </c>
      <c r="AD705">
        <v>1</v>
      </c>
      <c r="AE705">
        <v>3</v>
      </c>
      <c r="AF705">
        <v>5</v>
      </c>
      <c r="AG705">
        <v>3</v>
      </c>
      <c r="AH705">
        <v>1</v>
      </c>
      <c r="AI705">
        <v>3</v>
      </c>
    </row>
    <row r="706" spans="1:35" x14ac:dyDescent="0.25">
      <c r="A706">
        <v>35</v>
      </c>
      <c r="B706" t="str">
        <f t="shared" ref="B706:B769" si="22">IF(A706="","",IF(A706&lt;25,"18-24",
 IF(A706&lt;35,"25-34",
 IF(A706&lt;45,"35-44",
 IF(A706&lt;55,"45-54",
 IF(A706&lt;65,"55-64","65+"))))))</f>
        <v>35-44</v>
      </c>
      <c r="C706" s="1" t="s">
        <v>38</v>
      </c>
      <c r="D706" s="17">
        <f>IF(Table1[[#This Row],[Attrition]]="Yes",1,0)</f>
        <v>0</v>
      </c>
      <c r="E706" t="s">
        <v>57</v>
      </c>
      <c r="F706" s="2">
        <v>882</v>
      </c>
      <c r="G706" t="s">
        <v>33</v>
      </c>
      <c r="H706">
        <v>3</v>
      </c>
      <c r="I706">
        <v>4</v>
      </c>
      <c r="J706" t="str">
        <f t="shared" ref="J706:J769" si="23">CHOOSE(I706,"Below College","College","Bachelor","Master","Doctor")</f>
        <v>Master</v>
      </c>
      <c r="K706" t="s">
        <v>34</v>
      </c>
      <c r="L706">
        <v>4</v>
      </c>
      <c r="M706" t="s">
        <v>40</v>
      </c>
      <c r="N706" s="2">
        <v>92</v>
      </c>
      <c r="O706">
        <v>3</v>
      </c>
      <c r="P706">
        <v>3</v>
      </c>
      <c r="Q706" t="s">
        <v>36</v>
      </c>
      <c r="R706">
        <v>4</v>
      </c>
      <c r="S706" t="s">
        <v>46</v>
      </c>
      <c r="T706" s="2">
        <v>7823</v>
      </c>
      <c r="U706" s="2">
        <v>6812</v>
      </c>
      <c r="V706">
        <v>6</v>
      </c>
      <c r="W706" t="s">
        <v>38</v>
      </c>
      <c r="X706">
        <v>13</v>
      </c>
      <c r="Y706">
        <v>3</v>
      </c>
      <c r="Z706">
        <v>2</v>
      </c>
      <c r="AA706">
        <v>80</v>
      </c>
      <c r="AB706">
        <v>1</v>
      </c>
      <c r="AC706">
        <v>12</v>
      </c>
      <c r="AD706">
        <v>2</v>
      </c>
      <c r="AE706">
        <v>3</v>
      </c>
      <c r="AF706">
        <v>10</v>
      </c>
      <c r="AG706">
        <v>9</v>
      </c>
      <c r="AH706">
        <v>0</v>
      </c>
      <c r="AI706">
        <v>8</v>
      </c>
    </row>
    <row r="707" spans="1:35" x14ac:dyDescent="0.25">
      <c r="A707">
        <v>39</v>
      </c>
      <c r="B707" t="str">
        <f t="shared" si="22"/>
        <v>35-44</v>
      </c>
      <c r="C707" s="1" t="s">
        <v>38</v>
      </c>
      <c r="D707" s="17">
        <f>IF(Table1[[#This Row],[Attrition]]="Yes",1,0)</f>
        <v>0</v>
      </c>
      <c r="E707" t="s">
        <v>57</v>
      </c>
      <c r="F707" s="2">
        <v>903</v>
      </c>
      <c r="G707" t="s">
        <v>33</v>
      </c>
      <c r="H707">
        <v>2</v>
      </c>
      <c r="I707">
        <v>5</v>
      </c>
      <c r="J707" t="str">
        <f t="shared" si="23"/>
        <v>Doctor</v>
      </c>
      <c r="K707" t="s">
        <v>34</v>
      </c>
      <c r="L707">
        <v>1</v>
      </c>
      <c r="M707" t="s">
        <v>40</v>
      </c>
      <c r="N707" s="2">
        <v>41</v>
      </c>
      <c r="O707">
        <v>4</v>
      </c>
      <c r="P707">
        <v>3</v>
      </c>
      <c r="Q707" t="s">
        <v>36</v>
      </c>
      <c r="R707">
        <v>3</v>
      </c>
      <c r="S707" t="s">
        <v>37</v>
      </c>
      <c r="T707" s="2">
        <v>7880</v>
      </c>
      <c r="U707" s="2">
        <v>2560</v>
      </c>
      <c r="V707">
        <v>0</v>
      </c>
      <c r="W707" t="s">
        <v>38</v>
      </c>
      <c r="X707">
        <v>18</v>
      </c>
      <c r="Y707">
        <v>3</v>
      </c>
      <c r="Z707">
        <v>4</v>
      </c>
      <c r="AA707">
        <v>80</v>
      </c>
      <c r="AB707">
        <v>0</v>
      </c>
      <c r="AC707">
        <v>9</v>
      </c>
      <c r="AD707">
        <v>3</v>
      </c>
      <c r="AE707">
        <v>3</v>
      </c>
      <c r="AF707">
        <v>8</v>
      </c>
      <c r="AG707">
        <v>7</v>
      </c>
      <c r="AH707">
        <v>0</v>
      </c>
      <c r="AI707">
        <v>7</v>
      </c>
    </row>
    <row r="708" spans="1:35" x14ac:dyDescent="0.25">
      <c r="A708">
        <v>40</v>
      </c>
      <c r="B708" t="str">
        <f t="shared" si="22"/>
        <v>35-44</v>
      </c>
      <c r="C708" s="1" t="s">
        <v>32</v>
      </c>
      <c r="D708" s="17">
        <f>IF(Table1[[#This Row],[Attrition]]="Yes",1,0)</f>
        <v>1</v>
      </c>
      <c r="E708" t="s">
        <v>49</v>
      </c>
      <c r="F708" s="2">
        <v>1479</v>
      </c>
      <c r="G708" t="s">
        <v>33</v>
      </c>
      <c r="H708">
        <v>24</v>
      </c>
      <c r="I708">
        <v>3</v>
      </c>
      <c r="J708" t="str">
        <f t="shared" si="23"/>
        <v>Bachelor</v>
      </c>
      <c r="K708" t="s">
        <v>34</v>
      </c>
      <c r="L708">
        <v>2</v>
      </c>
      <c r="M708" t="s">
        <v>35</v>
      </c>
      <c r="N708" s="2">
        <v>100</v>
      </c>
      <c r="O708">
        <v>4</v>
      </c>
      <c r="P708">
        <v>4</v>
      </c>
      <c r="Q708" t="s">
        <v>36</v>
      </c>
      <c r="R708">
        <v>2</v>
      </c>
      <c r="S708" t="s">
        <v>37</v>
      </c>
      <c r="T708" s="2">
        <v>13194</v>
      </c>
      <c r="U708" s="2">
        <v>17071</v>
      </c>
      <c r="V708">
        <v>4</v>
      </c>
      <c r="W708" t="s">
        <v>32</v>
      </c>
      <c r="X708">
        <v>16</v>
      </c>
      <c r="Y708">
        <v>3</v>
      </c>
      <c r="Z708">
        <v>4</v>
      </c>
      <c r="AA708">
        <v>80</v>
      </c>
      <c r="AB708">
        <v>0</v>
      </c>
      <c r="AC708">
        <v>22</v>
      </c>
      <c r="AD708">
        <v>2</v>
      </c>
      <c r="AE708">
        <v>2</v>
      </c>
      <c r="AF708">
        <v>1</v>
      </c>
      <c r="AG708">
        <v>0</v>
      </c>
      <c r="AH708">
        <v>0</v>
      </c>
      <c r="AI708">
        <v>0</v>
      </c>
    </row>
    <row r="709" spans="1:35" x14ac:dyDescent="0.25">
      <c r="A709">
        <v>47</v>
      </c>
      <c r="B709" t="str">
        <f t="shared" si="22"/>
        <v>45-54</v>
      </c>
      <c r="C709" s="1" t="s">
        <v>38</v>
      </c>
      <c r="D709" s="17">
        <f>IF(Table1[[#This Row],[Attrition]]="Yes",1,0)</f>
        <v>0</v>
      </c>
      <c r="E709" t="s">
        <v>58</v>
      </c>
      <c r="F709" s="2">
        <v>1379</v>
      </c>
      <c r="G709" t="s">
        <v>39</v>
      </c>
      <c r="H709">
        <v>16</v>
      </c>
      <c r="I709">
        <v>4</v>
      </c>
      <c r="J709" t="str">
        <f t="shared" si="23"/>
        <v>Master</v>
      </c>
      <c r="K709" t="s">
        <v>45</v>
      </c>
      <c r="L709">
        <v>3</v>
      </c>
      <c r="M709" t="s">
        <v>40</v>
      </c>
      <c r="N709" s="2">
        <v>64</v>
      </c>
      <c r="O709">
        <v>4</v>
      </c>
      <c r="P709">
        <v>2</v>
      </c>
      <c r="Q709" t="s">
        <v>47</v>
      </c>
      <c r="R709">
        <v>3</v>
      </c>
      <c r="S709" t="s">
        <v>46</v>
      </c>
      <c r="T709" s="2">
        <v>5067</v>
      </c>
      <c r="U709" s="2">
        <v>6759</v>
      </c>
      <c r="V709">
        <v>1</v>
      </c>
      <c r="W709" t="s">
        <v>32</v>
      </c>
      <c r="X709">
        <v>19</v>
      </c>
      <c r="Y709">
        <v>3</v>
      </c>
      <c r="Z709">
        <v>3</v>
      </c>
      <c r="AA709">
        <v>80</v>
      </c>
      <c r="AB709">
        <v>0</v>
      </c>
      <c r="AC709">
        <v>20</v>
      </c>
      <c r="AD709">
        <v>3</v>
      </c>
      <c r="AE709">
        <v>4</v>
      </c>
      <c r="AF709">
        <v>19</v>
      </c>
      <c r="AG709">
        <v>10</v>
      </c>
      <c r="AH709">
        <v>2</v>
      </c>
      <c r="AI709">
        <v>7</v>
      </c>
    </row>
    <row r="710" spans="1:35" x14ac:dyDescent="0.25">
      <c r="A710">
        <v>36</v>
      </c>
      <c r="B710" t="str">
        <f t="shared" si="22"/>
        <v>35-44</v>
      </c>
      <c r="C710" s="1" t="s">
        <v>38</v>
      </c>
      <c r="D710" s="17">
        <f>IF(Table1[[#This Row],[Attrition]]="Yes",1,0)</f>
        <v>0</v>
      </c>
      <c r="E710" t="s">
        <v>49</v>
      </c>
      <c r="F710" s="2">
        <v>1229</v>
      </c>
      <c r="G710" t="s">
        <v>33</v>
      </c>
      <c r="H710">
        <v>8</v>
      </c>
      <c r="I710">
        <v>4</v>
      </c>
      <c r="J710" t="str">
        <f t="shared" si="23"/>
        <v>Master</v>
      </c>
      <c r="K710" t="s">
        <v>54</v>
      </c>
      <c r="L710">
        <v>1</v>
      </c>
      <c r="M710" t="s">
        <v>40</v>
      </c>
      <c r="N710" s="2">
        <v>84</v>
      </c>
      <c r="O710">
        <v>3</v>
      </c>
      <c r="P710">
        <v>2</v>
      </c>
      <c r="Q710" t="s">
        <v>36</v>
      </c>
      <c r="R710">
        <v>4</v>
      </c>
      <c r="S710" t="s">
        <v>46</v>
      </c>
      <c r="T710" s="2">
        <v>5079</v>
      </c>
      <c r="U710" s="2">
        <v>25952</v>
      </c>
      <c r="V710">
        <v>4</v>
      </c>
      <c r="W710" t="s">
        <v>38</v>
      </c>
      <c r="X710">
        <v>13</v>
      </c>
      <c r="Y710">
        <v>3</v>
      </c>
      <c r="Z710">
        <v>4</v>
      </c>
      <c r="AA710">
        <v>80</v>
      </c>
      <c r="AB710">
        <v>2</v>
      </c>
      <c r="AC710">
        <v>12</v>
      </c>
      <c r="AD710">
        <v>3</v>
      </c>
      <c r="AE710">
        <v>3</v>
      </c>
      <c r="AF710">
        <v>7</v>
      </c>
      <c r="AG710">
        <v>7</v>
      </c>
      <c r="AH710">
        <v>0</v>
      </c>
      <c r="AI710">
        <v>7</v>
      </c>
    </row>
    <row r="711" spans="1:35" x14ac:dyDescent="0.25">
      <c r="A711">
        <v>31</v>
      </c>
      <c r="B711" t="str">
        <f t="shared" si="22"/>
        <v>25-34</v>
      </c>
      <c r="C711" s="1" t="s">
        <v>32</v>
      </c>
      <c r="D711" s="17">
        <f>IF(Table1[[#This Row],[Attrition]]="Yes",1,0)</f>
        <v>1</v>
      </c>
      <c r="E711" t="s">
        <v>49</v>
      </c>
      <c r="F711" s="2">
        <v>335</v>
      </c>
      <c r="G711" t="s">
        <v>39</v>
      </c>
      <c r="H711">
        <v>9</v>
      </c>
      <c r="I711">
        <v>2</v>
      </c>
      <c r="J711" t="str">
        <f t="shared" si="23"/>
        <v>College</v>
      </c>
      <c r="K711" t="s">
        <v>45</v>
      </c>
      <c r="L711">
        <v>3</v>
      </c>
      <c r="M711" t="s">
        <v>40</v>
      </c>
      <c r="N711" s="2">
        <v>46</v>
      </c>
      <c r="O711">
        <v>2</v>
      </c>
      <c r="P711">
        <v>1</v>
      </c>
      <c r="Q711" t="s">
        <v>41</v>
      </c>
      <c r="R711">
        <v>1</v>
      </c>
      <c r="S711" t="s">
        <v>37</v>
      </c>
      <c r="T711" s="2">
        <v>2321</v>
      </c>
      <c r="U711" s="2">
        <v>10322</v>
      </c>
      <c r="V711">
        <v>0</v>
      </c>
      <c r="W711" t="s">
        <v>32</v>
      </c>
      <c r="X711">
        <v>22</v>
      </c>
      <c r="Y711">
        <v>4</v>
      </c>
      <c r="Z711">
        <v>1</v>
      </c>
      <c r="AA711">
        <v>80</v>
      </c>
      <c r="AB711">
        <v>0</v>
      </c>
      <c r="AC711">
        <v>4</v>
      </c>
      <c r="AD711">
        <v>0</v>
      </c>
      <c r="AE711">
        <v>3</v>
      </c>
      <c r="AF711">
        <v>3</v>
      </c>
      <c r="AG711">
        <v>2</v>
      </c>
      <c r="AH711">
        <v>1</v>
      </c>
      <c r="AI711">
        <v>2</v>
      </c>
    </row>
    <row r="712" spans="1:35" x14ac:dyDescent="0.25">
      <c r="A712">
        <v>33</v>
      </c>
      <c r="B712" t="str">
        <f t="shared" si="22"/>
        <v>25-34</v>
      </c>
      <c r="C712" s="1" t="s">
        <v>38</v>
      </c>
      <c r="D712" s="17">
        <f>IF(Table1[[#This Row],[Attrition]]="Yes",1,0)</f>
        <v>0</v>
      </c>
      <c r="E712" t="s">
        <v>49</v>
      </c>
      <c r="F712" s="2">
        <v>722</v>
      </c>
      <c r="G712" t="s">
        <v>33</v>
      </c>
      <c r="H712">
        <v>17</v>
      </c>
      <c r="I712">
        <v>3</v>
      </c>
      <c r="J712" t="str">
        <f t="shared" si="23"/>
        <v>Bachelor</v>
      </c>
      <c r="K712" t="s">
        <v>34</v>
      </c>
      <c r="L712">
        <v>4</v>
      </c>
      <c r="M712" t="s">
        <v>40</v>
      </c>
      <c r="N712" s="2">
        <v>38</v>
      </c>
      <c r="O712">
        <v>3</v>
      </c>
      <c r="P712">
        <v>4</v>
      </c>
      <c r="Q712" t="s">
        <v>50</v>
      </c>
      <c r="R712">
        <v>3</v>
      </c>
      <c r="S712" t="s">
        <v>37</v>
      </c>
      <c r="T712" s="2">
        <v>17444</v>
      </c>
      <c r="U712" s="2">
        <v>20489</v>
      </c>
      <c r="V712">
        <v>1</v>
      </c>
      <c r="W712" t="s">
        <v>38</v>
      </c>
      <c r="X712">
        <v>11</v>
      </c>
      <c r="Y712">
        <v>3</v>
      </c>
      <c r="Z712">
        <v>4</v>
      </c>
      <c r="AA712">
        <v>80</v>
      </c>
      <c r="AB712">
        <v>0</v>
      </c>
      <c r="AC712">
        <v>10</v>
      </c>
      <c r="AD712">
        <v>2</v>
      </c>
      <c r="AE712">
        <v>3</v>
      </c>
      <c r="AF712">
        <v>10</v>
      </c>
      <c r="AG712">
        <v>8</v>
      </c>
      <c r="AH712">
        <v>6</v>
      </c>
      <c r="AI712">
        <v>0</v>
      </c>
    </row>
    <row r="713" spans="1:35" x14ac:dyDescent="0.25">
      <c r="A713">
        <v>29</v>
      </c>
      <c r="B713" t="str">
        <f t="shared" si="22"/>
        <v>25-34</v>
      </c>
      <c r="C713" s="1" t="s">
        <v>32</v>
      </c>
      <c r="D713" s="17">
        <f>IF(Table1[[#This Row],[Attrition]]="Yes",1,0)</f>
        <v>1</v>
      </c>
      <c r="E713" t="s">
        <v>57</v>
      </c>
      <c r="F713" s="2">
        <v>906</v>
      </c>
      <c r="G713" t="s">
        <v>39</v>
      </c>
      <c r="H713">
        <v>10</v>
      </c>
      <c r="I713">
        <v>3</v>
      </c>
      <c r="J713" t="str">
        <f t="shared" si="23"/>
        <v>Bachelor</v>
      </c>
      <c r="K713" t="s">
        <v>34</v>
      </c>
      <c r="L713">
        <v>4</v>
      </c>
      <c r="M713" t="s">
        <v>35</v>
      </c>
      <c r="N713" s="2">
        <v>92</v>
      </c>
      <c r="O713">
        <v>2</v>
      </c>
      <c r="P713">
        <v>1</v>
      </c>
      <c r="Q713" t="s">
        <v>41</v>
      </c>
      <c r="R713">
        <v>1</v>
      </c>
      <c r="S713" t="s">
        <v>37</v>
      </c>
      <c r="T713" s="2">
        <v>2404</v>
      </c>
      <c r="U713" s="2">
        <v>11479</v>
      </c>
      <c r="V713">
        <v>6</v>
      </c>
      <c r="W713" t="s">
        <v>32</v>
      </c>
      <c r="X713">
        <v>20</v>
      </c>
      <c r="Y713">
        <v>4</v>
      </c>
      <c r="Z713">
        <v>3</v>
      </c>
      <c r="AA713">
        <v>80</v>
      </c>
      <c r="AB713">
        <v>0</v>
      </c>
      <c r="AC713">
        <v>3</v>
      </c>
      <c r="AD713">
        <v>5</v>
      </c>
      <c r="AE713">
        <v>3</v>
      </c>
      <c r="AF713">
        <v>0</v>
      </c>
      <c r="AG713">
        <v>0</v>
      </c>
      <c r="AH713">
        <v>0</v>
      </c>
      <c r="AI713">
        <v>0</v>
      </c>
    </row>
    <row r="714" spans="1:35" x14ac:dyDescent="0.25">
      <c r="A714">
        <v>33</v>
      </c>
      <c r="B714" t="str">
        <f t="shared" si="22"/>
        <v>25-34</v>
      </c>
      <c r="C714" s="1" t="s">
        <v>38</v>
      </c>
      <c r="D714" s="17">
        <f>IF(Table1[[#This Row],[Attrition]]="Yes",1,0)</f>
        <v>0</v>
      </c>
      <c r="E714" t="s">
        <v>57</v>
      </c>
      <c r="F714" s="2">
        <v>461</v>
      </c>
      <c r="G714" t="s">
        <v>39</v>
      </c>
      <c r="H714">
        <v>13</v>
      </c>
      <c r="I714">
        <v>1</v>
      </c>
      <c r="J714" t="str">
        <f t="shared" si="23"/>
        <v>Below College</v>
      </c>
      <c r="K714" t="s">
        <v>34</v>
      </c>
      <c r="L714">
        <v>2</v>
      </c>
      <c r="M714" t="s">
        <v>35</v>
      </c>
      <c r="N714" s="2">
        <v>53</v>
      </c>
      <c r="O714">
        <v>3</v>
      </c>
      <c r="P714">
        <v>1</v>
      </c>
      <c r="Q714" t="s">
        <v>41</v>
      </c>
      <c r="R714">
        <v>4</v>
      </c>
      <c r="S714" t="s">
        <v>37</v>
      </c>
      <c r="T714" s="2">
        <v>3452</v>
      </c>
      <c r="U714" s="2">
        <v>17241</v>
      </c>
      <c r="V714">
        <v>3</v>
      </c>
      <c r="W714" t="s">
        <v>38</v>
      </c>
      <c r="X714">
        <v>18</v>
      </c>
      <c r="Y714">
        <v>3</v>
      </c>
      <c r="Z714">
        <v>1</v>
      </c>
      <c r="AA714">
        <v>80</v>
      </c>
      <c r="AB714">
        <v>0</v>
      </c>
      <c r="AC714">
        <v>5</v>
      </c>
      <c r="AD714">
        <v>4</v>
      </c>
      <c r="AE714">
        <v>3</v>
      </c>
      <c r="AF714">
        <v>3</v>
      </c>
      <c r="AG714">
        <v>2</v>
      </c>
      <c r="AH714">
        <v>0</v>
      </c>
      <c r="AI714">
        <v>2</v>
      </c>
    </row>
    <row r="715" spans="1:35" x14ac:dyDescent="0.25">
      <c r="A715">
        <v>45</v>
      </c>
      <c r="B715" t="str">
        <f t="shared" si="22"/>
        <v>45-54</v>
      </c>
      <c r="C715" s="1" t="s">
        <v>38</v>
      </c>
      <c r="D715" s="17">
        <f>IF(Table1[[#This Row],[Attrition]]="Yes",1,0)</f>
        <v>0</v>
      </c>
      <c r="E715" t="s">
        <v>57</v>
      </c>
      <c r="F715" s="2">
        <v>974</v>
      </c>
      <c r="G715" t="s">
        <v>39</v>
      </c>
      <c r="H715">
        <v>1</v>
      </c>
      <c r="I715">
        <v>4</v>
      </c>
      <c r="J715" t="str">
        <f t="shared" si="23"/>
        <v>Master</v>
      </c>
      <c r="K715" t="s">
        <v>45</v>
      </c>
      <c r="L715">
        <v>4</v>
      </c>
      <c r="M715" t="s">
        <v>35</v>
      </c>
      <c r="N715" s="2">
        <v>91</v>
      </c>
      <c r="O715">
        <v>3</v>
      </c>
      <c r="P715">
        <v>1</v>
      </c>
      <c r="Q715" t="s">
        <v>44</v>
      </c>
      <c r="R715">
        <v>4</v>
      </c>
      <c r="S715" t="s">
        <v>46</v>
      </c>
      <c r="T715" s="2">
        <v>2270</v>
      </c>
      <c r="U715" s="2">
        <v>11005</v>
      </c>
      <c r="V715">
        <v>3</v>
      </c>
      <c r="W715" t="s">
        <v>38</v>
      </c>
      <c r="X715">
        <v>14</v>
      </c>
      <c r="Y715">
        <v>3</v>
      </c>
      <c r="Z715">
        <v>4</v>
      </c>
      <c r="AA715">
        <v>80</v>
      </c>
      <c r="AB715">
        <v>2</v>
      </c>
      <c r="AC715">
        <v>8</v>
      </c>
      <c r="AD715">
        <v>2</v>
      </c>
      <c r="AE715">
        <v>3</v>
      </c>
      <c r="AF715">
        <v>5</v>
      </c>
      <c r="AG715">
        <v>3</v>
      </c>
      <c r="AH715">
        <v>0</v>
      </c>
      <c r="AI715">
        <v>2</v>
      </c>
    </row>
    <row r="716" spans="1:35" x14ac:dyDescent="0.25">
      <c r="A716">
        <v>50</v>
      </c>
      <c r="B716" t="str">
        <f t="shared" si="22"/>
        <v>45-54</v>
      </c>
      <c r="C716" s="1" t="s">
        <v>38</v>
      </c>
      <c r="D716" s="17">
        <f>IF(Table1[[#This Row],[Attrition]]="Yes",1,0)</f>
        <v>0</v>
      </c>
      <c r="E716" t="s">
        <v>57</v>
      </c>
      <c r="F716" s="2">
        <v>1126</v>
      </c>
      <c r="G716" t="s">
        <v>39</v>
      </c>
      <c r="H716">
        <v>1</v>
      </c>
      <c r="I716">
        <v>2</v>
      </c>
      <c r="J716" t="str">
        <f t="shared" si="23"/>
        <v>College</v>
      </c>
      <c r="K716" t="s">
        <v>45</v>
      </c>
      <c r="L716">
        <v>4</v>
      </c>
      <c r="M716" t="s">
        <v>40</v>
      </c>
      <c r="N716" s="2">
        <v>66</v>
      </c>
      <c r="O716">
        <v>3</v>
      </c>
      <c r="P716">
        <v>4</v>
      </c>
      <c r="Q716" t="s">
        <v>52</v>
      </c>
      <c r="R716">
        <v>4</v>
      </c>
      <c r="S716" t="s">
        <v>46</v>
      </c>
      <c r="T716" s="2">
        <v>17399</v>
      </c>
      <c r="U716" s="2">
        <v>6615</v>
      </c>
      <c r="V716">
        <v>9</v>
      </c>
      <c r="W716" t="s">
        <v>38</v>
      </c>
      <c r="X716">
        <v>22</v>
      </c>
      <c r="Y716">
        <v>4</v>
      </c>
      <c r="Z716">
        <v>3</v>
      </c>
      <c r="AA716">
        <v>80</v>
      </c>
      <c r="AB716">
        <v>1</v>
      </c>
      <c r="AC716">
        <v>32</v>
      </c>
      <c r="AD716">
        <v>1</v>
      </c>
      <c r="AE716">
        <v>2</v>
      </c>
      <c r="AF716">
        <v>5</v>
      </c>
      <c r="AG716">
        <v>4</v>
      </c>
      <c r="AH716">
        <v>1</v>
      </c>
      <c r="AI716">
        <v>3</v>
      </c>
    </row>
    <row r="717" spans="1:35" x14ac:dyDescent="0.25">
      <c r="A717">
        <v>33</v>
      </c>
      <c r="B717" t="str">
        <f t="shared" si="22"/>
        <v>25-34</v>
      </c>
      <c r="C717" s="1" t="s">
        <v>38</v>
      </c>
      <c r="D717" s="17">
        <f>IF(Table1[[#This Row],[Attrition]]="Yes",1,0)</f>
        <v>0</v>
      </c>
      <c r="E717" t="s">
        <v>58</v>
      </c>
      <c r="F717" s="2">
        <v>827</v>
      </c>
      <c r="G717" t="s">
        <v>39</v>
      </c>
      <c r="H717">
        <v>1</v>
      </c>
      <c r="I717">
        <v>4</v>
      </c>
      <c r="J717" t="str">
        <f t="shared" si="23"/>
        <v>Master</v>
      </c>
      <c r="K717" t="s">
        <v>43</v>
      </c>
      <c r="L717">
        <v>3</v>
      </c>
      <c r="M717" t="s">
        <v>35</v>
      </c>
      <c r="N717" s="2">
        <v>84</v>
      </c>
      <c r="O717">
        <v>4</v>
      </c>
      <c r="P717">
        <v>2</v>
      </c>
      <c r="Q717" t="s">
        <v>48</v>
      </c>
      <c r="R717">
        <v>2</v>
      </c>
      <c r="S717" t="s">
        <v>42</v>
      </c>
      <c r="T717" s="2">
        <v>5488</v>
      </c>
      <c r="U717" s="2">
        <v>20161</v>
      </c>
      <c r="V717">
        <v>1</v>
      </c>
      <c r="W717" t="s">
        <v>32</v>
      </c>
      <c r="X717">
        <v>13</v>
      </c>
      <c r="Y717">
        <v>3</v>
      </c>
      <c r="Z717">
        <v>1</v>
      </c>
      <c r="AA717">
        <v>80</v>
      </c>
      <c r="AB717">
        <v>1</v>
      </c>
      <c r="AC717">
        <v>6</v>
      </c>
      <c r="AD717">
        <v>2</v>
      </c>
      <c r="AE717">
        <v>3</v>
      </c>
      <c r="AF717">
        <v>6</v>
      </c>
      <c r="AG717">
        <v>5</v>
      </c>
      <c r="AH717">
        <v>1</v>
      </c>
      <c r="AI717">
        <v>2</v>
      </c>
    </row>
    <row r="718" spans="1:35" x14ac:dyDescent="0.25">
      <c r="A718">
        <v>41</v>
      </c>
      <c r="B718" t="str">
        <f t="shared" si="22"/>
        <v>35-44</v>
      </c>
      <c r="C718" s="1" t="s">
        <v>38</v>
      </c>
      <c r="D718" s="17">
        <f>IF(Table1[[#This Row],[Attrition]]="Yes",1,0)</f>
        <v>0</v>
      </c>
      <c r="E718" t="s">
        <v>58</v>
      </c>
      <c r="F718" s="2">
        <v>840</v>
      </c>
      <c r="G718" t="s">
        <v>39</v>
      </c>
      <c r="H718">
        <v>9</v>
      </c>
      <c r="I718">
        <v>3</v>
      </c>
      <c r="J718" t="str">
        <f t="shared" si="23"/>
        <v>Bachelor</v>
      </c>
      <c r="K718" t="s">
        <v>45</v>
      </c>
      <c r="L718">
        <v>1</v>
      </c>
      <c r="M718" t="s">
        <v>40</v>
      </c>
      <c r="N718" s="2">
        <v>64</v>
      </c>
      <c r="O718">
        <v>3</v>
      </c>
      <c r="P718">
        <v>5</v>
      </c>
      <c r="Q718" t="s">
        <v>52</v>
      </c>
      <c r="R718">
        <v>3</v>
      </c>
      <c r="S718" t="s">
        <v>46</v>
      </c>
      <c r="T718" s="2">
        <v>19419</v>
      </c>
      <c r="U718" s="2">
        <v>3735</v>
      </c>
      <c r="V718">
        <v>2</v>
      </c>
      <c r="W718" t="s">
        <v>38</v>
      </c>
      <c r="X718">
        <v>17</v>
      </c>
      <c r="Y718">
        <v>3</v>
      </c>
      <c r="Z718">
        <v>2</v>
      </c>
      <c r="AA718">
        <v>80</v>
      </c>
      <c r="AB718">
        <v>1</v>
      </c>
      <c r="AC718">
        <v>21</v>
      </c>
      <c r="AD718">
        <v>2</v>
      </c>
      <c r="AE718">
        <v>4</v>
      </c>
      <c r="AF718">
        <v>18</v>
      </c>
      <c r="AG718">
        <v>16</v>
      </c>
      <c r="AH718">
        <v>0</v>
      </c>
      <c r="AI718">
        <v>11</v>
      </c>
    </row>
    <row r="719" spans="1:35" x14ac:dyDescent="0.25">
      <c r="A719">
        <v>27</v>
      </c>
      <c r="B719" t="str">
        <f t="shared" si="22"/>
        <v>25-34</v>
      </c>
      <c r="C719" s="1" t="s">
        <v>38</v>
      </c>
      <c r="D719" s="17">
        <f>IF(Table1[[#This Row],[Attrition]]="Yes",1,0)</f>
        <v>0</v>
      </c>
      <c r="E719" t="s">
        <v>57</v>
      </c>
      <c r="F719" s="2">
        <v>1134</v>
      </c>
      <c r="G719" t="s">
        <v>39</v>
      </c>
      <c r="H719">
        <v>16</v>
      </c>
      <c r="I719">
        <v>4</v>
      </c>
      <c r="J719" t="str">
        <f t="shared" si="23"/>
        <v>Master</v>
      </c>
      <c r="K719" t="s">
        <v>54</v>
      </c>
      <c r="L719">
        <v>3</v>
      </c>
      <c r="M719" t="s">
        <v>35</v>
      </c>
      <c r="N719" s="2">
        <v>37</v>
      </c>
      <c r="O719">
        <v>3</v>
      </c>
      <c r="P719">
        <v>1</v>
      </c>
      <c r="Q719" t="s">
        <v>44</v>
      </c>
      <c r="R719">
        <v>2</v>
      </c>
      <c r="S719" t="s">
        <v>42</v>
      </c>
      <c r="T719" s="2">
        <v>2811</v>
      </c>
      <c r="U719" s="2">
        <v>12086</v>
      </c>
      <c r="V719">
        <v>9</v>
      </c>
      <c r="W719" t="s">
        <v>38</v>
      </c>
      <c r="X719">
        <v>14</v>
      </c>
      <c r="Y719">
        <v>3</v>
      </c>
      <c r="Z719">
        <v>2</v>
      </c>
      <c r="AA719">
        <v>80</v>
      </c>
      <c r="AB719">
        <v>1</v>
      </c>
      <c r="AC719">
        <v>4</v>
      </c>
      <c r="AD719">
        <v>2</v>
      </c>
      <c r="AE719">
        <v>3</v>
      </c>
      <c r="AF719">
        <v>2</v>
      </c>
      <c r="AG719">
        <v>2</v>
      </c>
      <c r="AH719">
        <v>2</v>
      </c>
      <c r="AI719">
        <v>2</v>
      </c>
    </row>
    <row r="720" spans="1:35" x14ac:dyDescent="0.25">
      <c r="A720">
        <v>45</v>
      </c>
      <c r="B720" t="str">
        <f t="shared" si="22"/>
        <v>45-54</v>
      </c>
      <c r="C720" s="1" t="s">
        <v>38</v>
      </c>
      <c r="D720" s="17">
        <f>IF(Table1[[#This Row],[Attrition]]="Yes",1,0)</f>
        <v>0</v>
      </c>
      <c r="E720" t="s">
        <v>49</v>
      </c>
      <c r="F720" s="2">
        <v>248</v>
      </c>
      <c r="G720" t="s">
        <v>39</v>
      </c>
      <c r="H720">
        <v>23</v>
      </c>
      <c r="I720">
        <v>2</v>
      </c>
      <c r="J720" t="str">
        <f t="shared" si="23"/>
        <v>College</v>
      </c>
      <c r="K720" t="s">
        <v>34</v>
      </c>
      <c r="L720">
        <v>4</v>
      </c>
      <c r="M720" t="s">
        <v>40</v>
      </c>
      <c r="N720" s="2">
        <v>42</v>
      </c>
      <c r="O720">
        <v>3</v>
      </c>
      <c r="P720">
        <v>2</v>
      </c>
      <c r="Q720" t="s">
        <v>44</v>
      </c>
      <c r="R720">
        <v>1</v>
      </c>
      <c r="S720" t="s">
        <v>42</v>
      </c>
      <c r="T720" s="2">
        <v>3633</v>
      </c>
      <c r="U720" s="2">
        <v>14039</v>
      </c>
      <c r="V720">
        <v>1</v>
      </c>
      <c r="W720" t="s">
        <v>32</v>
      </c>
      <c r="X720">
        <v>15</v>
      </c>
      <c r="Y720">
        <v>3</v>
      </c>
      <c r="Z720">
        <v>3</v>
      </c>
      <c r="AA720">
        <v>80</v>
      </c>
      <c r="AB720">
        <v>1</v>
      </c>
      <c r="AC720">
        <v>9</v>
      </c>
      <c r="AD720">
        <v>2</v>
      </c>
      <c r="AE720">
        <v>3</v>
      </c>
      <c r="AF720">
        <v>9</v>
      </c>
      <c r="AG720">
        <v>8</v>
      </c>
      <c r="AH720">
        <v>0</v>
      </c>
      <c r="AI720">
        <v>8</v>
      </c>
    </row>
    <row r="721" spans="1:35" x14ac:dyDescent="0.25">
      <c r="A721">
        <v>47</v>
      </c>
      <c r="B721" t="str">
        <f t="shared" si="22"/>
        <v>45-54</v>
      </c>
      <c r="C721" s="1" t="s">
        <v>38</v>
      </c>
      <c r="D721" s="17">
        <f>IF(Table1[[#This Row],[Attrition]]="Yes",1,0)</f>
        <v>0</v>
      </c>
      <c r="E721" t="s">
        <v>57</v>
      </c>
      <c r="F721" s="2">
        <v>955</v>
      </c>
      <c r="G721" t="s">
        <v>33</v>
      </c>
      <c r="H721">
        <v>4</v>
      </c>
      <c r="I721">
        <v>2</v>
      </c>
      <c r="J721" t="str">
        <f t="shared" si="23"/>
        <v>College</v>
      </c>
      <c r="K721" t="s">
        <v>34</v>
      </c>
      <c r="L721">
        <v>4</v>
      </c>
      <c r="M721" t="s">
        <v>35</v>
      </c>
      <c r="N721" s="2">
        <v>83</v>
      </c>
      <c r="O721">
        <v>3</v>
      </c>
      <c r="P721">
        <v>2</v>
      </c>
      <c r="Q721" t="s">
        <v>36</v>
      </c>
      <c r="R721">
        <v>4</v>
      </c>
      <c r="S721" t="s">
        <v>37</v>
      </c>
      <c r="T721" s="2">
        <v>4163</v>
      </c>
      <c r="U721" s="2">
        <v>8571</v>
      </c>
      <c r="V721">
        <v>1</v>
      </c>
      <c r="W721" t="s">
        <v>32</v>
      </c>
      <c r="X721">
        <v>17</v>
      </c>
      <c r="Y721">
        <v>3</v>
      </c>
      <c r="Z721">
        <v>3</v>
      </c>
      <c r="AA721">
        <v>80</v>
      </c>
      <c r="AB721">
        <v>0</v>
      </c>
      <c r="AC721">
        <v>9</v>
      </c>
      <c r="AD721">
        <v>0</v>
      </c>
      <c r="AE721">
        <v>3</v>
      </c>
      <c r="AF721">
        <v>9</v>
      </c>
      <c r="AG721">
        <v>0</v>
      </c>
      <c r="AH721">
        <v>0</v>
      </c>
      <c r="AI721">
        <v>7</v>
      </c>
    </row>
    <row r="722" spans="1:35" x14ac:dyDescent="0.25">
      <c r="A722">
        <v>30</v>
      </c>
      <c r="B722" t="str">
        <f t="shared" si="22"/>
        <v>25-34</v>
      </c>
      <c r="C722" s="1" t="s">
        <v>32</v>
      </c>
      <c r="D722" s="17">
        <f>IF(Table1[[#This Row],[Attrition]]="Yes",1,0)</f>
        <v>1</v>
      </c>
      <c r="E722" t="s">
        <v>57</v>
      </c>
      <c r="F722" s="2">
        <v>138</v>
      </c>
      <c r="G722" t="s">
        <v>39</v>
      </c>
      <c r="H722">
        <v>22</v>
      </c>
      <c r="I722">
        <v>3</v>
      </c>
      <c r="J722" t="str">
        <f t="shared" si="23"/>
        <v>Bachelor</v>
      </c>
      <c r="K722" t="s">
        <v>34</v>
      </c>
      <c r="L722">
        <v>1</v>
      </c>
      <c r="M722" t="s">
        <v>35</v>
      </c>
      <c r="N722" s="2">
        <v>48</v>
      </c>
      <c r="O722">
        <v>3</v>
      </c>
      <c r="P722">
        <v>1</v>
      </c>
      <c r="Q722" t="s">
        <v>41</v>
      </c>
      <c r="R722">
        <v>3</v>
      </c>
      <c r="S722" t="s">
        <v>42</v>
      </c>
      <c r="T722" s="2">
        <v>2132</v>
      </c>
      <c r="U722" s="2">
        <v>11539</v>
      </c>
      <c r="V722">
        <v>4</v>
      </c>
      <c r="W722" t="s">
        <v>32</v>
      </c>
      <c r="X722">
        <v>11</v>
      </c>
      <c r="Y722">
        <v>3</v>
      </c>
      <c r="Z722">
        <v>2</v>
      </c>
      <c r="AA722">
        <v>80</v>
      </c>
      <c r="AB722">
        <v>0</v>
      </c>
      <c r="AC722">
        <v>7</v>
      </c>
      <c r="AD722">
        <v>2</v>
      </c>
      <c r="AE722">
        <v>3</v>
      </c>
      <c r="AF722">
        <v>5</v>
      </c>
      <c r="AG722">
        <v>2</v>
      </c>
      <c r="AH722">
        <v>0</v>
      </c>
      <c r="AI722">
        <v>1</v>
      </c>
    </row>
    <row r="723" spans="1:35" x14ac:dyDescent="0.25">
      <c r="A723">
        <v>50</v>
      </c>
      <c r="B723" t="str">
        <f t="shared" si="22"/>
        <v>45-54</v>
      </c>
      <c r="C723" s="1" t="s">
        <v>38</v>
      </c>
      <c r="D723" s="17">
        <f>IF(Table1[[#This Row],[Attrition]]="Yes",1,0)</f>
        <v>0</v>
      </c>
      <c r="E723" t="s">
        <v>57</v>
      </c>
      <c r="F723" s="2">
        <v>939</v>
      </c>
      <c r="G723" t="s">
        <v>39</v>
      </c>
      <c r="H723">
        <v>24</v>
      </c>
      <c r="I723">
        <v>3</v>
      </c>
      <c r="J723" t="str">
        <f t="shared" si="23"/>
        <v>Bachelor</v>
      </c>
      <c r="K723" t="s">
        <v>34</v>
      </c>
      <c r="L723">
        <v>4</v>
      </c>
      <c r="M723" t="s">
        <v>40</v>
      </c>
      <c r="N723" s="2">
        <v>95</v>
      </c>
      <c r="O723">
        <v>3</v>
      </c>
      <c r="P723">
        <v>4</v>
      </c>
      <c r="Q723" t="s">
        <v>47</v>
      </c>
      <c r="R723">
        <v>3</v>
      </c>
      <c r="S723" t="s">
        <v>42</v>
      </c>
      <c r="T723" s="2">
        <v>13973</v>
      </c>
      <c r="U723" s="2">
        <v>4161</v>
      </c>
      <c r="V723">
        <v>3</v>
      </c>
      <c r="W723" t="s">
        <v>32</v>
      </c>
      <c r="X723">
        <v>18</v>
      </c>
      <c r="Y723">
        <v>3</v>
      </c>
      <c r="Z723">
        <v>4</v>
      </c>
      <c r="AA723">
        <v>80</v>
      </c>
      <c r="AB723">
        <v>1</v>
      </c>
      <c r="AC723">
        <v>22</v>
      </c>
      <c r="AD723">
        <v>2</v>
      </c>
      <c r="AE723">
        <v>3</v>
      </c>
      <c r="AF723">
        <v>12</v>
      </c>
      <c r="AG723">
        <v>11</v>
      </c>
      <c r="AH723">
        <v>1</v>
      </c>
      <c r="AI723">
        <v>5</v>
      </c>
    </row>
    <row r="724" spans="1:35" x14ac:dyDescent="0.25">
      <c r="A724">
        <v>38</v>
      </c>
      <c r="B724" t="str">
        <f t="shared" si="22"/>
        <v>35-44</v>
      </c>
      <c r="C724" s="1" t="s">
        <v>38</v>
      </c>
      <c r="D724" s="17">
        <f>IF(Table1[[#This Row],[Attrition]]="Yes",1,0)</f>
        <v>0</v>
      </c>
      <c r="E724" t="s">
        <v>58</v>
      </c>
      <c r="F724" s="2">
        <v>1391</v>
      </c>
      <c r="G724" t="s">
        <v>39</v>
      </c>
      <c r="H724">
        <v>10</v>
      </c>
      <c r="I724">
        <v>1</v>
      </c>
      <c r="J724" t="str">
        <f t="shared" si="23"/>
        <v>Below College</v>
      </c>
      <c r="K724" t="s">
        <v>45</v>
      </c>
      <c r="L724">
        <v>3</v>
      </c>
      <c r="M724" t="s">
        <v>40</v>
      </c>
      <c r="N724" s="2">
        <v>66</v>
      </c>
      <c r="O724">
        <v>3</v>
      </c>
      <c r="P724">
        <v>1</v>
      </c>
      <c r="Q724" t="s">
        <v>41</v>
      </c>
      <c r="R724">
        <v>3</v>
      </c>
      <c r="S724" t="s">
        <v>42</v>
      </c>
      <c r="T724" s="2">
        <v>2684</v>
      </c>
      <c r="U724" s="2">
        <v>12127</v>
      </c>
      <c r="V724">
        <v>0</v>
      </c>
      <c r="W724" t="s">
        <v>38</v>
      </c>
      <c r="X724">
        <v>17</v>
      </c>
      <c r="Y724">
        <v>3</v>
      </c>
      <c r="Z724">
        <v>2</v>
      </c>
      <c r="AA724">
        <v>80</v>
      </c>
      <c r="AB724">
        <v>1</v>
      </c>
      <c r="AC724">
        <v>3</v>
      </c>
      <c r="AD724">
        <v>0</v>
      </c>
      <c r="AE724">
        <v>2</v>
      </c>
      <c r="AF724">
        <v>2</v>
      </c>
      <c r="AG724">
        <v>1</v>
      </c>
      <c r="AH724">
        <v>0</v>
      </c>
      <c r="AI724">
        <v>2</v>
      </c>
    </row>
    <row r="725" spans="1:35" x14ac:dyDescent="0.25">
      <c r="A725">
        <v>46</v>
      </c>
      <c r="B725" t="str">
        <f t="shared" si="22"/>
        <v>45-54</v>
      </c>
      <c r="C725" s="1" t="s">
        <v>38</v>
      </c>
      <c r="D725" s="17">
        <f>IF(Table1[[#This Row],[Attrition]]="Yes",1,0)</f>
        <v>0</v>
      </c>
      <c r="E725" t="s">
        <v>57</v>
      </c>
      <c r="F725" s="2">
        <v>566</v>
      </c>
      <c r="G725" t="s">
        <v>39</v>
      </c>
      <c r="H725">
        <v>7</v>
      </c>
      <c r="I725">
        <v>2</v>
      </c>
      <c r="J725" t="str">
        <f t="shared" si="23"/>
        <v>College</v>
      </c>
      <c r="K725" t="s">
        <v>45</v>
      </c>
      <c r="L725">
        <v>4</v>
      </c>
      <c r="M725" t="s">
        <v>40</v>
      </c>
      <c r="N725" s="2">
        <v>75</v>
      </c>
      <c r="O725">
        <v>3</v>
      </c>
      <c r="P725">
        <v>3</v>
      </c>
      <c r="Q725" t="s">
        <v>47</v>
      </c>
      <c r="R725">
        <v>3</v>
      </c>
      <c r="S725" t="s">
        <v>46</v>
      </c>
      <c r="T725" s="2">
        <v>10845</v>
      </c>
      <c r="U725" s="2">
        <v>24208</v>
      </c>
      <c r="V725">
        <v>6</v>
      </c>
      <c r="W725" t="s">
        <v>38</v>
      </c>
      <c r="X725">
        <v>13</v>
      </c>
      <c r="Y725">
        <v>3</v>
      </c>
      <c r="Z725">
        <v>2</v>
      </c>
      <c r="AA725">
        <v>80</v>
      </c>
      <c r="AB725">
        <v>1</v>
      </c>
      <c r="AC725">
        <v>13</v>
      </c>
      <c r="AD725">
        <v>3</v>
      </c>
      <c r="AE725">
        <v>3</v>
      </c>
      <c r="AF725">
        <v>8</v>
      </c>
      <c r="AG725">
        <v>7</v>
      </c>
      <c r="AH725">
        <v>0</v>
      </c>
      <c r="AI725">
        <v>7</v>
      </c>
    </row>
    <row r="726" spans="1:35" x14ac:dyDescent="0.25">
      <c r="A726">
        <v>24</v>
      </c>
      <c r="B726" t="str">
        <f t="shared" si="22"/>
        <v>18-24</v>
      </c>
      <c r="C726" s="1" t="s">
        <v>38</v>
      </c>
      <c r="D726" s="17">
        <f>IF(Table1[[#This Row],[Attrition]]="Yes",1,0)</f>
        <v>0</v>
      </c>
      <c r="E726" t="s">
        <v>57</v>
      </c>
      <c r="F726" s="2">
        <v>1206</v>
      </c>
      <c r="G726" t="s">
        <v>39</v>
      </c>
      <c r="H726">
        <v>17</v>
      </c>
      <c r="I726">
        <v>1</v>
      </c>
      <c r="J726" t="str">
        <f t="shared" si="23"/>
        <v>Below College</v>
      </c>
      <c r="K726" t="s">
        <v>45</v>
      </c>
      <c r="L726">
        <v>4</v>
      </c>
      <c r="M726" t="s">
        <v>35</v>
      </c>
      <c r="N726" s="2">
        <v>41</v>
      </c>
      <c r="O726">
        <v>2</v>
      </c>
      <c r="P726">
        <v>2</v>
      </c>
      <c r="Q726" t="s">
        <v>47</v>
      </c>
      <c r="R726">
        <v>3</v>
      </c>
      <c r="S726" t="s">
        <v>46</v>
      </c>
      <c r="T726" s="2">
        <v>4377</v>
      </c>
      <c r="U726" s="2">
        <v>24117</v>
      </c>
      <c r="V726">
        <v>1</v>
      </c>
      <c r="W726" t="s">
        <v>38</v>
      </c>
      <c r="X726">
        <v>15</v>
      </c>
      <c r="Y726">
        <v>3</v>
      </c>
      <c r="Z726">
        <v>2</v>
      </c>
      <c r="AA726">
        <v>80</v>
      </c>
      <c r="AB726">
        <v>2</v>
      </c>
      <c r="AC726">
        <v>5</v>
      </c>
      <c r="AD726">
        <v>6</v>
      </c>
      <c r="AE726">
        <v>3</v>
      </c>
      <c r="AF726">
        <v>4</v>
      </c>
      <c r="AG726">
        <v>2</v>
      </c>
      <c r="AH726">
        <v>3</v>
      </c>
      <c r="AI726">
        <v>2</v>
      </c>
    </row>
    <row r="727" spans="1:35" x14ac:dyDescent="0.25">
      <c r="A727">
        <v>35</v>
      </c>
      <c r="B727" t="str">
        <f t="shared" si="22"/>
        <v>35-44</v>
      </c>
      <c r="C727" s="1" t="s">
        <v>32</v>
      </c>
      <c r="D727" s="17">
        <f>IF(Table1[[#This Row],[Attrition]]="Yes",1,0)</f>
        <v>1</v>
      </c>
      <c r="E727" t="s">
        <v>57</v>
      </c>
      <c r="F727" s="2">
        <v>622</v>
      </c>
      <c r="G727" t="s">
        <v>39</v>
      </c>
      <c r="H727">
        <v>14</v>
      </c>
      <c r="I727">
        <v>4</v>
      </c>
      <c r="J727" t="str">
        <f t="shared" si="23"/>
        <v>Master</v>
      </c>
      <c r="K727" t="s">
        <v>43</v>
      </c>
      <c r="L727">
        <v>3</v>
      </c>
      <c r="M727" t="s">
        <v>40</v>
      </c>
      <c r="N727" s="2">
        <v>39</v>
      </c>
      <c r="O727">
        <v>2</v>
      </c>
      <c r="P727">
        <v>1</v>
      </c>
      <c r="Q727" t="s">
        <v>44</v>
      </c>
      <c r="R727">
        <v>2</v>
      </c>
      <c r="S727" t="s">
        <v>46</v>
      </c>
      <c r="T727" s="2">
        <v>3743</v>
      </c>
      <c r="U727" s="2">
        <v>10074</v>
      </c>
      <c r="V727">
        <v>1</v>
      </c>
      <c r="W727" t="s">
        <v>32</v>
      </c>
      <c r="X727">
        <v>24</v>
      </c>
      <c r="Y727">
        <v>4</v>
      </c>
      <c r="Z727">
        <v>4</v>
      </c>
      <c r="AA727">
        <v>80</v>
      </c>
      <c r="AB727">
        <v>1</v>
      </c>
      <c r="AC727">
        <v>5</v>
      </c>
      <c r="AD727">
        <v>2</v>
      </c>
      <c r="AE727">
        <v>1</v>
      </c>
      <c r="AF727">
        <v>4</v>
      </c>
      <c r="AG727">
        <v>2</v>
      </c>
      <c r="AH727">
        <v>0</v>
      </c>
      <c r="AI727">
        <v>2</v>
      </c>
    </row>
    <row r="728" spans="1:35" x14ac:dyDescent="0.25">
      <c r="A728">
        <v>31</v>
      </c>
      <c r="B728" t="str">
        <f t="shared" si="22"/>
        <v>25-34</v>
      </c>
      <c r="C728" s="1" t="s">
        <v>38</v>
      </c>
      <c r="D728" s="17">
        <f>IF(Table1[[#This Row],[Attrition]]="Yes",1,0)</f>
        <v>0</v>
      </c>
      <c r="E728" t="s">
        <v>58</v>
      </c>
      <c r="F728" s="2">
        <v>853</v>
      </c>
      <c r="G728" t="s">
        <v>39</v>
      </c>
      <c r="H728">
        <v>1</v>
      </c>
      <c r="I728">
        <v>1</v>
      </c>
      <c r="J728" t="str">
        <f t="shared" si="23"/>
        <v>Below College</v>
      </c>
      <c r="K728" t="s">
        <v>34</v>
      </c>
      <c r="L728">
        <v>3</v>
      </c>
      <c r="M728" t="s">
        <v>35</v>
      </c>
      <c r="N728" s="2">
        <v>96</v>
      </c>
      <c r="O728">
        <v>3</v>
      </c>
      <c r="P728">
        <v>2</v>
      </c>
      <c r="Q728" t="s">
        <v>47</v>
      </c>
      <c r="R728">
        <v>1</v>
      </c>
      <c r="S728" t="s">
        <v>42</v>
      </c>
      <c r="T728" s="2">
        <v>4148</v>
      </c>
      <c r="U728" s="2">
        <v>11275</v>
      </c>
      <c r="V728">
        <v>1</v>
      </c>
      <c r="W728" t="s">
        <v>38</v>
      </c>
      <c r="X728">
        <v>12</v>
      </c>
      <c r="Y728">
        <v>3</v>
      </c>
      <c r="Z728">
        <v>3</v>
      </c>
      <c r="AA728">
        <v>80</v>
      </c>
      <c r="AB728">
        <v>1</v>
      </c>
      <c r="AC728">
        <v>4</v>
      </c>
      <c r="AD728">
        <v>1</v>
      </c>
      <c r="AE728">
        <v>3</v>
      </c>
      <c r="AF728">
        <v>4</v>
      </c>
      <c r="AG728">
        <v>3</v>
      </c>
      <c r="AH728">
        <v>0</v>
      </c>
      <c r="AI728">
        <v>3</v>
      </c>
    </row>
    <row r="729" spans="1:35" x14ac:dyDescent="0.25">
      <c r="A729">
        <v>18</v>
      </c>
      <c r="B729" t="str">
        <f t="shared" si="22"/>
        <v>18-24</v>
      </c>
      <c r="C729" s="1" t="s">
        <v>38</v>
      </c>
      <c r="D729" s="17">
        <f>IF(Table1[[#This Row],[Attrition]]="Yes",1,0)</f>
        <v>0</v>
      </c>
      <c r="E729" t="s">
        <v>49</v>
      </c>
      <c r="F729" s="2">
        <v>287</v>
      </c>
      <c r="G729" t="s">
        <v>39</v>
      </c>
      <c r="H729">
        <v>5</v>
      </c>
      <c r="I729">
        <v>2</v>
      </c>
      <c r="J729" t="str">
        <f t="shared" si="23"/>
        <v>College</v>
      </c>
      <c r="K729" t="s">
        <v>34</v>
      </c>
      <c r="L729">
        <v>2</v>
      </c>
      <c r="M729" t="s">
        <v>40</v>
      </c>
      <c r="N729" s="2">
        <v>73</v>
      </c>
      <c r="O729">
        <v>3</v>
      </c>
      <c r="P729">
        <v>1</v>
      </c>
      <c r="Q729" t="s">
        <v>41</v>
      </c>
      <c r="R729">
        <v>4</v>
      </c>
      <c r="S729" t="s">
        <v>37</v>
      </c>
      <c r="T729" s="2">
        <v>1051</v>
      </c>
      <c r="U729" s="2">
        <v>13493</v>
      </c>
      <c r="V729">
        <v>1</v>
      </c>
      <c r="W729" t="s">
        <v>38</v>
      </c>
      <c r="X729">
        <v>15</v>
      </c>
      <c r="Y729">
        <v>3</v>
      </c>
      <c r="Z729">
        <v>4</v>
      </c>
      <c r="AA729">
        <v>80</v>
      </c>
      <c r="AB729">
        <v>0</v>
      </c>
      <c r="AC729">
        <v>0</v>
      </c>
      <c r="AD729">
        <v>2</v>
      </c>
      <c r="AE729">
        <v>3</v>
      </c>
      <c r="AF729">
        <v>0</v>
      </c>
      <c r="AG729">
        <v>0</v>
      </c>
      <c r="AH729">
        <v>0</v>
      </c>
      <c r="AI729">
        <v>0</v>
      </c>
    </row>
    <row r="730" spans="1:35" x14ac:dyDescent="0.25">
      <c r="A730">
        <v>54</v>
      </c>
      <c r="B730" t="str">
        <f t="shared" si="22"/>
        <v>45-54</v>
      </c>
      <c r="C730" s="1" t="s">
        <v>38</v>
      </c>
      <c r="D730" s="17">
        <f>IF(Table1[[#This Row],[Attrition]]="Yes",1,0)</f>
        <v>0</v>
      </c>
      <c r="E730" t="s">
        <v>57</v>
      </c>
      <c r="F730" s="2">
        <v>1441</v>
      </c>
      <c r="G730" t="s">
        <v>39</v>
      </c>
      <c r="H730">
        <v>17</v>
      </c>
      <c r="I730">
        <v>3</v>
      </c>
      <c r="J730" t="str">
        <f t="shared" si="23"/>
        <v>Bachelor</v>
      </c>
      <c r="K730" t="s">
        <v>54</v>
      </c>
      <c r="L730">
        <v>3</v>
      </c>
      <c r="M730" t="s">
        <v>35</v>
      </c>
      <c r="N730" s="2">
        <v>56</v>
      </c>
      <c r="O730">
        <v>3</v>
      </c>
      <c r="P730">
        <v>3</v>
      </c>
      <c r="Q730" t="s">
        <v>47</v>
      </c>
      <c r="R730">
        <v>3</v>
      </c>
      <c r="S730" t="s">
        <v>42</v>
      </c>
      <c r="T730" s="2">
        <v>10739</v>
      </c>
      <c r="U730" s="2">
        <v>13943</v>
      </c>
      <c r="V730">
        <v>8</v>
      </c>
      <c r="W730" t="s">
        <v>38</v>
      </c>
      <c r="X730">
        <v>11</v>
      </c>
      <c r="Y730">
        <v>3</v>
      </c>
      <c r="Z730">
        <v>3</v>
      </c>
      <c r="AA730">
        <v>80</v>
      </c>
      <c r="AB730">
        <v>1</v>
      </c>
      <c r="AC730">
        <v>22</v>
      </c>
      <c r="AD730">
        <v>2</v>
      </c>
      <c r="AE730">
        <v>3</v>
      </c>
      <c r="AF730">
        <v>10</v>
      </c>
      <c r="AG730">
        <v>7</v>
      </c>
      <c r="AH730">
        <v>0</v>
      </c>
      <c r="AI730">
        <v>8</v>
      </c>
    </row>
    <row r="731" spans="1:35" x14ac:dyDescent="0.25">
      <c r="A731">
        <v>35</v>
      </c>
      <c r="B731" t="str">
        <f t="shared" si="22"/>
        <v>35-44</v>
      </c>
      <c r="C731" s="1" t="s">
        <v>38</v>
      </c>
      <c r="D731" s="17">
        <f>IF(Table1[[#This Row],[Attrition]]="Yes",1,0)</f>
        <v>0</v>
      </c>
      <c r="E731" t="s">
        <v>57</v>
      </c>
      <c r="F731" s="2">
        <v>583</v>
      </c>
      <c r="G731" t="s">
        <v>39</v>
      </c>
      <c r="H731">
        <v>25</v>
      </c>
      <c r="I731">
        <v>4</v>
      </c>
      <c r="J731" t="str">
        <f t="shared" si="23"/>
        <v>Master</v>
      </c>
      <c r="K731" t="s">
        <v>45</v>
      </c>
      <c r="L731">
        <v>3</v>
      </c>
      <c r="M731" t="s">
        <v>35</v>
      </c>
      <c r="N731" s="2">
        <v>57</v>
      </c>
      <c r="O731">
        <v>3</v>
      </c>
      <c r="P731">
        <v>3</v>
      </c>
      <c r="Q731" t="s">
        <v>48</v>
      </c>
      <c r="R731">
        <v>3</v>
      </c>
      <c r="S731" t="s">
        <v>46</v>
      </c>
      <c r="T731" s="2">
        <v>10388</v>
      </c>
      <c r="U731" s="2">
        <v>6975</v>
      </c>
      <c r="V731">
        <v>1</v>
      </c>
      <c r="W731" t="s">
        <v>32</v>
      </c>
      <c r="X731">
        <v>11</v>
      </c>
      <c r="Y731">
        <v>3</v>
      </c>
      <c r="Z731">
        <v>3</v>
      </c>
      <c r="AA731">
        <v>80</v>
      </c>
      <c r="AB731">
        <v>1</v>
      </c>
      <c r="AC731">
        <v>16</v>
      </c>
      <c r="AD731">
        <v>3</v>
      </c>
      <c r="AE731">
        <v>2</v>
      </c>
      <c r="AF731">
        <v>16</v>
      </c>
      <c r="AG731">
        <v>10</v>
      </c>
      <c r="AH731">
        <v>10</v>
      </c>
      <c r="AI731">
        <v>1</v>
      </c>
    </row>
    <row r="732" spans="1:35" x14ac:dyDescent="0.25">
      <c r="A732">
        <v>30</v>
      </c>
      <c r="B732" t="str">
        <f t="shared" si="22"/>
        <v>25-34</v>
      </c>
      <c r="C732" s="1" t="s">
        <v>38</v>
      </c>
      <c r="D732" s="17">
        <f>IF(Table1[[#This Row],[Attrition]]="Yes",1,0)</f>
        <v>0</v>
      </c>
      <c r="E732" t="s">
        <v>57</v>
      </c>
      <c r="F732" s="2">
        <v>153</v>
      </c>
      <c r="G732" t="s">
        <v>39</v>
      </c>
      <c r="H732">
        <v>8</v>
      </c>
      <c r="I732">
        <v>2</v>
      </c>
      <c r="J732" t="str">
        <f t="shared" si="23"/>
        <v>College</v>
      </c>
      <c r="K732" t="s">
        <v>34</v>
      </c>
      <c r="L732">
        <v>2</v>
      </c>
      <c r="M732" t="s">
        <v>35</v>
      </c>
      <c r="N732" s="2">
        <v>73</v>
      </c>
      <c r="O732">
        <v>4</v>
      </c>
      <c r="P732">
        <v>3</v>
      </c>
      <c r="Q732" t="s">
        <v>52</v>
      </c>
      <c r="R732">
        <v>1</v>
      </c>
      <c r="S732" t="s">
        <v>42</v>
      </c>
      <c r="T732" s="2">
        <v>11416</v>
      </c>
      <c r="U732" s="2">
        <v>17802</v>
      </c>
      <c r="V732">
        <v>0</v>
      </c>
      <c r="W732" t="s">
        <v>32</v>
      </c>
      <c r="X732">
        <v>12</v>
      </c>
      <c r="Y732">
        <v>3</v>
      </c>
      <c r="Z732">
        <v>3</v>
      </c>
      <c r="AA732">
        <v>80</v>
      </c>
      <c r="AB732">
        <v>3</v>
      </c>
      <c r="AC732">
        <v>9</v>
      </c>
      <c r="AD732">
        <v>4</v>
      </c>
      <c r="AE732">
        <v>2</v>
      </c>
      <c r="AF732">
        <v>8</v>
      </c>
      <c r="AG732">
        <v>7</v>
      </c>
      <c r="AH732">
        <v>1</v>
      </c>
      <c r="AI732">
        <v>7</v>
      </c>
    </row>
    <row r="733" spans="1:35" x14ac:dyDescent="0.25">
      <c r="A733">
        <v>20</v>
      </c>
      <c r="B733" t="str">
        <f t="shared" si="22"/>
        <v>18-24</v>
      </c>
      <c r="C733" s="1" t="s">
        <v>32</v>
      </c>
      <c r="D733" s="17">
        <f>IF(Table1[[#This Row],[Attrition]]="Yes",1,0)</f>
        <v>1</v>
      </c>
      <c r="E733" t="s">
        <v>57</v>
      </c>
      <c r="F733" s="2">
        <v>1097</v>
      </c>
      <c r="G733" t="s">
        <v>39</v>
      </c>
      <c r="H733">
        <v>11</v>
      </c>
      <c r="I733">
        <v>3</v>
      </c>
      <c r="J733" t="str">
        <f t="shared" si="23"/>
        <v>Bachelor</v>
      </c>
      <c r="K733" t="s">
        <v>45</v>
      </c>
      <c r="L733">
        <v>4</v>
      </c>
      <c r="M733" t="s">
        <v>35</v>
      </c>
      <c r="N733" s="2">
        <v>98</v>
      </c>
      <c r="O733">
        <v>2</v>
      </c>
      <c r="P733">
        <v>1</v>
      </c>
      <c r="Q733" t="s">
        <v>41</v>
      </c>
      <c r="R733">
        <v>1</v>
      </c>
      <c r="S733" t="s">
        <v>37</v>
      </c>
      <c r="T733" s="2">
        <v>2600</v>
      </c>
      <c r="U733" s="2">
        <v>18275</v>
      </c>
      <c r="V733">
        <v>1</v>
      </c>
      <c r="W733" t="s">
        <v>32</v>
      </c>
      <c r="X733">
        <v>15</v>
      </c>
      <c r="Y733">
        <v>3</v>
      </c>
      <c r="Z733">
        <v>1</v>
      </c>
      <c r="AA733">
        <v>80</v>
      </c>
      <c r="AB733">
        <v>0</v>
      </c>
      <c r="AC733">
        <v>1</v>
      </c>
      <c r="AD733">
        <v>2</v>
      </c>
      <c r="AE733">
        <v>3</v>
      </c>
      <c r="AF733">
        <v>1</v>
      </c>
      <c r="AG733">
        <v>0</v>
      </c>
      <c r="AH733">
        <v>0</v>
      </c>
      <c r="AI733">
        <v>0</v>
      </c>
    </row>
    <row r="734" spans="1:35" x14ac:dyDescent="0.25">
      <c r="A734">
        <v>30</v>
      </c>
      <c r="B734" t="str">
        <f t="shared" si="22"/>
        <v>25-34</v>
      </c>
      <c r="C734" s="1" t="s">
        <v>32</v>
      </c>
      <c r="D734" s="17">
        <f>IF(Table1[[#This Row],[Attrition]]="Yes",1,0)</f>
        <v>1</v>
      </c>
      <c r="E734" t="s">
        <v>58</v>
      </c>
      <c r="F734" s="2">
        <v>109</v>
      </c>
      <c r="G734" t="s">
        <v>39</v>
      </c>
      <c r="H734">
        <v>5</v>
      </c>
      <c r="I734">
        <v>3</v>
      </c>
      <c r="J734" t="str">
        <f t="shared" si="23"/>
        <v>Bachelor</v>
      </c>
      <c r="K734" t="s">
        <v>45</v>
      </c>
      <c r="L734">
        <v>2</v>
      </c>
      <c r="M734" t="s">
        <v>35</v>
      </c>
      <c r="N734" s="2">
        <v>60</v>
      </c>
      <c r="O734">
        <v>3</v>
      </c>
      <c r="P734">
        <v>1</v>
      </c>
      <c r="Q734" t="s">
        <v>44</v>
      </c>
      <c r="R734">
        <v>2</v>
      </c>
      <c r="S734" t="s">
        <v>37</v>
      </c>
      <c r="T734" s="2">
        <v>2422</v>
      </c>
      <c r="U734" s="2">
        <v>25725</v>
      </c>
      <c r="V734">
        <v>0</v>
      </c>
      <c r="W734" t="s">
        <v>38</v>
      </c>
      <c r="X734">
        <v>17</v>
      </c>
      <c r="Y734">
        <v>3</v>
      </c>
      <c r="Z734">
        <v>1</v>
      </c>
      <c r="AA734">
        <v>80</v>
      </c>
      <c r="AB734">
        <v>0</v>
      </c>
      <c r="AC734">
        <v>4</v>
      </c>
      <c r="AD734">
        <v>3</v>
      </c>
      <c r="AE734">
        <v>3</v>
      </c>
      <c r="AF734">
        <v>3</v>
      </c>
      <c r="AG734">
        <v>2</v>
      </c>
      <c r="AH734">
        <v>1</v>
      </c>
      <c r="AI734">
        <v>2</v>
      </c>
    </row>
    <row r="735" spans="1:35" x14ac:dyDescent="0.25">
      <c r="A735">
        <v>26</v>
      </c>
      <c r="B735" t="str">
        <f t="shared" si="22"/>
        <v>25-34</v>
      </c>
      <c r="C735" s="1" t="s">
        <v>38</v>
      </c>
      <c r="D735" s="17">
        <f>IF(Table1[[#This Row],[Attrition]]="Yes",1,0)</f>
        <v>0</v>
      </c>
      <c r="E735" t="s">
        <v>57</v>
      </c>
      <c r="F735" s="2">
        <v>1066</v>
      </c>
      <c r="G735" t="s">
        <v>39</v>
      </c>
      <c r="H735">
        <v>2</v>
      </c>
      <c r="I735">
        <v>2</v>
      </c>
      <c r="J735" t="str">
        <f t="shared" si="23"/>
        <v>College</v>
      </c>
      <c r="K735" t="s">
        <v>45</v>
      </c>
      <c r="L735">
        <v>4</v>
      </c>
      <c r="M735" t="s">
        <v>40</v>
      </c>
      <c r="N735" s="2">
        <v>32</v>
      </c>
      <c r="O735">
        <v>4</v>
      </c>
      <c r="P735">
        <v>2</v>
      </c>
      <c r="Q735" t="s">
        <v>47</v>
      </c>
      <c r="R735">
        <v>4</v>
      </c>
      <c r="S735" t="s">
        <v>42</v>
      </c>
      <c r="T735" s="2">
        <v>5472</v>
      </c>
      <c r="U735" s="2">
        <v>3334</v>
      </c>
      <c r="V735">
        <v>1</v>
      </c>
      <c r="W735" t="s">
        <v>38</v>
      </c>
      <c r="X735">
        <v>12</v>
      </c>
      <c r="Y735">
        <v>3</v>
      </c>
      <c r="Z735">
        <v>2</v>
      </c>
      <c r="AA735">
        <v>80</v>
      </c>
      <c r="AB735">
        <v>0</v>
      </c>
      <c r="AC735">
        <v>8</v>
      </c>
      <c r="AD735">
        <v>2</v>
      </c>
      <c r="AE735">
        <v>3</v>
      </c>
      <c r="AF735">
        <v>8</v>
      </c>
      <c r="AG735">
        <v>7</v>
      </c>
      <c r="AH735">
        <v>1</v>
      </c>
      <c r="AI735">
        <v>3</v>
      </c>
    </row>
    <row r="736" spans="1:35" x14ac:dyDescent="0.25">
      <c r="A736">
        <v>22</v>
      </c>
      <c r="B736" t="str">
        <f t="shared" si="22"/>
        <v>18-24</v>
      </c>
      <c r="C736" s="1" t="s">
        <v>38</v>
      </c>
      <c r="D736" s="17">
        <f>IF(Table1[[#This Row],[Attrition]]="Yes",1,0)</f>
        <v>0</v>
      </c>
      <c r="E736" t="s">
        <v>57</v>
      </c>
      <c r="F736" s="2">
        <v>217</v>
      </c>
      <c r="G736" t="s">
        <v>39</v>
      </c>
      <c r="H736">
        <v>8</v>
      </c>
      <c r="I736">
        <v>1</v>
      </c>
      <c r="J736" t="str">
        <f t="shared" si="23"/>
        <v>Below College</v>
      </c>
      <c r="K736" t="s">
        <v>34</v>
      </c>
      <c r="L736">
        <v>2</v>
      </c>
      <c r="M736" t="s">
        <v>40</v>
      </c>
      <c r="N736" s="2">
        <v>94</v>
      </c>
      <c r="O736">
        <v>1</v>
      </c>
      <c r="P736">
        <v>1</v>
      </c>
      <c r="Q736" t="s">
        <v>44</v>
      </c>
      <c r="R736">
        <v>1</v>
      </c>
      <c r="S736" t="s">
        <v>42</v>
      </c>
      <c r="T736" s="2">
        <v>2451</v>
      </c>
      <c r="U736" s="2">
        <v>6881</v>
      </c>
      <c r="V736">
        <v>1</v>
      </c>
      <c r="W736" t="s">
        <v>38</v>
      </c>
      <c r="X736">
        <v>15</v>
      </c>
      <c r="Y736">
        <v>3</v>
      </c>
      <c r="Z736">
        <v>1</v>
      </c>
      <c r="AA736">
        <v>80</v>
      </c>
      <c r="AB736">
        <v>1</v>
      </c>
      <c r="AC736">
        <v>4</v>
      </c>
      <c r="AD736">
        <v>3</v>
      </c>
      <c r="AE736">
        <v>2</v>
      </c>
      <c r="AF736">
        <v>4</v>
      </c>
      <c r="AG736">
        <v>3</v>
      </c>
      <c r="AH736">
        <v>1</v>
      </c>
      <c r="AI736">
        <v>1</v>
      </c>
    </row>
    <row r="737" spans="1:35" x14ac:dyDescent="0.25">
      <c r="A737">
        <v>48</v>
      </c>
      <c r="B737" t="str">
        <f t="shared" si="22"/>
        <v>45-54</v>
      </c>
      <c r="C737" s="1" t="s">
        <v>38</v>
      </c>
      <c r="D737" s="17">
        <f>IF(Table1[[#This Row],[Attrition]]="Yes",1,0)</f>
        <v>0</v>
      </c>
      <c r="E737" t="s">
        <v>57</v>
      </c>
      <c r="F737" s="2">
        <v>277</v>
      </c>
      <c r="G737" t="s">
        <v>39</v>
      </c>
      <c r="H737">
        <v>6</v>
      </c>
      <c r="I737">
        <v>3</v>
      </c>
      <c r="J737" t="str">
        <f t="shared" si="23"/>
        <v>Bachelor</v>
      </c>
      <c r="K737" t="s">
        <v>34</v>
      </c>
      <c r="L737">
        <v>1</v>
      </c>
      <c r="M737" t="s">
        <v>40</v>
      </c>
      <c r="N737" s="2">
        <v>97</v>
      </c>
      <c r="O737">
        <v>2</v>
      </c>
      <c r="P737">
        <v>2</v>
      </c>
      <c r="Q737" t="s">
        <v>48</v>
      </c>
      <c r="R737">
        <v>3</v>
      </c>
      <c r="S737" t="s">
        <v>37</v>
      </c>
      <c r="T737" s="2">
        <v>4240</v>
      </c>
      <c r="U737" s="2">
        <v>13119</v>
      </c>
      <c r="V737">
        <v>2</v>
      </c>
      <c r="W737" t="s">
        <v>38</v>
      </c>
      <c r="X737">
        <v>13</v>
      </c>
      <c r="Y737">
        <v>3</v>
      </c>
      <c r="Z737">
        <v>4</v>
      </c>
      <c r="AA737">
        <v>80</v>
      </c>
      <c r="AB737">
        <v>0</v>
      </c>
      <c r="AC737">
        <v>19</v>
      </c>
      <c r="AD737">
        <v>0</v>
      </c>
      <c r="AE737">
        <v>3</v>
      </c>
      <c r="AF737">
        <v>2</v>
      </c>
      <c r="AG737">
        <v>2</v>
      </c>
      <c r="AH737">
        <v>2</v>
      </c>
      <c r="AI737">
        <v>2</v>
      </c>
    </row>
    <row r="738" spans="1:35" x14ac:dyDescent="0.25">
      <c r="A738">
        <v>48</v>
      </c>
      <c r="B738" t="str">
        <f t="shared" si="22"/>
        <v>45-54</v>
      </c>
      <c r="C738" s="1" t="s">
        <v>38</v>
      </c>
      <c r="D738" s="17">
        <f>IF(Table1[[#This Row],[Attrition]]="Yes",1,0)</f>
        <v>0</v>
      </c>
      <c r="E738" t="s">
        <v>57</v>
      </c>
      <c r="F738" s="2">
        <v>1355</v>
      </c>
      <c r="G738" t="s">
        <v>39</v>
      </c>
      <c r="H738">
        <v>4</v>
      </c>
      <c r="I738">
        <v>4</v>
      </c>
      <c r="J738" t="str">
        <f t="shared" si="23"/>
        <v>Master</v>
      </c>
      <c r="K738" t="s">
        <v>34</v>
      </c>
      <c r="L738">
        <v>3</v>
      </c>
      <c r="M738" t="s">
        <v>40</v>
      </c>
      <c r="N738" s="2">
        <v>78</v>
      </c>
      <c r="O738">
        <v>2</v>
      </c>
      <c r="P738">
        <v>3</v>
      </c>
      <c r="Q738" t="s">
        <v>48</v>
      </c>
      <c r="R738">
        <v>3</v>
      </c>
      <c r="S738" t="s">
        <v>37</v>
      </c>
      <c r="T738" s="2">
        <v>10999</v>
      </c>
      <c r="U738" s="2">
        <v>22245</v>
      </c>
      <c r="V738">
        <v>7</v>
      </c>
      <c r="W738" t="s">
        <v>38</v>
      </c>
      <c r="X738">
        <v>14</v>
      </c>
      <c r="Y738">
        <v>3</v>
      </c>
      <c r="Z738">
        <v>2</v>
      </c>
      <c r="AA738">
        <v>80</v>
      </c>
      <c r="AB738">
        <v>0</v>
      </c>
      <c r="AC738">
        <v>27</v>
      </c>
      <c r="AD738">
        <v>3</v>
      </c>
      <c r="AE738">
        <v>3</v>
      </c>
      <c r="AF738">
        <v>15</v>
      </c>
      <c r="AG738">
        <v>11</v>
      </c>
      <c r="AH738">
        <v>4</v>
      </c>
      <c r="AI738">
        <v>8</v>
      </c>
    </row>
    <row r="739" spans="1:35" x14ac:dyDescent="0.25">
      <c r="A739">
        <v>41</v>
      </c>
      <c r="B739" t="str">
        <f t="shared" si="22"/>
        <v>35-44</v>
      </c>
      <c r="C739" s="1" t="s">
        <v>38</v>
      </c>
      <c r="D739" s="17">
        <f>IF(Table1[[#This Row],[Attrition]]="Yes",1,0)</f>
        <v>0</v>
      </c>
      <c r="E739" t="s">
        <v>57</v>
      </c>
      <c r="F739" s="2">
        <v>549</v>
      </c>
      <c r="G739" t="s">
        <v>39</v>
      </c>
      <c r="H739">
        <v>7</v>
      </c>
      <c r="I739">
        <v>2</v>
      </c>
      <c r="J739" t="str">
        <f t="shared" si="23"/>
        <v>College</v>
      </c>
      <c r="K739" t="s">
        <v>45</v>
      </c>
      <c r="L739">
        <v>4</v>
      </c>
      <c r="M739" t="s">
        <v>35</v>
      </c>
      <c r="N739" s="2">
        <v>42</v>
      </c>
      <c r="O739">
        <v>3</v>
      </c>
      <c r="P739">
        <v>2</v>
      </c>
      <c r="Q739" t="s">
        <v>47</v>
      </c>
      <c r="R739">
        <v>3</v>
      </c>
      <c r="S739" t="s">
        <v>37</v>
      </c>
      <c r="T739" s="2">
        <v>5003</v>
      </c>
      <c r="U739" s="2">
        <v>23371</v>
      </c>
      <c r="V739">
        <v>6</v>
      </c>
      <c r="W739" t="s">
        <v>38</v>
      </c>
      <c r="X739">
        <v>14</v>
      </c>
      <c r="Y739">
        <v>3</v>
      </c>
      <c r="Z739">
        <v>2</v>
      </c>
      <c r="AA739">
        <v>80</v>
      </c>
      <c r="AB739">
        <v>0</v>
      </c>
      <c r="AC739">
        <v>8</v>
      </c>
      <c r="AD739">
        <v>6</v>
      </c>
      <c r="AE739">
        <v>3</v>
      </c>
      <c r="AF739">
        <v>2</v>
      </c>
      <c r="AG739">
        <v>2</v>
      </c>
      <c r="AH739">
        <v>2</v>
      </c>
      <c r="AI739">
        <v>1</v>
      </c>
    </row>
    <row r="740" spans="1:35" x14ac:dyDescent="0.25">
      <c r="A740">
        <v>39</v>
      </c>
      <c r="B740" t="str">
        <f t="shared" si="22"/>
        <v>35-44</v>
      </c>
      <c r="C740" s="1" t="s">
        <v>38</v>
      </c>
      <c r="D740" s="17">
        <f>IF(Table1[[#This Row],[Attrition]]="Yes",1,0)</f>
        <v>0</v>
      </c>
      <c r="E740" t="s">
        <v>57</v>
      </c>
      <c r="F740" s="2">
        <v>466</v>
      </c>
      <c r="G740" t="s">
        <v>39</v>
      </c>
      <c r="H740">
        <v>1</v>
      </c>
      <c r="I740">
        <v>1</v>
      </c>
      <c r="J740" t="str">
        <f t="shared" si="23"/>
        <v>Below College</v>
      </c>
      <c r="K740" t="s">
        <v>34</v>
      </c>
      <c r="L740">
        <v>4</v>
      </c>
      <c r="M740" t="s">
        <v>35</v>
      </c>
      <c r="N740" s="2">
        <v>65</v>
      </c>
      <c r="O740">
        <v>2</v>
      </c>
      <c r="P740">
        <v>4</v>
      </c>
      <c r="Q740" t="s">
        <v>47</v>
      </c>
      <c r="R740">
        <v>4</v>
      </c>
      <c r="S740" t="s">
        <v>42</v>
      </c>
      <c r="T740" s="2">
        <v>12742</v>
      </c>
      <c r="U740" s="2">
        <v>7060</v>
      </c>
      <c r="V740">
        <v>1</v>
      </c>
      <c r="W740" t="s">
        <v>38</v>
      </c>
      <c r="X740">
        <v>16</v>
      </c>
      <c r="Y740">
        <v>3</v>
      </c>
      <c r="Z740">
        <v>3</v>
      </c>
      <c r="AA740">
        <v>80</v>
      </c>
      <c r="AB740">
        <v>1</v>
      </c>
      <c r="AC740">
        <v>21</v>
      </c>
      <c r="AD740">
        <v>3</v>
      </c>
      <c r="AE740">
        <v>3</v>
      </c>
      <c r="AF740">
        <v>21</v>
      </c>
      <c r="AG740">
        <v>6</v>
      </c>
      <c r="AH740">
        <v>11</v>
      </c>
      <c r="AI740">
        <v>8</v>
      </c>
    </row>
    <row r="741" spans="1:35" x14ac:dyDescent="0.25">
      <c r="A741">
        <v>27</v>
      </c>
      <c r="B741" t="str">
        <f t="shared" si="22"/>
        <v>25-34</v>
      </c>
      <c r="C741" s="1" t="s">
        <v>38</v>
      </c>
      <c r="D741" s="17">
        <f>IF(Table1[[#This Row],[Attrition]]="Yes",1,0)</f>
        <v>0</v>
      </c>
      <c r="E741" t="s">
        <v>57</v>
      </c>
      <c r="F741" s="2">
        <v>1055</v>
      </c>
      <c r="G741" t="s">
        <v>39</v>
      </c>
      <c r="H741">
        <v>2</v>
      </c>
      <c r="I741">
        <v>4</v>
      </c>
      <c r="J741" t="str">
        <f t="shared" si="23"/>
        <v>Master</v>
      </c>
      <c r="K741" t="s">
        <v>34</v>
      </c>
      <c r="L741">
        <v>1</v>
      </c>
      <c r="M741" t="s">
        <v>35</v>
      </c>
      <c r="N741" s="2">
        <v>47</v>
      </c>
      <c r="O741">
        <v>3</v>
      </c>
      <c r="P741">
        <v>2</v>
      </c>
      <c r="Q741" t="s">
        <v>47</v>
      </c>
      <c r="R741">
        <v>4</v>
      </c>
      <c r="S741" t="s">
        <v>42</v>
      </c>
      <c r="T741" s="2">
        <v>4227</v>
      </c>
      <c r="U741" s="2">
        <v>4658</v>
      </c>
      <c r="V741">
        <v>0</v>
      </c>
      <c r="W741" t="s">
        <v>38</v>
      </c>
      <c r="X741">
        <v>18</v>
      </c>
      <c r="Y741">
        <v>3</v>
      </c>
      <c r="Z741">
        <v>2</v>
      </c>
      <c r="AA741">
        <v>80</v>
      </c>
      <c r="AB741">
        <v>1</v>
      </c>
      <c r="AC741">
        <v>4</v>
      </c>
      <c r="AD741">
        <v>2</v>
      </c>
      <c r="AE741">
        <v>3</v>
      </c>
      <c r="AF741">
        <v>3</v>
      </c>
      <c r="AG741">
        <v>2</v>
      </c>
      <c r="AH741">
        <v>2</v>
      </c>
      <c r="AI741">
        <v>2</v>
      </c>
    </row>
    <row r="742" spans="1:35" x14ac:dyDescent="0.25">
      <c r="A742">
        <v>35</v>
      </c>
      <c r="B742" t="str">
        <f t="shared" si="22"/>
        <v>35-44</v>
      </c>
      <c r="C742" s="1" t="s">
        <v>38</v>
      </c>
      <c r="D742" s="17">
        <f>IF(Table1[[#This Row],[Attrition]]="Yes",1,0)</f>
        <v>0</v>
      </c>
      <c r="E742" t="s">
        <v>57</v>
      </c>
      <c r="F742" s="2">
        <v>802</v>
      </c>
      <c r="G742" t="s">
        <v>39</v>
      </c>
      <c r="H742">
        <v>10</v>
      </c>
      <c r="I742">
        <v>3</v>
      </c>
      <c r="J742" t="str">
        <f t="shared" si="23"/>
        <v>Bachelor</v>
      </c>
      <c r="K742" t="s">
        <v>43</v>
      </c>
      <c r="L742">
        <v>2</v>
      </c>
      <c r="M742" t="s">
        <v>40</v>
      </c>
      <c r="N742" s="2">
        <v>45</v>
      </c>
      <c r="O742">
        <v>3</v>
      </c>
      <c r="P742">
        <v>1</v>
      </c>
      <c r="Q742" t="s">
        <v>44</v>
      </c>
      <c r="R742">
        <v>4</v>
      </c>
      <c r="S742" t="s">
        <v>46</v>
      </c>
      <c r="T742" s="2">
        <v>3917</v>
      </c>
      <c r="U742" s="2">
        <v>9541</v>
      </c>
      <c r="V742">
        <v>1</v>
      </c>
      <c r="W742" t="s">
        <v>38</v>
      </c>
      <c r="X742">
        <v>20</v>
      </c>
      <c r="Y742">
        <v>4</v>
      </c>
      <c r="Z742">
        <v>1</v>
      </c>
      <c r="AA742">
        <v>80</v>
      </c>
      <c r="AB742">
        <v>1</v>
      </c>
      <c r="AC742">
        <v>3</v>
      </c>
      <c r="AD742">
        <v>4</v>
      </c>
      <c r="AE742">
        <v>2</v>
      </c>
      <c r="AF742">
        <v>3</v>
      </c>
      <c r="AG742">
        <v>2</v>
      </c>
      <c r="AH742">
        <v>1</v>
      </c>
      <c r="AI742">
        <v>2</v>
      </c>
    </row>
    <row r="743" spans="1:35" x14ac:dyDescent="0.25">
      <c r="A743">
        <v>42</v>
      </c>
      <c r="B743" t="str">
        <f t="shared" si="22"/>
        <v>35-44</v>
      </c>
      <c r="C743" s="1" t="s">
        <v>38</v>
      </c>
      <c r="D743" s="17">
        <f>IF(Table1[[#This Row],[Attrition]]="Yes",1,0)</f>
        <v>0</v>
      </c>
      <c r="E743" t="s">
        <v>57</v>
      </c>
      <c r="F743" s="2">
        <v>265</v>
      </c>
      <c r="G743" t="s">
        <v>33</v>
      </c>
      <c r="H743">
        <v>5</v>
      </c>
      <c r="I743">
        <v>2</v>
      </c>
      <c r="J743" t="str">
        <f t="shared" si="23"/>
        <v>College</v>
      </c>
      <c r="K743" t="s">
        <v>53</v>
      </c>
      <c r="L743">
        <v>4</v>
      </c>
      <c r="M743" t="s">
        <v>40</v>
      </c>
      <c r="N743" s="2">
        <v>90</v>
      </c>
      <c r="O743">
        <v>3</v>
      </c>
      <c r="P743">
        <v>5</v>
      </c>
      <c r="Q743" t="s">
        <v>50</v>
      </c>
      <c r="R743">
        <v>3</v>
      </c>
      <c r="S743" t="s">
        <v>42</v>
      </c>
      <c r="T743" s="2">
        <v>18303</v>
      </c>
      <c r="U743" s="2">
        <v>7770</v>
      </c>
      <c r="V743">
        <v>6</v>
      </c>
      <c r="W743" t="s">
        <v>38</v>
      </c>
      <c r="X743">
        <v>13</v>
      </c>
      <c r="Y743">
        <v>3</v>
      </c>
      <c r="Z743">
        <v>2</v>
      </c>
      <c r="AA743">
        <v>80</v>
      </c>
      <c r="AB743">
        <v>0</v>
      </c>
      <c r="AC743">
        <v>21</v>
      </c>
      <c r="AD743">
        <v>3</v>
      </c>
      <c r="AE743">
        <v>4</v>
      </c>
      <c r="AF743">
        <v>1</v>
      </c>
      <c r="AG743">
        <v>0</v>
      </c>
      <c r="AH743">
        <v>0</v>
      </c>
      <c r="AI743">
        <v>0</v>
      </c>
    </row>
    <row r="744" spans="1:35" x14ac:dyDescent="0.25">
      <c r="A744">
        <v>50</v>
      </c>
      <c r="B744" t="str">
        <f t="shared" si="22"/>
        <v>45-54</v>
      </c>
      <c r="C744" s="1" t="s">
        <v>38</v>
      </c>
      <c r="D744" s="17">
        <f>IF(Table1[[#This Row],[Attrition]]="Yes",1,0)</f>
        <v>0</v>
      </c>
      <c r="E744" t="s">
        <v>57</v>
      </c>
      <c r="F744" s="2">
        <v>804</v>
      </c>
      <c r="G744" t="s">
        <v>39</v>
      </c>
      <c r="H744">
        <v>9</v>
      </c>
      <c r="I744">
        <v>3</v>
      </c>
      <c r="J744" t="str">
        <f t="shared" si="23"/>
        <v>Bachelor</v>
      </c>
      <c r="K744" t="s">
        <v>34</v>
      </c>
      <c r="L744">
        <v>1</v>
      </c>
      <c r="M744" t="s">
        <v>40</v>
      </c>
      <c r="N744" s="2">
        <v>64</v>
      </c>
      <c r="O744">
        <v>3</v>
      </c>
      <c r="P744">
        <v>1</v>
      </c>
      <c r="Q744" t="s">
        <v>44</v>
      </c>
      <c r="R744">
        <v>4</v>
      </c>
      <c r="S744" t="s">
        <v>42</v>
      </c>
      <c r="T744" s="2">
        <v>2380</v>
      </c>
      <c r="U744" s="2">
        <v>20165</v>
      </c>
      <c r="V744">
        <v>4</v>
      </c>
      <c r="W744" t="s">
        <v>38</v>
      </c>
      <c r="X744">
        <v>18</v>
      </c>
      <c r="Y744">
        <v>3</v>
      </c>
      <c r="Z744">
        <v>2</v>
      </c>
      <c r="AA744">
        <v>80</v>
      </c>
      <c r="AB744">
        <v>0</v>
      </c>
      <c r="AC744">
        <v>8</v>
      </c>
      <c r="AD744">
        <v>5</v>
      </c>
      <c r="AE744">
        <v>3</v>
      </c>
      <c r="AF744">
        <v>1</v>
      </c>
      <c r="AG744">
        <v>0</v>
      </c>
      <c r="AH744">
        <v>0</v>
      </c>
      <c r="AI744">
        <v>0</v>
      </c>
    </row>
    <row r="745" spans="1:35" x14ac:dyDescent="0.25">
      <c r="A745">
        <v>59</v>
      </c>
      <c r="B745" t="str">
        <f t="shared" si="22"/>
        <v>55-64</v>
      </c>
      <c r="C745" s="1" t="s">
        <v>38</v>
      </c>
      <c r="D745" s="17">
        <f>IF(Table1[[#This Row],[Attrition]]="Yes",1,0)</f>
        <v>0</v>
      </c>
      <c r="E745" t="s">
        <v>57</v>
      </c>
      <c r="F745" s="2">
        <v>715</v>
      </c>
      <c r="G745" t="s">
        <v>39</v>
      </c>
      <c r="H745">
        <v>2</v>
      </c>
      <c r="I745">
        <v>3</v>
      </c>
      <c r="J745" t="str">
        <f t="shared" si="23"/>
        <v>Bachelor</v>
      </c>
      <c r="K745" t="s">
        <v>34</v>
      </c>
      <c r="L745">
        <v>3</v>
      </c>
      <c r="M745" t="s">
        <v>35</v>
      </c>
      <c r="N745" s="2">
        <v>69</v>
      </c>
      <c r="O745">
        <v>2</v>
      </c>
      <c r="P745">
        <v>4</v>
      </c>
      <c r="Q745" t="s">
        <v>47</v>
      </c>
      <c r="R745">
        <v>4</v>
      </c>
      <c r="S745" t="s">
        <v>37</v>
      </c>
      <c r="T745" s="2">
        <v>13726</v>
      </c>
      <c r="U745" s="2">
        <v>21829</v>
      </c>
      <c r="V745">
        <v>3</v>
      </c>
      <c r="W745" t="s">
        <v>32</v>
      </c>
      <c r="X745">
        <v>13</v>
      </c>
      <c r="Y745">
        <v>3</v>
      </c>
      <c r="Z745">
        <v>1</v>
      </c>
      <c r="AA745">
        <v>80</v>
      </c>
      <c r="AB745">
        <v>0</v>
      </c>
      <c r="AC745">
        <v>30</v>
      </c>
      <c r="AD745">
        <v>4</v>
      </c>
      <c r="AE745">
        <v>3</v>
      </c>
      <c r="AF745">
        <v>5</v>
      </c>
      <c r="AG745">
        <v>3</v>
      </c>
      <c r="AH745">
        <v>4</v>
      </c>
      <c r="AI745">
        <v>3</v>
      </c>
    </row>
    <row r="746" spans="1:35" x14ac:dyDescent="0.25">
      <c r="A746">
        <v>37</v>
      </c>
      <c r="B746" t="str">
        <f t="shared" si="22"/>
        <v>35-44</v>
      </c>
      <c r="C746" s="1" t="s">
        <v>32</v>
      </c>
      <c r="D746" s="17">
        <f>IF(Table1[[#This Row],[Attrition]]="Yes",1,0)</f>
        <v>1</v>
      </c>
      <c r="E746" t="s">
        <v>57</v>
      </c>
      <c r="F746" s="2">
        <v>1141</v>
      </c>
      <c r="G746" t="s">
        <v>39</v>
      </c>
      <c r="H746">
        <v>11</v>
      </c>
      <c r="I746">
        <v>2</v>
      </c>
      <c r="J746" t="str">
        <f t="shared" si="23"/>
        <v>College</v>
      </c>
      <c r="K746" t="s">
        <v>45</v>
      </c>
      <c r="L746">
        <v>1</v>
      </c>
      <c r="M746" t="s">
        <v>35</v>
      </c>
      <c r="N746" s="2">
        <v>61</v>
      </c>
      <c r="O746">
        <v>1</v>
      </c>
      <c r="P746">
        <v>2</v>
      </c>
      <c r="Q746" t="s">
        <v>48</v>
      </c>
      <c r="R746">
        <v>2</v>
      </c>
      <c r="S746" t="s">
        <v>42</v>
      </c>
      <c r="T746" s="2">
        <v>4777</v>
      </c>
      <c r="U746" s="2">
        <v>14382</v>
      </c>
      <c r="V746">
        <v>5</v>
      </c>
      <c r="W746" t="s">
        <v>38</v>
      </c>
      <c r="X746">
        <v>15</v>
      </c>
      <c r="Y746">
        <v>3</v>
      </c>
      <c r="Z746">
        <v>1</v>
      </c>
      <c r="AA746">
        <v>80</v>
      </c>
      <c r="AB746">
        <v>0</v>
      </c>
      <c r="AC746">
        <v>15</v>
      </c>
      <c r="AD746">
        <v>2</v>
      </c>
      <c r="AE746">
        <v>1</v>
      </c>
      <c r="AF746">
        <v>1</v>
      </c>
      <c r="AG746">
        <v>0</v>
      </c>
      <c r="AH746">
        <v>0</v>
      </c>
      <c r="AI746">
        <v>0</v>
      </c>
    </row>
    <row r="747" spans="1:35" x14ac:dyDescent="0.25">
      <c r="A747">
        <v>55</v>
      </c>
      <c r="B747" t="str">
        <f t="shared" si="22"/>
        <v>55-64</v>
      </c>
      <c r="C747" s="1" t="s">
        <v>38</v>
      </c>
      <c r="D747" s="17">
        <f>IF(Table1[[#This Row],[Attrition]]="Yes",1,0)</f>
        <v>0</v>
      </c>
      <c r="E747" t="s">
        <v>58</v>
      </c>
      <c r="F747" s="2">
        <v>135</v>
      </c>
      <c r="G747" t="s">
        <v>39</v>
      </c>
      <c r="H747">
        <v>18</v>
      </c>
      <c r="I747">
        <v>4</v>
      </c>
      <c r="J747" t="str">
        <f t="shared" si="23"/>
        <v>Master</v>
      </c>
      <c r="K747" t="s">
        <v>45</v>
      </c>
      <c r="L747">
        <v>3</v>
      </c>
      <c r="M747" t="s">
        <v>40</v>
      </c>
      <c r="N747" s="2">
        <v>62</v>
      </c>
      <c r="O747">
        <v>3</v>
      </c>
      <c r="P747">
        <v>2</v>
      </c>
      <c r="Q747" t="s">
        <v>48</v>
      </c>
      <c r="R747">
        <v>2</v>
      </c>
      <c r="S747" t="s">
        <v>42</v>
      </c>
      <c r="T747" s="2">
        <v>6385</v>
      </c>
      <c r="U747" s="2">
        <v>12992</v>
      </c>
      <c r="V747">
        <v>3</v>
      </c>
      <c r="W747" t="s">
        <v>32</v>
      </c>
      <c r="X747">
        <v>14</v>
      </c>
      <c r="Y747">
        <v>3</v>
      </c>
      <c r="Z747">
        <v>4</v>
      </c>
      <c r="AA747">
        <v>80</v>
      </c>
      <c r="AB747">
        <v>2</v>
      </c>
      <c r="AC747">
        <v>17</v>
      </c>
      <c r="AD747">
        <v>3</v>
      </c>
      <c r="AE747">
        <v>3</v>
      </c>
      <c r="AF747">
        <v>8</v>
      </c>
      <c r="AG747">
        <v>7</v>
      </c>
      <c r="AH747">
        <v>6</v>
      </c>
      <c r="AI747">
        <v>7</v>
      </c>
    </row>
    <row r="748" spans="1:35" x14ac:dyDescent="0.25">
      <c r="A748">
        <v>41</v>
      </c>
      <c r="B748" t="str">
        <f t="shared" si="22"/>
        <v>35-44</v>
      </c>
      <c r="C748" s="1" t="s">
        <v>38</v>
      </c>
      <c r="D748" s="17">
        <f>IF(Table1[[#This Row],[Attrition]]="Yes",1,0)</f>
        <v>0</v>
      </c>
      <c r="E748" t="s">
        <v>49</v>
      </c>
      <c r="F748" s="2">
        <v>247</v>
      </c>
      <c r="G748" t="s">
        <v>39</v>
      </c>
      <c r="H748">
        <v>7</v>
      </c>
      <c r="I748">
        <v>1</v>
      </c>
      <c r="J748" t="str">
        <f t="shared" si="23"/>
        <v>Below College</v>
      </c>
      <c r="K748" t="s">
        <v>34</v>
      </c>
      <c r="L748">
        <v>2</v>
      </c>
      <c r="M748" t="s">
        <v>35</v>
      </c>
      <c r="N748" s="2">
        <v>55</v>
      </c>
      <c r="O748">
        <v>1</v>
      </c>
      <c r="P748">
        <v>5</v>
      </c>
      <c r="Q748" t="s">
        <v>52</v>
      </c>
      <c r="R748">
        <v>3</v>
      </c>
      <c r="S748" t="s">
        <v>46</v>
      </c>
      <c r="T748" s="2">
        <v>19973</v>
      </c>
      <c r="U748" s="2">
        <v>20284</v>
      </c>
      <c r="V748">
        <v>1</v>
      </c>
      <c r="W748" t="s">
        <v>38</v>
      </c>
      <c r="X748">
        <v>22</v>
      </c>
      <c r="Y748">
        <v>4</v>
      </c>
      <c r="Z748">
        <v>2</v>
      </c>
      <c r="AA748">
        <v>80</v>
      </c>
      <c r="AB748">
        <v>2</v>
      </c>
      <c r="AC748">
        <v>21</v>
      </c>
      <c r="AD748">
        <v>3</v>
      </c>
      <c r="AE748">
        <v>3</v>
      </c>
      <c r="AF748">
        <v>21</v>
      </c>
      <c r="AG748">
        <v>16</v>
      </c>
      <c r="AH748">
        <v>5</v>
      </c>
      <c r="AI748">
        <v>10</v>
      </c>
    </row>
    <row r="749" spans="1:35" x14ac:dyDescent="0.25">
      <c r="A749">
        <v>38</v>
      </c>
      <c r="B749" t="str">
        <f t="shared" si="22"/>
        <v>35-44</v>
      </c>
      <c r="C749" s="1" t="s">
        <v>38</v>
      </c>
      <c r="D749" s="17">
        <f>IF(Table1[[#This Row],[Attrition]]="Yes",1,0)</f>
        <v>0</v>
      </c>
      <c r="E749" t="s">
        <v>57</v>
      </c>
      <c r="F749" s="2">
        <v>1035</v>
      </c>
      <c r="G749" t="s">
        <v>33</v>
      </c>
      <c r="H749">
        <v>3</v>
      </c>
      <c r="I749">
        <v>4</v>
      </c>
      <c r="J749" t="str">
        <f t="shared" si="23"/>
        <v>Master</v>
      </c>
      <c r="K749" t="s">
        <v>34</v>
      </c>
      <c r="L749">
        <v>2</v>
      </c>
      <c r="M749" t="s">
        <v>40</v>
      </c>
      <c r="N749" s="2">
        <v>42</v>
      </c>
      <c r="O749">
        <v>3</v>
      </c>
      <c r="P749">
        <v>2</v>
      </c>
      <c r="Q749" t="s">
        <v>36</v>
      </c>
      <c r="R749">
        <v>4</v>
      </c>
      <c r="S749" t="s">
        <v>37</v>
      </c>
      <c r="T749" s="2">
        <v>6861</v>
      </c>
      <c r="U749" s="2">
        <v>4981</v>
      </c>
      <c r="V749">
        <v>8</v>
      </c>
      <c r="W749" t="s">
        <v>32</v>
      </c>
      <c r="X749">
        <v>12</v>
      </c>
      <c r="Y749">
        <v>3</v>
      </c>
      <c r="Z749">
        <v>3</v>
      </c>
      <c r="AA749">
        <v>80</v>
      </c>
      <c r="AB749">
        <v>0</v>
      </c>
      <c r="AC749">
        <v>19</v>
      </c>
      <c r="AD749">
        <v>1</v>
      </c>
      <c r="AE749">
        <v>3</v>
      </c>
      <c r="AF749">
        <v>1</v>
      </c>
      <c r="AG749">
        <v>0</v>
      </c>
      <c r="AH749">
        <v>0</v>
      </c>
      <c r="AI749">
        <v>0</v>
      </c>
    </row>
    <row r="750" spans="1:35" x14ac:dyDescent="0.25">
      <c r="A750">
        <v>26</v>
      </c>
      <c r="B750" t="str">
        <f t="shared" si="22"/>
        <v>25-34</v>
      </c>
      <c r="C750" s="1" t="s">
        <v>32</v>
      </c>
      <c r="D750" s="17">
        <f>IF(Table1[[#This Row],[Attrition]]="Yes",1,0)</f>
        <v>1</v>
      </c>
      <c r="E750" t="s">
        <v>49</v>
      </c>
      <c r="F750" s="2">
        <v>265</v>
      </c>
      <c r="G750" t="s">
        <v>33</v>
      </c>
      <c r="H750">
        <v>29</v>
      </c>
      <c r="I750">
        <v>2</v>
      </c>
      <c r="J750" t="str">
        <f t="shared" si="23"/>
        <v>College</v>
      </c>
      <c r="K750" t="s">
        <v>45</v>
      </c>
      <c r="L750">
        <v>2</v>
      </c>
      <c r="M750" t="s">
        <v>40</v>
      </c>
      <c r="N750" s="2">
        <v>79</v>
      </c>
      <c r="O750">
        <v>1</v>
      </c>
      <c r="P750">
        <v>2</v>
      </c>
      <c r="Q750" t="s">
        <v>36</v>
      </c>
      <c r="R750">
        <v>1</v>
      </c>
      <c r="S750" t="s">
        <v>37</v>
      </c>
      <c r="T750" s="2">
        <v>4969</v>
      </c>
      <c r="U750" s="2">
        <v>21813</v>
      </c>
      <c r="V750">
        <v>8</v>
      </c>
      <c r="W750" t="s">
        <v>38</v>
      </c>
      <c r="X750">
        <v>18</v>
      </c>
      <c r="Y750">
        <v>3</v>
      </c>
      <c r="Z750">
        <v>4</v>
      </c>
      <c r="AA750">
        <v>80</v>
      </c>
      <c r="AB750">
        <v>0</v>
      </c>
      <c r="AC750">
        <v>7</v>
      </c>
      <c r="AD750">
        <v>6</v>
      </c>
      <c r="AE750">
        <v>3</v>
      </c>
      <c r="AF750">
        <v>2</v>
      </c>
      <c r="AG750">
        <v>2</v>
      </c>
      <c r="AH750">
        <v>2</v>
      </c>
      <c r="AI750">
        <v>2</v>
      </c>
    </row>
    <row r="751" spans="1:35" x14ac:dyDescent="0.25">
      <c r="A751">
        <v>52</v>
      </c>
      <c r="B751" t="str">
        <f t="shared" si="22"/>
        <v>45-54</v>
      </c>
      <c r="C751" s="1" t="s">
        <v>32</v>
      </c>
      <c r="D751" s="17">
        <f>IF(Table1[[#This Row],[Attrition]]="Yes",1,0)</f>
        <v>1</v>
      </c>
      <c r="E751" t="s">
        <v>57</v>
      </c>
      <c r="F751" s="2">
        <v>266</v>
      </c>
      <c r="G751" t="s">
        <v>33</v>
      </c>
      <c r="H751">
        <v>2</v>
      </c>
      <c r="I751">
        <v>1</v>
      </c>
      <c r="J751" t="str">
        <f t="shared" si="23"/>
        <v>Below College</v>
      </c>
      <c r="K751" t="s">
        <v>53</v>
      </c>
      <c r="L751">
        <v>1</v>
      </c>
      <c r="M751" t="s">
        <v>35</v>
      </c>
      <c r="N751" s="2">
        <v>57</v>
      </c>
      <c r="O751">
        <v>1</v>
      </c>
      <c r="P751">
        <v>5</v>
      </c>
      <c r="Q751" t="s">
        <v>50</v>
      </c>
      <c r="R751">
        <v>4</v>
      </c>
      <c r="S751" t="s">
        <v>42</v>
      </c>
      <c r="T751" s="2">
        <v>19845</v>
      </c>
      <c r="U751" s="2">
        <v>25846</v>
      </c>
      <c r="V751">
        <v>1</v>
      </c>
      <c r="W751" t="s">
        <v>38</v>
      </c>
      <c r="X751">
        <v>15</v>
      </c>
      <c r="Y751">
        <v>3</v>
      </c>
      <c r="Z751">
        <v>4</v>
      </c>
      <c r="AA751">
        <v>80</v>
      </c>
      <c r="AB751">
        <v>1</v>
      </c>
      <c r="AC751">
        <v>33</v>
      </c>
      <c r="AD751">
        <v>3</v>
      </c>
      <c r="AE751">
        <v>3</v>
      </c>
      <c r="AF751">
        <v>32</v>
      </c>
      <c r="AG751">
        <v>14</v>
      </c>
      <c r="AH751">
        <v>6</v>
      </c>
      <c r="AI751">
        <v>9</v>
      </c>
    </row>
    <row r="752" spans="1:35" x14ac:dyDescent="0.25">
      <c r="A752">
        <v>44</v>
      </c>
      <c r="B752" t="str">
        <f t="shared" si="22"/>
        <v>35-44</v>
      </c>
      <c r="C752" s="1" t="s">
        <v>38</v>
      </c>
      <c r="D752" s="17">
        <f>IF(Table1[[#This Row],[Attrition]]="Yes",1,0)</f>
        <v>0</v>
      </c>
      <c r="E752" t="s">
        <v>57</v>
      </c>
      <c r="F752" s="2">
        <v>1448</v>
      </c>
      <c r="G752" t="s">
        <v>33</v>
      </c>
      <c r="H752">
        <v>28</v>
      </c>
      <c r="I752">
        <v>3</v>
      </c>
      <c r="J752" t="str">
        <f t="shared" si="23"/>
        <v>Bachelor</v>
      </c>
      <c r="K752" t="s">
        <v>45</v>
      </c>
      <c r="L752">
        <v>4</v>
      </c>
      <c r="M752" t="s">
        <v>35</v>
      </c>
      <c r="N752" s="2">
        <v>53</v>
      </c>
      <c r="O752">
        <v>4</v>
      </c>
      <c r="P752">
        <v>4</v>
      </c>
      <c r="Q752" t="s">
        <v>36</v>
      </c>
      <c r="R752">
        <v>4</v>
      </c>
      <c r="S752" t="s">
        <v>42</v>
      </c>
      <c r="T752" s="2">
        <v>13320</v>
      </c>
      <c r="U752" s="2">
        <v>11737</v>
      </c>
      <c r="V752">
        <v>3</v>
      </c>
      <c r="W752" t="s">
        <v>32</v>
      </c>
      <c r="X752">
        <v>18</v>
      </c>
      <c r="Y752">
        <v>3</v>
      </c>
      <c r="Z752">
        <v>3</v>
      </c>
      <c r="AA752">
        <v>80</v>
      </c>
      <c r="AB752">
        <v>1</v>
      </c>
      <c r="AC752">
        <v>23</v>
      </c>
      <c r="AD752">
        <v>2</v>
      </c>
      <c r="AE752">
        <v>3</v>
      </c>
      <c r="AF752">
        <v>12</v>
      </c>
      <c r="AG752">
        <v>11</v>
      </c>
      <c r="AH752">
        <v>11</v>
      </c>
      <c r="AI752">
        <v>11</v>
      </c>
    </row>
    <row r="753" spans="1:35" x14ac:dyDescent="0.25">
      <c r="A753">
        <v>50</v>
      </c>
      <c r="B753" t="str">
        <f t="shared" si="22"/>
        <v>45-54</v>
      </c>
      <c r="C753" s="1" t="s">
        <v>38</v>
      </c>
      <c r="D753" s="17">
        <f>IF(Table1[[#This Row],[Attrition]]="Yes",1,0)</f>
        <v>0</v>
      </c>
      <c r="E753" t="s">
        <v>49</v>
      </c>
      <c r="F753" s="2">
        <v>145</v>
      </c>
      <c r="G753" t="s">
        <v>33</v>
      </c>
      <c r="H753">
        <v>1</v>
      </c>
      <c r="I753">
        <v>3</v>
      </c>
      <c r="J753" t="str">
        <f t="shared" si="23"/>
        <v>Bachelor</v>
      </c>
      <c r="K753" t="s">
        <v>34</v>
      </c>
      <c r="L753">
        <v>4</v>
      </c>
      <c r="M753" t="s">
        <v>35</v>
      </c>
      <c r="N753" s="2">
        <v>95</v>
      </c>
      <c r="O753">
        <v>3</v>
      </c>
      <c r="P753">
        <v>2</v>
      </c>
      <c r="Q753" t="s">
        <v>36</v>
      </c>
      <c r="R753">
        <v>3</v>
      </c>
      <c r="S753" t="s">
        <v>42</v>
      </c>
      <c r="T753" s="2">
        <v>6347</v>
      </c>
      <c r="U753" s="2">
        <v>24920</v>
      </c>
      <c r="V753">
        <v>0</v>
      </c>
      <c r="W753" t="s">
        <v>38</v>
      </c>
      <c r="X753">
        <v>12</v>
      </c>
      <c r="Y753">
        <v>3</v>
      </c>
      <c r="Z753">
        <v>1</v>
      </c>
      <c r="AA753">
        <v>80</v>
      </c>
      <c r="AB753">
        <v>1</v>
      </c>
      <c r="AC753">
        <v>19</v>
      </c>
      <c r="AD753">
        <v>3</v>
      </c>
      <c r="AE753">
        <v>3</v>
      </c>
      <c r="AF753">
        <v>18</v>
      </c>
      <c r="AG753">
        <v>7</v>
      </c>
      <c r="AH753">
        <v>0</v>
      </c>
      <c r="AI753">
        <v>13</v>
      </c>
    </row>
    <row r="754" spans="1:35" x14ac:dyDescent="0.25">
      <c r="A754">
        <v>36</v>
      </c>
      <c r="B754" t="str">
        <f t="shared" si="22"/>
        <v>35-44</v>
      </c>
      <c r="C754" s="1" t="s">
        <v>32</v>
      </c>
      <c r="D754" s="17">
        <f>IF(Table1[[#This Row],[Attrition]]="Yes",1,0)</f>
        <v>1</v>
      </c>
      <c r="E754" t="s">
        <v>57</v>
      </c>
      <c r="F754" s="2">
        <v>885</v>
      </c>
      <c r="G754" t="s">
        <v>39</v>
      </c>
      <c r="H754">
        <v>16</v>
      </c>
      <c r="I754">
        <v>4</v>
      </c>
      <c r="J754" t="str">
        <f t="shared" si="23"/>
        <v>Master</v>
      </c>
      <c r="K754" t="s">
        <v>34</v>
      </c>
      <c r="L754">
        <v>3</v>
      </c>
      <c r="M754" t="s">
        <v>35</v>
      </c>
      <c r="N754" s="2">
        <v>43</v>
      </c>
      <c r="O754">
        <v>4</v>
      </c>
      <c r="P754">
        <v>1</v>
      </c>
      <c r="Q754" t="s">
        <v>44</v>
      </c>
      <c r="R754">
        <v>1</v>
      </c>
      <c r="S754" t="s">
        <v>37</v>
      </c>
      <c r="T754" s="2">
        <v>2743</v>
      </c>
      <c r="U754" s="2">
        <v>8269</v>
      </c>
      <c r="V754">
        <v>1</v>
      </c>
      <c r="W754" t="s">
        <v>38</v>
      </c>
      <c r="X754">
        <v>16</v>
      </c>
      <c r="Y754">
        <v>3</v>
      </c>
      <c r="Z754">
        <v>3</v>
      </c>
      <c r="AA754">
        <v>80</v>
      </c>
      <c r="AB754">
        <v>0</v>
      </c>
      <c r="AC754">
        <v>18</v>
      </c>
      <c r="AD754">
        <v>1</v>
      </c>
      <c r="AE754">
        <v>3</v>
      </c>
      <c r="AF754">
        <v>17</v>
      </c>
      <c r="AG754">
        <v>13</v>
      </c>
      <c r="AH754">
        <v>15</v>
      </c>
      <c r="AI754">
        <v>14</v>
      </c>
    </row>
    <row r="755" spans="1:35" x14ac:dyDescent="0.25">
      <c r="A755">
        <v>39</v>
      </c>
      <c r="B755" t="str">
        <f t="shared" si="22"/>
        <v>35-44</v>
      </c>
      <c r="C755" s="1" t="s">
        <v>38</v>
      </c>
      <c r="D755" s="17">
        <f>IF(Table1[[#This Row],[Attrition]]="Yes",1,0)</f>
        <v>0</v>
      </c>
      <c r="E755" t="s">
        <v>58</v>
      </c>
      <c r="F755" s="2">
        <v>945</v>
      </c>
      <c r="G755" t="s">
        <v>39</v>
      </c>
      <c r="H755">
        <v>22</v>
      </c>
      <c r="I755">
        <v>3</v>
      </c>
      <c r="J755" t="str">
        <f t="shared" si="23"/>
        <v>Bachelor</v>
      </c>
      <c r="K755" t="s">
        <v>45</v>
      </c>
      <c r="L755">
        <v>4</v>
      </c>
      <c r="M755" t="s">
        <v>35</v>
      </c>
      <c r="N755" s="2">
        <v>82</v>
      </c>
      <c r="O755">
        <v>3</v>
      </c>
      <c r="P755">
        <v>3</v>
      </c>
      <c r="Q755" t="s">
        <v>47</v>
      </c>
      <c r="R755">
        <v>1</v>
      </c>
      <c r="S755" t="s">
        <v>37</v>
      </c>
      <c r="T755" s="2">
        <v>10880</v>
      </c>
      <c r="U755" s="2">
        <v>5083</v>
      </c>
      <c r="V755">
        <v>1</v>
      </c>
      <c r="W755" t="s">
        <v>32</v>
      </c>
      <c r="X755">
        <v>13</v>
      </c>
      <c r="Y755">
        <v>3</v>
      </c>
      <c r="Z755">
        <v>3</v>
      </c>
      <c r="AA755">
        <v>80</v>
      </c>
      <c r="AB755">
        <v>0</v>
      </c>
      <c r="AC755">
        <v>21</v>
      </c>
      <c r="AD755">
        <v>2</v>
      </c>
      <c r="AE755">
        <v>3</v>
      </c>
      <c r="AF755">
        <v>21</v>
      </c>
      <c r="AG755">
        <v>6</v>
      </c>
      <c r="AH755">
        <v>2</v>
      </c>
      <c r="AI755">
        <v>8</v>
      </c>
    </row>
    <row r="756" spans="1:35" x14ac:dyDescent="0.25">
      <c r="A756">
        <v>33</v>
      </c>
      <c r="B756" t="str">
        <f t="shared" si="22"/>
        <v>25-34</v>
      </c>
      <c r="C756" s="1" t="s">
        <v>38</v>
      </c>
      <c r="D756" s="17">
        <f>IF(Table1[[#This Row],[Attrition]]="Yes",1,0)</f>
        <v>0</v>
      </c>
      <c r="E756" t="s">
        <v>49</v>
      </c>
      <c r="F756" s="2">
        <v>1038</v>
      </c>
      <c r="G756" t="s">
        <v>33</v>
      </c>
      <c r="H756">
        <v>8</v>
      </c>
      <c r="I756">
        <v>1</v>
      </c>
      <c r="J756" t="str">
        <f t="shared" si="23"/>
        <v>Below College</v>
      </c>
      <c r="K756" t="s">
        <v>34</v>
      </c>
      <c r="L756">
        <v>2</v>
      </c>
      <c r="M756" t="s">
        <v>35</v>
      </c>
      <c r="N756" s="2">
        <v>88</v>
      </c>
      <c r="O756">
        <v>2</v>
      </c>
      <c r="P756">
        <v>1</v>
      </c>
      <c r="Q756" t="s">
        <v>51</v>
      </c>
      <c r="R756">
        <v>4</v>
      </c>
      <c r="S756" t="s">
        <v>37</v>
      </c>
      <c r="T756" s="2">
        <v>2342</v>
      </c>
      <c r="U756" s="2">
        <v>21437</v>
      </c>
      <c r="V756">
        <v>0</v>
      </c>
      <c r="W756" t="s">
        <v>38</v>
      </c>
      <c r="X756">
        <v>19</v>
      </c>
      <c r="Y756">
        <v>3</v>
      </c>
      <c r="Z756">
        <v>4</v>
      </c>
      <c r="AA756">
        <v>80</v>
      </c>
      <c r="AB756">
        <v>0</v>
      </c>
      <c r="AC756">
        <v>3</v>
      </c>
      <c r="AD756">
        <v>2</v>
      </c>
      <c r="AE756">
        <v>2</v>
      </c>
      <c r="AF756">
        <v>2</v>
      </c>
      <c r="AG756">
        <v>2</v>
      </c>
      <c r="AH756">
        <v>2</v>
      </c>
      <c r="AI756">
        <v>2</v>
      </c>
    </row>
    <row r="757" spans="1:35" x14ac:dyDescent="0.25">
      <c r="A757">
        <v>45</v>
      </c>
      <c r="B757" t="str">
        <f t="shared" si="22"/>
        <v>45-54</v>
      </c>
      <c r="C757" s="1" t="s">
        <v>38</v>
      </c>
      <c r="D757" s="17">
        <f>IF(Table1[[#This Row],[Attrition]]="Yes",1,0)</f>
        <v>0</v>
      </c>
      <c r="E757" t="s">
        <v>57</v>
      </c>
      <c r="F757" s="2">
        <v>1234</v>
      </c>
      <c r="G757" t="s">
        <v>33</v>
      </c>
      <c r="H757">
        <v>11</v>
      </c>
      <c r="I757">
        <v>2</v>
      </c>
      <c r="J757" t="str">
        <f t="shared" si="23"/>
        <v>College</v>
      </c>
      <c r="K757" t="s">
        <v>34</v>
      </c>
      <c r="L757">
        <v>4</v>
      </c>
      <c r="M757" t="s">
        <v>35</v>
      </c>
      <c r="N757" s="2">
        <v>90</v>
      </c>
      <c r="O757">
        <v>3</v>
      </c>
      <c r="P757">
        <v>4</v>
      </c>
      <c r="Q757" t="s">
        <v>50</v>
      </c>
      <c r="R757">
        <v>4</v>
      </c>
      <c r="S757" t="s">
        <v>42</v>
      </c>
      <c r="T757" s="2">
        <v>17650</v>
      </c>
      <c r="U757" s="2">
        <v>5404</v>
      </c>
      <c r="V757">
        <v>3</v>
      </c>
      <c r="W757" t="s">
        <v>38</v>
      </c>
      <c r="X757">
        <v>13</v>
      </c>
      <c r="Y757">
        <v>3</v>
      </c>
      <c r="Z757">
        <v>2</v>
      </c>
      <c r="AA757">
        <v>80</v>
      </c>
      <c r="AB757">
        <v>1</v>
      </c>
      <c r="AC757">
        <v>26</v>
      </c>
      <c r="AD757">
        <v>4</v>
      </c>
      <c r="AE757">
        <v>4</v>
      </c>
      <c r="AF757">
        <v>9</v>
      </c>
      <c r="AG757">
        <v>3</v>
      </c>
      <c r="AH757">
        <v>1</v>
      </c>
      <c r="AI757">
        <v>1</v>
      </c>
    </row>
    <row r="758" spans="1:35" x14ac:dyDescent="0.25">
      <c r="A758">
        <v>32</v>
      </c>
      <c r="B758" t="str">
        <f t="shared" si="22"/>
        <v>25-34</v>
      </c>
      <c r="C758" s="1" t="s">
        <v>38</v>
      </c>
      <c r="D758" s="17">
        <f>IF(Table1[[#This Row],[Attrition]]="Yes",1,0)</f>
        <v>0</v>
      </c>
      <c r="E758" t="s">
        <v>49</v>
      </c>
      <c r="F758" s="2">
        <v>1109</v>
      </c>
      <c r="G758" t="s">
        <v>39</v>
      </c>
      <c r="H758">
        <v>29</v>
      </c>
      <c r="I758">
        <v>4</v>
      </c>
      <c r="J758" t="str">
        <f t="shared" si="23"/>
        <v>Master</v>
      </c>
      <c r="K758" t="s">
        <v>45</v>
      </c>
      <c r="L758">
        <v>4</v>
      </c>
      <c r="M758" t="s">
        <v>35</v>
      </c>
      <c r="N758" s="2">
        <v>69</v>
      </c>
      <c r="O758">
        <v>3</v>
      </c>
      <c r="P758">
        <v>1</v>
      </c>
      <c r="Q758" t="s">
        <v>44</v>
      </c>
      <c r="R758">
        <v>3</v>
      </c>
      <c r="S758" t="s">
        <v>37</v>
      </c>
      <c r="T758" s="2">
        <v>4025</v>
      </c>
      <c r="U758" s="2">
        <v>11135</v>
      </c>
      <c r="V758">
        <v>9</v>
      </c>
      <c r="W758" t="s">
        <v>38</v>
      </c>
      <c r="X758">
        <v>12</v>
      </c>
      <c r="Y758">
        <v>3</v>
      </c>
      <c r="Z758">
        <v>2</v>
      </c>
      <c r="AA758">
        <v>80</v>
      </c>
      <c r="AB758">
        <v>0</v>
      </c>
      <c r="AC758">
        <v>10</v>
      </c>
      <c r="AD758">
        <v>2</v>
      </c>
      <c r="AE758">
        <v>3</v>
      </c>
      <c r="AF758">
        <v>8</v>
      </c>
      <c r="AG758">
        <v>7</v>
      </c>
      <c r="AH758">
        <v>7</v>
      </c>
      <c r="AI758">
        <v>7</v>
      </c>
    </row>
    <row r="759" spans="1:35" x14ac:dyDescent="0.25">
      <c r="A759">
        <v>34</v>
      </c>
      <c r="B759" t="str">
        <f t="shared" si="22"/>
        <v>25-34</v>
      </c>
      <c r="C759" s="1" t="s">
        <v>38</v>
      </c>
      <c r="D759" s="17">
        <f>IF(Table1[[#This Row],[Attrition]]="Yes",1,0)</f>
        <v>0</v>
      </c>
      <c r="E759" t="s">
        <v>57</v>
      </c>
      <c r="F759" s="2">
        <v>216</v>
      </c>
      <c r="G759" t="s">
        <v>33</v>
      </c>
      <c r="H759">
        <v>1</v>
      </c>
      <c r="I759">
        <v>4</v>
      </c>
      <c r="J759" t="str">
        <f t="shared" si="23"/>
        <v>Master</v>
      </c>
      <c r="K759" t="s">
        <v>53</v>
      </c>
      <c r="L759">
        <v>2</v>
      </c>
      <c r="M759" t="s">
        <v>40</v>
      </c>
      <c r="N759" s="2">
        <v>75</v>
      </c>
      <c r="O759">
        <v>4</v>
      </c>
      <c r="P759">
        <v>2</v>
      </c>
      <c r="Q759" t="s">
        <v>36</v>
      </c>
      <c r="R759">
        <v>4</v>
      </c>
      <c r="S759" t="s">
        <v>46</v>
      </c>
      <c r="T759" s="2">
        <v>9725</v>
      </c>
      <c r="U759" s="2">
        <v>12278</v>
      </c>
      <c r="V759">
        <v>0</v>
      </c>
      <c r="W759" t="s">
        <v>38</v>
      </c>
      <c r="X759">
        <v>11</v>
      </c>
      <c r="Y759">
        <v>3</v>
      </c>
      <c r="Z759">
        <v>4</v>
      </c>
      <c r="AA759">
        <v>80</v>
      </c>
      <c r="AB759">
        <v>1</v>
      </c>
      <c r="AC759">
        <v>16</v>
      </c>
      <c r="AD759">
        <v>2</v>
      </c>
      <c r="AE759">
        <v>2</v>
      </c>
      <c r="AF759">
        <v>15</v>
      </c>
      <c r="AG759">
        <v>1</v>
      </c>
      <c r="AH759">
        <v>0</v>
      </c>
      <c r="AI759">
        <v>9</v>
      </c>
    </row>
    <row r="760" spans="1:35" x14ac:dyDescent="0.25">
      <c r="A760">
        <v>59</v>
      </c>
      <c r="B760" t="str">
        <f t="shared" si="22"/>
        <v>55-64</v>
      </c>
      <c r="C760" s="1" t="s">
        <v>38</v>
      </c>
      <c r="D760" s="17">
        <f>IF(Table1[[#This Row],[Attrition]]="Yes",1,0)</f>
        <v>0</v>
      </c>
      <c r="E760" t="s">
        <v>57</v>
      </c>
      <c r="F760" s="2">
        <v>1089</v>
      </c>
      <c r="G760" t="s">
        <v>33</v>
      </c>
      <c r="H760">
        <v>1</v>
      </c>
      <c r="I760">
        <v>2</v>
      </c>
      <c r="J760" t="str">
        <f t="shared" si="23"/>
        <v>College</v>
      </c>
      <c r="K760" t="s">
        <v>54</v>
      </c>
      <c r="L760">
        <v>2</v>
      </c>
      <c r="M760" t="s">
        <v>40</v>
      </c>
      <c r="N760" s="2">
        <v>66</v>
      </c>
      <c r="O760">
        <v>3</v>
      </c>
      <c r="P760">
        <v>3</v>
      </c>
      <c r="Q760" t="s">
        <v>50</v>
      </c>
      <c r="R760">
        <v>4</v>
      </c>
      <c r="S760" t="s">
        <v>42</v>
      </c>
      <c r="T760" s="2">
        <v>11904</v>
      </c>
      <c r="U760" s="2">
        <v>11038</v>
      </c>
      <c r="V760">
        <v>3</v>
      </c>
      <c r="W760" t="s">
        <v>32</v>
      </c>
      <c r="X760">
        <v>14</v>
      </c>
      <c r="Y760">
        <v>3</v>
      </c>
      <c r="Z760">
        <v>3</v>
      </c>
      <c r="AA760">
        <v>80</v>
      </c>
      <c r="AB760">
        <v>1</v>
      </c>
      <c r="AC760">
        <v>14</v>
      </c>
      <c r="AD760">
        <v>1</v>
      </c>
      <c r="AE760">
        <v>1</v>
      </c>
      <c r="AF760">
        <v>6</v>
      </c>
      <c r="AG760">
        <v>4</v>
      </c>
      <c r="AH760">
        <v>0</v>
      </c>
      <c r="AI760">
        <v>4</v>
      </c>
    </row>
    <row r="761" spans="1:35" x14ac:dyDescent="0.25">
      <c r="A761">
        <v>45</v>
      </c>
      <c r="B761" t="str">
        <f t="shared" si="22"/>
        <v>45-54</v>
      </c>
      <c r="C761" s="1" t="s">
        <v>38</v>
      </c>
      <c r="D761" s="17">
        <f>IF(Table1[[#This Row],[Attrition]]="Yes",1,0)</f>
        <v>0</v>
      </c>
      <c r="E761" t="s">
        <v>57</v>
      </c>
      <c r="F761" s="2">
        <v>788</v>
      </c>
      <c r="G761" t="s">
        <v>55</v>
      </c>
      <c r="H761">
        <v>24</v>
      </c>
      <c r="I761">
        <v>4</v>
      </c>
      <c r="J761" t="str">
        <f t="shared" si="23"/>
        <v>Master</v>
      </c>
      <c r="K761" t="s">
        <v>45</v>
      </c>
      <c r="L761">
        <v>2</v>
      </c>
      <c r="M761" t="s">
        <v>40</v>
      </c>
      <c r="N761" s="2">
        <v>36</v>
      </c>
      <c r="O761">
        <v>3</v>
      </c>
      <c r="P761">
        <v>1</v>
      </c>
      <c r="Q761" t="s">
        <v>55</v>
      </c>
      <c r="R761">
        <v>2</v>
      </c>
      <c r="S761" t="s">
        <v>37</v>
      </c>
      <c r="T761" s="2">
        <v>2177</v>
      </c>
      <c r="U761" s="2">
        <v>8318</v>
      </c>
      <c r="V761">
        <v>1</v>
      </c>
      <c r="W761" t="s">
        <v>38</v>
      </c>
      <c r="X761">
        <v>16</v>
      </c>
      <c r="Y761">
        <v>3</v>
      </c>
      <c r="Z761">
        <v>1</v>
      </c>
      <c r="AA761">
        <v>80</v>
      </c>
      <c r="AB761">
        <v>0</v>
      </c>
      <c r="AC761">
        <v>6</v>
      </c>
      <c r="AD761">
        <v>3</v>
      </c>
      <c r="AE761">
        <v>3</v>
      </c>
      <c r="AF761">
        <v>6</v>
      </c>
      <c r="AG761">
        <v>3</v>
      </c>
      <c r="AH761">
        <v>0</v>
      </c>
      <c r="AI761">
        <v>4</v>
      </c>
    </row>
    <row r="762" spans="1:35" x14ac:dyDescent="0.25">
      <c r="A762">
        <v>53</v>
      </c>
      <c r="B762" t="str">
        <f t="shared" si="22"/>
        <v>45-54</v>
      </c>
      <c r="C762" s="1" t="s">
        <v>38</v>
      </c>
      <c r="D762" s="17">
        <f>IF(Table1[[#This Row],[Attrition]]="Yes",1,0)</f>
        <v>0</v>
      </c>
      <c r="E762" t="s">
        <v>58</v>
      </c>
      <c r="F762" s="2">
        <v>124</v>
      </c>
      <c r="G762" t="s">
        <v>33</v>
      </c>
      <c r="H762">
        <v>2</v>
      </c>
      <c r="I762">
        <v>3</v>
      </c>
      <c r="J762" t="str">
        <f t="shared" si="23"/>
        <v>Bachelor</v>
      </c>
      <c r="K762" t="s">
        <v>53</v>
      </c>
      <c r="L762">
        <v>3</v>
      </c>
      <c r="M762" t="s">
        <v>35</v>
      </c>
      <c r="N762" s="2">
        <v>38</v>
      </c>
      <c r="O762">
        <v>2</v>
      </c>
      <c r="P762">
        <v>3</v>
      </c>
      <c r="Q762" t="s">
        <v>36</v>
      </c>
      <c r="R762">
        <v>2</v>
      </c>
      <c r="S762" t="s">
        <v>42</v>
      </c>
      <c r="T762" s="2">
        <v>7525</v>
      </c>
      <c r="U762" s="2">
        <v>23537</v>
      </c>
      <c r="V762">
        <v>2</v>
      </c>
      <c r="W762" t="s">
        <v>38</v>
      </c>
      <c r="X762">
        <v>12</v>
      </c>
      <c r="Y762">
        <v>3</v>
      </c>
      <c r="Z762">
        <v>1</v>
      </c>
      <c r="AA762">
        <v>80</v>
      </c>
      <c r="AB762">
        <v>1</v>
      </c>
      <c r="AC762">
        <v>30</v>
      </c>
      <c r="AD762">
        <v>2</v>
      </c>
      <c r="AE762">
        <v>3</v>
      </c>
      <c r="AF762">
        <v>15</v>
      </c>
      <c r="AG762">
        <v>7</v>
      </c>
      <c r="AH762">
        <v>6</v>
      </c>
      <c r="AI762">
        <v>12</v>
      </c>
    </row>
    <row r="763" spans="1:35" x14ac:dyDescent="0.25">
      <c r="A763">
        <v>36</v>
      </c>
      <c r="B763" t="str">
        <f t="shared" si="22"/>
        <v>35-44</v>
      </c>
      <c r="C763" s="1" t="s">
        <v>32</v>
      </c>
      <c r="D763" s="17">
        <f>IF(Table1[[#This Row],[Attrition]]="Yes",1,0)</f>
        <v>1</v>
      </c>
      <c r="E763" t="s">
        <v>57</v>
      </c>
      <c r="F763" s="2">
        <v>660</v>
      </c>
      <c r="G763" t="s">
        <v>39</v>
      </c>
      <c r="H763">
        <v>15</v>
      </c>
      <c r="I763">
        <v>3</v>
      </c>
      <c r="J763" t="str">
        <f t="shared" si="23"/>
        <v>Bachelor</v>
      </c>
      <c r="K763" t="s">
        <v>43</v>
      </c>
      <c r="L763">
        <v>1</v>
      </c>
      <c r="M763" t="s">
        <v>40</v>
      </c>
      <c r="N763" s="2">
        <v>81</v>
      </c>
      <c r="O763">
        <v>3</v>
      </c>
      <c r="P763">
        <v>2</v>
      </c>
      <c r="Q763" t="s">
        <v>44</v>
      </c>
      <c r="R763">
        <v>3</v>
      </c>
      <c r="S763" t="s">
        <v>46</v>
      </c>
      <c r="T763" s="2">
        <v>4834</v>
      </c>
      <c r="U763" s="2">
        <v>7858</v>
      </c>
      <c r="V763">
        <v>7</v>
      </c>
      <c r="W763" t="s">
        <v>38</v>
      </c>
      <c r="X763">
        <v>14</v>
      </c>
      <c r="Y763">
        <v>3</v>
      </c>
      <c r="Z763">
        <v>2</v>
      </c>
      <c r="AA763">
        <v>80</v>
      </c>
      <c r="AB763">
        <v>1</v>
      </c>
      <c r="AC763">
        <v>9</v>
      </c>
      <c r="AD763">
        <v>3</v>
      </c>
      <c r="AE763">
        <v>2</v>
      </c>
      <c r="AF763">
        <v>1</v>
      </c>
      <c r="AG763">
        <v>0</v>
      </c>
      <c r="AH763">
        <v>0</v>
      </c>
      <c r="AI763">
        <v>0</v>
      </c>
    </row>
    <row r="764" spans="1:35" x14ac:dyDescent="0.25">
      <c r="A764">
        <v>26</v>
      </c>
      <c r="B764" t="str">
        <f t="shared" si="22"/>
        <v>25-34</v>
      </c>
      <c r="C764" s="1" t="s">
        <v>32</v>
      </c>
      <c r="D764" s="17">
        <f>IF(Table1[[#This Row],[Attrition]]="Yes",1,0)</f>
        <v>1</v>
      </c>
      <c r="E764" t="s">
        <v>58</v>
      </c>
      <c r="F764" s="2">
        <v>342</v>
      </c>
      <c r="G764" t="s">
        <v>39</v>
      </c>
      <c r="H764">
        <v>2</v>
      </c>
      <c r="I764">
        <v>3</v>
      </c>
      <c r="J764" t="str">
        <f t="shared" si="23"/>
        <v>Bachelor</v>
      </c>
      <c r="K764" t="s">
        <v>34</v>
      </c>
      <c r="L764">
        <v>1</v>
      </c>
      <c r="M764" t="s">
        <v>40</v>
      </c>
      <c r="N764" s="2">
        <v>57</v>
      </c>
      <c r="O764">
        <v>3</v>
      </c>
      <c r="P764">
        <v>1</v>
      </c>
      <c r="Q764" t="s">
        <v>41</v>
      </c>
      <c r="R764">
        <v>1</v>
      </c>
      <c r="S764" t="s">
        <v>42</v>
      </c>
      <c r="T764" s="2">
        <v>2042</v>
      </c>
      <c r="U764" s="2">
        <v>15346</v>
      </c>
      <c r="V764">
        <v>6</v>
      </c>
      <c r="W764" t="s">
        <v>32</v>
      </c>
      <c r="X764">
        <v>14</v>
      </c>
      <c r="Y764">
        <v>3</v>
      </c>
      <c r="Z764">
        <v>2</v>
      </c>
      <c r="AA764">
        <v>80</v>
      </c>
      <c r="AB764">
        <v>1</v>
      </c>
      <c r="AC764">
        <v>6</v>
      </c>
      <c r="AD764">
        <v>2</v>
      </c>
      <c r="AE764">
        <v>3</v>
      </c>
      <c r="AF764">
        <v>3</v>
      </c>
      <c r="AG764">
        <v>2</v>
      </c>
      <c r="AH764">
        <v>1</v>
      </c>
      <c r="AI764">
        <v>2</v>
      </c>
    </row>
    <row r="765" spans="1:35" x14ac:dyDescent="0.25">
      <c r="A765">
        <v>34</v>
      </c>
      <c r="B765" t="str">
        <f t="shared" si="22"/>
        <v>25-34</v>
      </c>
      <c r="C765" s="1" t="s">
        <v>38</v>
      </c>
      <c r="D765" s="17">
        <f>IF(Table1[[#This Row],[Attrition]]="Yes",1,0)</f>
        <v>0</v>
      </c>
      <c r="E765" t="s">
        <v>57</v>
      </c>
      <c r="F765" s="2">
        <v>1333</v>
      </c>
      <c r="G765" t="s">
        <v>33</v>
      </c>
      <c r="H765">
        <v>10</v>
      </c>
      <c r="I765">
        <v>4</v>
      </c>
      <c r="J765" t="str">
        <f t="shared" si="23"/>
        <v>Master</v>
      </c>
      <c r="K765" t="s">
        <v>34</v>
      </c>
      <c r="L765">
        <v>3</v>
      </c>
      <c r="M765" t="s">
        <v>35</v>
      </c>
      <c r="N765" s="2">
        <v>87</v>
      </c>
      <c r="O765">
        <v>3</v>
      </c>
      <c r="P765">
        <v>1</v>
      </c>
      <c r="Q765" t="s">
        <v>51</v>
      </c>
      <c r="R765">
        <v>3</v>
      </c>
      <c r="S765" t="s">
        <v>42</v>
      </c>
      <c r="T765" s="2">
        <v>2220</v>
      </c>
      <c r="U765" s="2">
        <v>18410</v>
      </c>
      <c r="V765">
        <v>1</v>
      </c>
      <c r="W765" t="s">
        <v>32</v>
      </c>
      <c r="X765">
        <v>19</v>
      </c>
      <c r="Y765">
        <v>3</v>
      </c>
      <c r="Z765">
        <v>4</v>
      </c>
      <c r="AA765">
        <v>80</v>
      </c>
      <c r="AB765">
        <v>1</v>
      </c>
      <c r="AC765">
        <v>1</v>
      </c>
      <c r="AD765">
        <v>2</v>
      </c>
      <c r="AE765">
        <v>3</v>
      </c>
      <c r="AF765">
        <v>1</v>
      </c>
      <c r="AG765">
        <v>1</v>
      </c>
      <c r="AH765">
        <v>0</v>
      </c>
      <c r="AI765">
        <v>0</v>
      </c>
    </row>
    <row r="766" spans="1:35" x14ac:dyDescent="0.25">
      <c r="A766">
        <v>28</v>
      </c>
      <c r="B766" t="str">
        <f t="shared" si="22"/>
        <v>25-34</v>
      </c>
      <c r="C766" s="1" t="s">
        <v>38</v>
      </c>
      <c r="D766" s="17">
        <f>IF(Table1[[#This Row],[Attrition]]="Yes",1,0)</f>
        <v>0</v>
      </c>
      <c r="E766" t="s">
        <v>57</v>
      </c>
      <c r="F766" s="2">
        <v>1144</v>
      </c>
      <c r="G766" t="s">
        <v>33</v>
      </c>
      <c r="H766">
        <v>10</v>
      </c>
      <c r="I766">
        <v>1</v>
      </c>
      <c r="J766" t="str">
        <f t="shared" si="23"/>
        <v>Below College</v>
      </c>
      <c r="K766" t="s">
        <v>45</v>
      </c>
      <c r="L766">
        <v>4</v>
      </c>
      <c r="M766" t="s">
        <v>40</v>
      </c>
      <c r="N766" s="2">
        <v>74</v>
      </c>
      <c r="O766">
        <v>3</v>
      </c>
      <c r="P766">
        <v>1</v>
      </c>
      <c r="Q766" t="s">
        <v>51</v>
      </c>
      <c r="R766">
        <v>2</v>
      </c>
      <c r="S766" t="s">
        <v>42</v>
      </c>
      <c r="T766" s="2">
        <v>1052</v>
      </c>
      <c r="U766" s="2">
        <v>23384</v>
      </c>
      <c r="V766">
        <v>1</v>
      </c>
      <c r="W766" t="s">
        <v>38</v>
      </c>
      <c r="X766">
        <v>22</v>
      </c>
      <c r="Y766">
        <v>4</v>
      </c>
      <c r="Z766">
        <v>2</v>
      </c>
      <c r="AA766">
        <v>80</v>
      </c>
      <c r="AB766">
        <v>0</v>
      </c>
      <c r="AC766">
        <v>1</v>
      </c>
      <c r="AD766">
        <v>5</v>
      </c>
      <c r="AE766">
        <v>3</v>
      </c>
      <c r="AF766">
        <v>1</v>
      </c>
      <c r="AG766">
        <v>0</v>
      </c>
      <c r="AH766">
        <v>0</v>
      </c>
      <c r="AI766">
        <v>0</v>
      </c>
    </row>
    <row r="767" spans="1:35" x14ac:dyDescent="0.25">
      <c r="A767">
        <v>38</v>
      </c>
      <c r="B767" t="str">
        <f t="shared" si="22"/>
        <v>35-44</v>
      </c>
      <c r="C767" s="1" t="s">
        <v>38</v>
      </c>
      <c r="D767" s="17">
        <f>IF(Table1[[#This Row],[Attrition]]="Yes",1,0)</f>
        <v>0</v>
      </c>
      <c r="E767" t="s">
        <v>58</v>
      </c>
      <c r="F767" s="2">
        <v>1186</v>
      </c>
      <c r="G767" t="s">
        <v>39</v>
      </c>
      <c r="H767">
        <v>3</v>
      </c>
      <c r="I767">
        <v>4</v>
      </c>
      <c r="J767" t="str">
        <f t="shared" si="23"/>
        <v>Master</v>
      </c>
      <c r="K767" t="s">
        <v>43</v>
      </c>
      <c r="L767">
        <v>3</v>
      </c>
      <c r="M767" t="s">
        <v>40</v>
      </c>
      <c r="N767" s="2">
        <v>44</v>
      </c>
      <c r="O767">
        <v>3</v>
      </c>
      <c r="P767">
        <v>1</v>
      </c>
      <c r="Q767" t="s">
        <v>41</v>
      </c>
      <c r="R767">
        <v>3</v>
      </c>
      <c r="S767" t="s">
        <v>42</v>
      </c>
      <c r="T767" s="2">
        <v>2821</v>
      </c>
      <c r="U767" s="2">
        <v>2997</v>
      </c>
      <c r="V767">
        <v>3</v>
      </c>
      <c r="W767" t="s">
        <v>38</v>
      </c>
      <c r="X767">
        <v>16</v>
      </c>
      <c r="Y767">
        <v>3</v>
      </c>
      <c r="Z767">
        <v>1</v>
      </c>
      <c r="AA767">
        <v>80</v>
      </c>
      <c r="AB767">
        <v>1</v>
      </c>
      <c r="AC767">
        <v>8</v>
      </c>
      <c r="AD767">
        <v>2</v>
      </c>
      <c r="AE767">
        <v>3</v>
      </c>
      <c r="AF767">
        <v>2</v>
      </c>
      <c r="AG767">
        <v>2</v>
      </c>
      <c r="AH767">
        <v>2</v>
      </c>
      <c r="AI767">
        <v>2</v>
      </c>
    </row>
    <row r="768" spans="1:35" x14ac:dyDescent="0.25">
      <c r="A768">
        <v>50</v>
      </c>
      <c r="B768" t="str">
        <f t="shared" si="22"/>
        <v>45-54</v>
      </c>
      <c r="C768" s="1" t="s">
        <v>38</v>
      </c>
      <c r="D768" s="17">
        <f>IF(Table1[[#This Row],[Attrition]]="Yes",1,0)</f>
        <v>0</v>
      </c>
      <c r="E768" t="s">
        <v>57</v>
      </c>
      <c r="F768" s="2">
        <v>1464</v>
      </c>
      <c r="G768" t="s">
        <v>39</v>
      </c>
      <c r="H768">
        <v>2</v>
      </c>
      <c r="I768">
        <v>4</v>
      </c>
      <c r="J768" t="str">
        <f t="shared" si="23"/>
        <v>Master</v>
      </c>
      <c r="K768" t="s">
        <v>45</v>
      </c>
      <c r="L768">
        <v>2</v>
      </c>
      <c r="M768" t="s">
        <v>40</v>
      </c>
      <c r="N768" s="2">
        <v>62</v>
      </c>
      <c r="O768">
        <v>3</v>
      </c>
      <c r="P768">
        <v>5</v>
      </c>
      <c r="Q768" t="s">
        <v>52</v>
      </c>
      <c r="R768">
        <v>3</v>
      </c>
      <c r="S768" t="s">
        <v>42</v>
      </c>
      <c r="T768" s="2">
        <v>19237</v>
      </c>
      <c r="U768" s="2">
        <v>12853</v>
      </c>
      <c r="V768">
        <v>2</v>
      </c>
      <c r="W768" t="s">
        <v>32</v>
      </c>
      <c r="X768">
        <v>11</v>
      </c>
      <c r="Y768">
        <v>3</v>
      </c>
      <c r="Z768">
        <v>4</v>
      </c>
      <c r="AA768">
        <v>80</v>
      </c>
      <c r="AB768">
        <v>1</v>
      </c>
      <c r="AC768">
        <v>29</v>
      </c>
      <c r="AD768">
        <v>2</v>
      </c>
      <c r="AE768">
        <v>2</v>
      </c>
      <c r="AF768">
        <v>8</v>
      </c>
      <c r="AG768">
        <v>1</v>
      </c>
      <c r="AH768">
        <v>7</v>
      </c>
      <c r="AI768">
        <v>7</v>
      </c>
    </row>
    <row r="769" spans="1:35" x14ac:dyDescent="0.25">
      <c r="A769">
        <v>37</v>
      </c>
      <c r="B769" t="str">
        <f t="shared" si="22"/>
        <v>35-44</v>
      </c>
      <c r="C769" s="1" t="s">
        <v>38</v>
      </c>
      <c r="D769" s="17">
        <f>IF(Table1[[#This Row],[Attrition]]="Yes",1,0)</f>
        <v>0</v>
      </c>
      <c r="E769" t="s">
        <v>57</v>
      </c>
      <c r="F769" s="2">
        <v>124</v>
      </c>
      <c r="G769" t="s">
        <v>39</v>
      </c>
      <c r="H769">
        <v>3</v>
      </c>
      <c r="I769">
        <v>3</v>
      </c>
      <c r="J769" t="str">
        <f t="shared" si="23"/>
        <v>Bachelor</v>
      </c>
      <c r="K769" t="s">
        <v>43</v>
      </c>
      <c r="L769">
        <v>4</v>
      </c>
      <c r="M769" t="s">
        <v>35</v>
      </c>
      <c r="N769" s="2">
        <v>35</v>
      </c>
      <c r="O769">
        <v>3</v>
      </c>
      <c r="P769">
        <v>2</v>
      </c>
      <c r="Q769" t="s">
        <v>48</v>
      </c>
      <c r="R769">
        <v>2</v>
      </c>
      <c r="S769" t="s">
        <v>37</v>
      </c>
      <c r="T769" s="2">
        <v>4107</v>
      </c>
      <c r="U769" s="2">
        <v>13848</v>
      </c>
      <c r="V769">
        <v>3</v>
      </c>
      <c r="W769" t="s">
        <v>38</v>
      </c>
      <c r="X769">
        <v>15</v>
      </c>
      <c r="Y769">
        <v>3</v>
      </c>
      <c r="Z769">
        <v>1</v>
      </c>
      <c r="AA769">
        <v>80</v>
      </c>
      <c r="AB769">
        <v>0</v>
      </c>
      <c r="AC769">
        <v>8</v>
      </c>
      <c r="AD769">
        <v>3</v>
      </c>
      <c r="AE769">
        <v>2</v>
      </c>
      <c r="AF769">
        <v>4</v>
      </c>
      <c r="AG769">
        <v>3</v>
      </c>
      <c r="AH769">
        <v>0</v>
      </c>
      <c r="AI769">
        <v>1</v>
      </c>
    </row>
    <row r="770" spans="1:35" x14ac:dyDescent="0.25">
      <c r="A770">
        <v>40</v>
      </c>
      <c r="B770" t="str">
        <f t="shared" ref="B770:B833" si="24">IF(A770="","",IF(A770&lt;25,"18-24",
 IF(A770&lt;35,"25-34",
 IF(A770&lt;45,"35-44",
 IF(A770&lt;55,"45-54",
 IF(A770&lt;65,"55-64","65+"))))))</f>
        <v>35-44</v>
      </c>
      <c r="C770" s="1" t="s">
        <v>38</v>
      </c>
      <c r="D770" s="17">
        <f>IF(Table1[[#This Row],[Attrition]]="Yes",1,0)</f>
        <v>0</v>
      </c>
      <c r="E770" t="s">
        <v>57</v>
      </c>
      <c r="F770" s="2">
        <v>300</v>
      </c>
      <c r="G770" t="s">
        <v>33</v>
      </c>
      <c r="H770">
        <v>26</v>
      </c>
      <c r="I770">
        <v>3</v>
      </c>
      <c r="J770" t="str">
        <f t="shared" ref="J770:J833" si="25">CHOOSE(I770,"Below College","College","Bachelor","Master","Doctor")</f>
        <v>Bachelor</v>
      </c>
      <c r="K770" t="s">
        <v>53</v>
      </c>
      <c r="L770">
        <v>3</v>
      </c>
      <c r="M770" t="s">
        <v>40</v>
      </c>
      <c r="N770" s="2">
        <v>74</v>
      </c>
      <c r="O770">
        <v>3</v>
      </c>
      <c r="P770">
        <v>2</v>
      </c>
      <c r="Q770" t="s">
        <v>36</v>
      </c>
      <c r="R770">
        <v>1</v>
      </c>
      <c r="S770" t="s">
        <v>42</v>
      </c>
      <c r="T770" s="2">
        <v>8396</v>
      </c>
      <c r="U770" s="2">
        <v>22217</v>
      </c>
      <c r="V770">
        <v>1</v>
      </c>
      <c r="W770" t="s">
        <v>38</v>
      </c>
      <c r="X770">
        <v>14</v>
      </c>
      <c r="Y770">
        <v>3</v>
      </c>
      <c r="Z770">
        <v>2</v>
      </c>
      <c r="AA770">
        <v>80</v>
      </c>
      <c r="AB770">
        <v>1</v>
      </c>
      <c r="AC770">
        <v>8</v>
      </c>
      <c r="AD770">
        <v>3</v>
      </c>
      <c r="AE770">
        <v>2</v>
      </c>
      <c r="AF770">
        <v>7</v>
      </c>
      <c r="AG770">
        <v>7</v>
      </c>
      <c r="AH770">
        <v>7</v>
      </c>
      <c r="AI770">
        <v>5</v>
      </c>
    </row>
    <row r="771" spans="1:35" x14ac:dyDescent="0.25">
      <c r="A771">
        <v>26</v>
      </c>
      <c r="B771" t="str">
        <f t="shared" si="24"/>
        <v>25-34</v>
      </c>
      <c r="C771" s="1" t="s">
        <v>38</v>
      </c>
      <c r="D771" s="17">
        <f>IF(Table1[[#This Row],[Attrition]]="Yes",1,0)</f>
        <v>0</v>
      </c>
      <c r="E771" t="s">
        <v>58</v>
      </c>
      <c r="F771" s="2">
        <v>921</v>
      </c>
      <c r="G771" t="s">
        <v>39</v>
      </c>
      <c r="H771">
        <v>1</v>
      </c>
      <c r="I771">
        <v>1</v>
      </c>
      <c r="J771" t="str">
        <f t="shared" si="25"/>
        <v>Below College</v>
      </c>
      <c r="K771" t="s">
        <v>45</v>
      </c>
      <c r="L771">
        <v>1</v>
      </c>
      <c r="M771" t="s">
        <v>35</v>
      </c>
      <c r="N771" s="2">
        <v>66</v>
      </c>
      <c r="O771">
        <v>2</v>
      </c>
      <c r="P771">
        <v>1</v>
      </c>
      <c r="Q771" t="s">
        <v>41</v>
      </c>
      <c r="R771">
        <v>3</v>
      </c>
      <c r="S771" t="s">
        <v>46</v>
      </c>
      <c r="T771" s="2">
        <v>2007</v>
      </c>
      <c r="U771" s="2">
        <v>25265</v>
      </c>
      <c r="V771">
        <v>1</v>
      </c>
      <c r="W771" t="s">
        <v>38</v>
      </c>
      <c r="X771">
        <v>13</v>
      </c>
      <c r="Y771">
        <v>3</v>
      </c>
      <c r="Z771">
        <v>3</v>
      </c>
      <c r="AA771">
        <v>80</v>
      </c>
      <c r="AB771">
        <v>2</v>
      </c>
      <c r="AC771">
        <v>5</v>
      </c>
      <c r="AD771">
        <v>5</v>
      </c>
      <c r="AE771">
        <v>3</v>
      </c>
      <c r="AF771">
        <v>5</v>
      </c>
      <c r="AG771">
        <v>3</v>
      </c>
      <c r="AH771">
        <v>1</v>
      </c>
      <c r="AI771">
        <v>3</v>
      </c>
    </row>
    <row r="772" spans="1:35" x14ac:dyDescent="0.25">
      <c r="A772">
        <v>46</v>
      </c>
      <c r="B772" t="str">
        <f t="shared" si="24"/>
        <v>45-54</v>
      </c>
      <c r="C772" s="1" t="s">
        <v>38</v>
      </c>
      <c r="D772" s="17">
        <f>IF(Table1[[#This Row],[Attrition]]="Yes",1,0)</f>
        <v>0</v>
      </c>
      <c r="E772" t="s">
        <v>57</v>
      </c>
      <c r="F772" s="2">
        <v>430</v>
      </c>
      <c r="G772" t="s">
        <v>39</v>
      </c>
      <c r="H772">
        <v>1</v>
      </c>
      <c r="I772">
        <v>4</v>
      </c>
      <c r="J772" t="str">
        <f t="shared" si="25"/>
        <v>Master</v>
      </c>
      <c r="K772" t="s">
        <v>45</v>
      </c>
      <c r="L772">
        <v>4</v>
      </c>
      <c r="M772" t="s">
        <v>40</v>
      </c>
      <c r="N772" s="2">
        <v>40</v>
      </c>
      <c r="O772">
        <v>3</v>
      </c>
      <c r="P772">
        <v>5</v>
      </c>
      <c r="Q772" t="s">
        <v>52</v>
      </c>
      <c r="R772">
        <v>4</v>
      </c>
      <c r="S772" t="s">
        <v>46</v>
      </c>
      <c r="T772" s="2">
        <v>19627</v>
      </c>
      <c r="U772" s="2">
        <v>21445</v>
      </c>
      <c r="V772">
        <v>9</v>
      </c>
      <c r="W772" t="s">
        <v>38</v>
      </c>
      <c r="X772">
        <v>17</v>
      </c>
      <c r="Y772">
        <v>3</v>
      </c>
      <c r="Z772">
        <v>4</v>
      </c>
      <c r="AA772">
        <v>80</v>
      </c>
      <c r="AB772">
        <v>2</v>
      </c>
      <c r="AC772">
        <v>23</v>
      </c>
      <c r="AD772">
        <v>0</v>
      </c>
      <c r="AE772">
        <v>3</v>
      </c>
      <c r="AF772">
        <v>2</v>
      </c>
      <c r="AG772">
        <v>2</v>
      </c>
      <c r="AH772">
        <v>2</v>
      </c>
      <c r="AI772">
        <v>2</v>
      </c>
    </row>
    <row r="773" spans="1:35" x14ac:dyDescent="0.25">
      <c r="A773">
        <v>54</v>
      </c>
      <c r="B773" t="str">
        <f t="shared" si="24"/>
        <v>45-54</v>
      </c>
      <c r="C773" s="1" t="s">
        <v>38</v>
      </c>
      <c r="D773" s="17">
        <f>IF(Table1[[#This Row],[Attrition]]="Yes",1,0)</f>
        <v>0</v>
      </c>
      <c r="E773" t="s">
        <v>57</v>
      </c>
      <c r="F773" s="2">
        <v>1082</v>
      </c>
      <c r="G773" t="s">
        <v>33</v>
      </c>
      <c r="H773">
        <v>2</v>
      </c>
      <c r="I773">
        <v>4</v>
      </c>
      <c r="J773" t="str">
        <f t="shared" si="25"/>
        <v>Master</v>
      </c>
      <c r="K773" t="s">
        <v>34</v>
      </c>
      <c r="L773">
        <v>3</v>
      </c>
      <c r="M773" t="s">
        <v>35</v>
      </c>
      <c r="N773" s="2">
        <v>41</v>
      </c>
      <c r="O773">
        <v>2</v>
      </c>
      <c r="P773">
        <v>3</v>
      </c>
      <c r="Q773" t="s">
        <v>36</v>
      </c>
      <c r="R773">
        <v>3</v>
      </c>
      <c r="S773" t="s">
        <v>42</v>
      </c>
      <c r="T773" s="2">
        <v>10686</v>
      </c>
      <c r="U773" s="2">
        <v>8392</v>
      </c>
      <c r="V773">
        <v>6</v>
      </c>
      <c r="W773" t="s">
        <v>38</v>
      </c>
      <c r="X773">
        <v>11</v>
      </c>
      <c r="Y773">
        <v>3</v>
      </c>
      <c r="Z773">
        <v>2</v>
      </c>
      <c r="AA773">
        <v>80</v>
      </c>
      <c r="AB773">
        <v>1</v>
      </c>
      <c r="AC773">
        <v>13</v>
      </c>
      <c r="AD773">
        <v>4</v>
      </c>
      <c r="AE773">
        <v>3</v>
      </c>
      <c r="AF773">
        <v>9</v>
      </c>
      <c r="AG773">
        <v>4</v>
      </c>
      <c r="AH773">
        <v>7</v>
      </c>
      <c r="AI773">
        <v>0</v>
      </c>
    </row>
    <row r="774" spans="1:35" x14ac:dyDescent="0.25">
      <c r="A774">
        <v>56</v>
      </c>
      <c r="B774" t="str">
        <f t="shared" si="24"/>
        <v>55-64</v>
      </c>
      <c r="C774" s="1" t="s">
        <v>38</v>
      </c>
      <c r="D774" s="17">
        <f>IF(Table1[[#This Row],[Attrition]]="Yes",1,0)</f>
        <v>0</v>
      </c>
      <c r="E774" t="s">
        <v>58</v>
      </c>
      <c r="F774" s="2">
        <v>1240</v>
      </c>
      <c r="G774" t="s">
        <v>39</v>
      </c>
      <c r="H774">
        <v>9</v>
      </c>
      <c r="I774">
        <v>3</v>
      </c>
      <c r="J774" t="str">
        <f t="shared" si="25"/>
        <v>Bachelor</v>
      </c>
      <c r="K774" t="s">
        <v>45</v>
      </c>
      <c r="L774">
        <v>1</v>
      </c>
      <c r="M774" t="s">
        <v>35</v>
      </c>
      <c r="N774" s="2">
        <v>63</v>
      </c>
      <c r="O774">
        <v>3</v>
      </c>
      <c r="P774">
        <v>1</v>
      </c>
      <c r="Q774" t="s">
        <v>41</v>
      </c>
      <c r="R774">
        <v>3</v>
      </c>
      <c r="S774" t="s">
        <v>42</v>
      </c>
      <c r="T774" s="2">
        <v>2942</v>
      </c>
      <c r="U774" s="2">
        <v>12154</v>
      </c>
      <c r="V774">
        <v>2</v>
      </c>
      <c r="W774" t="s">
        <v>38</v>
      </c>
      <c r="X774">
        <v>19</v>
      </c>
      <c r="Y774">
        <v>3</v>
      </c>
      <c r="Z774">
        <v>2</v>
      </c>
      <c r="AA774">
        <v>80</v>
      </c>
      <c r="AB774">
        <v>1</v>
      </c>
      <c r="AC774">
        <v>18</v>
      </c>
      <c r="AD774">
        <v>4</v>
      </c>
      <c r="AE774">
        <v>3</v>
      </c>
      <c r="AF774">
        <v>5</v>
      </c>
      <c r="AG774">
        <v>4</v>
      </c>
      <c r="AH774">
        <v>0</v>
      </c>
      <c r="AI774">
        <v>3</v>
      </c>
    </row>
    <row r="775" spans="1:35" x14ac:dyDescent="0.25">
      <c r="A775">
        <v>36</v>
      </c>
      <c r="B775" t="str">
        <f t="shared" si="24"/>
        <v>35-44</v>
      </c>
      <c r="C775" s="1" t="s">
        <v>38</v>
      </c>
      <c r="D775" s="17">
        <f>IF(Table1[[#This Row],[Attrition]]="Yes",1,0)</f>
        <v>0</v>
      </c>
      <c r="E775" t="s">
        <v>57</v>
      </c>
      <c r="F775" s="2">
        <v>796</v>
      </c>
      <c r="G775" t="s">
        <v>39</v>
      </c>
      <c r="H775">
        <v>12</v>
      </c>
      <c r="I775">
        <v>5</v>
      </c>
      <c r="J775" t="str">
        <f t="shared" si="25"/>
        <v>Doctor</v>
      </c>
      <c r="K775" t="s">
        <v>45</v>
      </c>
      <c r="L775">
        <v>4</v>
      </c>
      <c r="M775" t="s">
        <v>35</v>
      </c>
      <c r="N775" s="2">
        <v>51</v>
      </c>
      <c r="O775">
        <v>2</v>
      </c>
      <c r="P775">
        <v>3</v>
      </c>
      <c r="Q775" t="s">
        <v>47</v>
      </c>
      <c r="R775">
        <v>4</v>
      </c>
      <c r="S775" t="s">
        <v>37</v>
      </c>
      <c r="T775" s="2">
        <v>8858</v>
      </c>
      <c r="U775" s="2">
        <v>15669</v>
      </c>
      <c r="V775">
        <v>0</v>
      </c>
      <c r="W775" t="s">
        <v>38</v>
      </c>
      <c r="X775">
        <v>11</v>
      </c>
      <c r="Y775">
        <v>3</v>
      </c>
      <c r="Z775">
        <v>2</v>
      </c>
      <c r="AA775">
        <v>80</v>
      </c>
      <c r="AB775">
        <v>0</v>
      </c>
      <c r="AC775">
        <v>15</v>
      </c>
      <c r="AD775">
        <v>2</v>
      </c>
      <c r="AE775">
        <v>2</v>
      </c>
      <c r="AF775">
        <v>14</v>
      </c>
      <c r="AG775">
        <v>8</v>
      </c>
      <c r="AH775">
        <v>7</v>
      </c>
      <c r="AI775">
        <v>8</v>
      </c>
    </row>
    <row r="776" spans="1:35" x14ac:dyDescent="0.25">
      <c r="A776">
        <v>55</v>
      </c>
      <c r="B776" t="str">
        <f t="shared" si="24"/>
        <v>55-64</v>
      </c>
      <c r="C776" s="1" t="s">
        <v>38</v>
      </c>
      <c r="D776" s="17">
        <f>IF(Table1[[#This Row],[Attrition]]="Yes",1,0)</f>
        <v>0</v>
      </c>
      <c r="E776" t="s">
        <v>49</v>
      </c>
      <c r="F776" s="2">
        <v>444</v>
      </c>
      <c r="G776" t="s">
        <v>39</v>
      </c>
      <c r="H776">
        <v>2</v>
      </c>
      <c r="I776">
        <v>1</v>
      </c>
      <c r="J776" t="str">
        <f t="shared" si="25"/>
        <v>Below College</v>
      </c>
      <c r="K776" t="s">
        <v>45</v>
      </c>
      <c r="L776">
        <v>3</v>
      </c>
      <c r="M776" t="s">
        <v>40</v>
      </c>
      <c r="N776" s="2">
        <v>40</v>
      </c>
      <c r="O776">
        <v>2</v>
      </c>
      <c r="P776">
        <v>4</v>
      </c>
      <c r="Q776" t="s">
        <v>50</v>
      </c>
      <c r="R776">
        <v>1</v>
      </c>
      <c r="S776" t="s">
        <v>37</v>
      </c>
      <c r="T776" s="2">
        <v>16756</v>
      </c>
      <c r="U776" s="2">
        <v>17323</v>
      </c>
      <c r="V776">
        <v>7</v>
      </c>
      <c r="W776" t="s">
        <v>38</v>
      </c>
      <c r="X776">
        <v>15</v>
      </c>
      <c r="Y776">
        <v>3</v>
      </c>
      <c r="Z776">
        <v>2</v>
      </c>
      <c r="AA776">
        <v>80</v>
      </c>
      <c r="AB776">
        <v>0</v>
      </c>
      <c r="AC776">
        <v>31</v>
      </c>
      <c r="AD776">
        <v>3</v>
      </c>
      <c r="AE776">
        <v>4</v>
      </c>
      <c r="AF776">
        <v>9</v>
      </c>
      <c r="AG776">
        <v>7</v>
      </c>
      <c r="AH776">
        <v>6</v>
      </c>
      <c r="AI776">
        <v>2</v>
      </c>
    </row>
    <row r="777" spans="1:35" x14ac:dyDescent="0.25">
      <c r="A777">
        <v>43</v>
      </c>
      <c r="B777" t="str">
        <f t="shared" si="24"/>
        <v>35-44</v>
      </c>
      <c r="C777" s="1" t="s">
        <v>38</v>
      </c>
      <c r="D777" s="17">
        <f>IF(Table1[[#This Row],[Attrition]]="Yes",1,0)</f>
        <v>0</v>
      </c>
      <c r="E777" t="s">
        <v>57</v>
      </c>
      <c r="F777" s="2">
        <v>415</v>
      </c>
      <c r="G777" t="s">
        <v>33</v>
      </c>
      <c r="H777">
        <v>25</v>
      </c>
      <c r="I777">
        <v>3</v>
      </c>
      <c r="J777" t="str">
        <f t="shared" si="25"/>
        <v>Bachelor</v>
      </c>
      <c r="K777" t="s">
        <v>45</v>
      </c>
      <c r="L777">
        <v>3</v>
      </c>
      <c r="M777" t="s">
        <v>40</v>
      </c>
      <c r="N777" s="2">
        <v>79</v>
      </c>
      <c r="O777">
        <v>2</v>
      </c>
      <c r="P777">
        <v>3</v>
      </c>
      <c r="Q777" t="s">
        <v>36</v>
      </c>
      <c r="R777">
        <v>4</v>
      </c>
      <c r="S777" t="s">
        <v>46</v>
      </c>
      <c r="T777" s="2">
        <v>10798</v>
      </c>
      <c r="U777" s="2">
        <v>5268</v>
      </c>
      <c r="V777">
        <v>5</v>
      </c>
      <c r="W777" t="s">
        <v>38</v>
      </c>
      <c r="X777">
        <v>13</v>
      </c>
      <c r="Y777">
        <v>3</v>
      </c>
      <c r="Z777">
        <v>3</v>
      </c>
      <c r="AA777">
        <v>80</v>
      </c>
      <c r="AB777">
        <v>1</v>
      </c>
      <c r="AC777">
        <v>18</v>
      </c>
      <c r="AD777">
        <v>5</v>
      </c>
      <c r="AE777">
        <v>3</v>
      </c>
      <c r="AF777">
        <v>1</v>
      </c>
      <c r="AG777">
        <v>0</v>
      </c>
      <c r="AH777">
        <v>0</v>
      </c>
      <c r="AI777">
        <v>0</v>
      </c>
    </row>
    <row r="778" spans="1:35" x14ac:dyDescent="0.25">
      <c r="A778">
        <v>20</v>
      </c>
      <c r="B778" t="str">
        <f t="shared" si="24"/>
        <v>18-24</v>
      </c>
      <c r="C778" s="1" t="s">
        <v>32</v>
      </c>
      <c r="D778" s="17">
        <f>IF(Table1[[#This Row],[Attrition]]="Yes",1,0)</f>
        <v>1</v>
      </c>
      <c r="E778" t="s">
        <v>58</v>
      </c>
      <c r="F778" s="2">
        <v>769</v>
      </c>
      <c r="G778" t="s">
        <v>33</v>
      </c>
      <c r="H778">
        <v>9</v>
      </c>
      <c r="I778">
        <v>3</v>
      </c>
      <c r="J778" t="str">
        <f t="shared" si="25"/>
        <v>Bachelor</v>
      </c>
      <c r="K778" t="s">
        <v>53</v>
      </c>
      <c r="L778">
        <v>4</v>
      </c>
      <c r="M778" t="s">
        <v>35</v>
      </c>
      <c r="N778" s="2">
        <v>54</v>
      </c>
      <c r="O778">
        <v>3</v>
      </c>
      <c r="P778">
        <v>1</v>
      </c>
      <c r="Q778" t="s">
        <v>51</v>
      </c>
      <c r="R778">
        <v>4</v>
      </c>
      <c r="S778" t="s">
        <v>37</v>
      </c>
      <c r="T778" s="2">
        <v>2323</v>
      </c>
      <c r="U778" s="2">
        <v>17205</v>
      </c>
      <c r="V778">
        <v>1</v>
      </c>
      <c r="W778" t="s">
        <v>32</v>
      </c>
      <c r="X778">
        <v>14</v>
      </c>
      <c r="Y778">
        <v>3</v>
      </c>
      <c r="Z778">
        <v>2</v>
      </c>
      <c r="AA778">
        <v>80</v>
      </c>
      <c r="AB778">
        <v>0</v>
      </c>
      <c r="AC778">
        <v>2</v>
      </c>
      <c r="AD778">
        <v>3</v>
      </c>
      <c r="AE778">
        <v>3</v>
      </c>
      <c r="AF778">
        <v>2</v>
      </c>
      <c r="AG778">
        <v>2</v>
      </c>
      <c r="AH778">
        <v>0</v>
      </c>
      <c r="AI778">
        <v>2</v>
      </c>
    </row>
    <row r="779" spans="1:35" x14ac:dyDescent="0.25">
      <c r="A779">
        <v>21</v>
      </c>
      <c r="B779" t="str">
        <f t="shared" si="24"/>
        <v>18-24</v>
      </c>
      <c r="C779" s="1" t="s">
        <v>32</v>
      </c>
      <c r="D779" s="17">
        <f>IF(Table1[[#This Row],[Attrition]]="Yes",1,0)</f>
        <v>1</v>
      </c>
      <c r="E779" t="s">
        <v>57</v>
      </c>
      <c r="F779" s="2">
        <v>1334</v>
      </c>
      <c r="G779" t="s">
        <v>39</v>
      </c>
      <c r="H779">
        <v>10</v>
      </c>
      <c r="I779">
        <v>3</v>
      </c>
      <c r="J779" t="str">
        <f t="shared" si="25"/>
        <v>Bachelor</v>
      </c>
      <c r="K779" t="s">
        <v>34</v>
      </c>
      <c r="L779">
        <v>3</v>
      </c>
      <c r="M779" t="s">
        <v>35</v>
      </c>
      <c r="N779" s="2">
        <v>36</v>
      </c>
      <c r="O779">
        <v>2</v>
      </c>
      <c r="P779">
        <v>1</v>
      </c>
      <c r="Q779" t="s">
        <v>44</v>
      </c>
      <c r="R779">
        <v>1</v>
      </c>
      <c r="S779" t="s">
        <v>37</v>
      </c>
      <c r="T779" s="2">
        <v>1416</v>
      </c>
      <c r="U779" s="2">
        <v>17258</v>
      </c>
      <c r="V779">
        <v>1</v>
      </c>
      <c r="W779" t="s">
        <v>38</v>
      </c>
      <c r="X779">
        <v>13</v>
      </c>
      <c r="Y779">
        <v>3</v>
      </c>
      <c r="Z779">
        <v>1</v>
      </c>
      <c r="AA779">
        <v>80</v>
      </c>
      <c r="AB779">
        <v>0</v>
      </c>
      <c r="AC779">
        <v>1</v>
      </c>
      <c r="AD779">
        <v>6</v>
      </c>
      <c r="AE779">
        <v>2</v>
      </c>
      <c r="AF779">
        <v>1</v>
      </c>
      <c r="AG779">
        <v>0</v>
      </c>
      <c r="AH779">
        <v>1</v>
      </c>
      <c r="AI779">
        <v>0</v>
      </c>
    </row>
    <row r="780" spans="1:35" x14ac:dyDescent="0.25">
      <c r="A780">
        <v>46</v>
      </c>
      <c r="B780" t="str">
        <f t="shared" si="24"/>
        <v>45-54</v>
      </c>
      <c r="C780" s="1" t="s">
        <v>38</v>
      </c>
      <c r="D780" s="17">
        <f>IF(Table1[[#This Row],[Attrition]]="Yes",1,0)</f>
        <v>0</v>
      </c>
      <c r="E780" t="s">
        <v>57</v>
      </c>
      <c r="F780" s="2">
        <v>1003</v>
      </c>
      <c r="G780" t="s">
        <v>39</v>
      </c>
      <c r="H780">
        <v>8</v>
      </c>
      <c r="I780">
        <v>4</v>
      </c>
      <c r="J780" t="str">
        <f t="shared" si="25"/>
        <v>Master</v>
      </c>
      <c r="K780" t="s">
        <v>34</v>
      </c>
      <c r="L780">
        <v>4</v>
      </c>
      <c r="M780" t="s">
        <v>35</v>
      </c>
      <c r="N780" s="2">
        <v>74</v>
      </c>
      <c r="O780">
        <v>2</v>
      </c>
      <c r="P780">
        <v>2</v>
      </c>
      <c r="Q780" t="s">
        <v>41</v>
      </c>
      <c r="R780">
        <v>1</v>
      </c>
      <c r="S780" t="s">
        <v>46</v>
      </c>
      <c r="T780" s="2">
        <v>4615</v>
      </c>
      <c r="U780" s="2">
        <v>21029</v>
      </c>
      <c r="V780">
        <v>8</v>
      </c>
      <c r="W780" t="s">
        <v>32</v>
      </c>
      <c r="X780">
        <v>23</v>
      </c>
      <c r="Y780">
        <v>4</v>
      </c>
      <c r="Z780">
        <v>1</v>
      </c>
      <c r="AA780">
        <v>80</v>
      </c>
      <c r="AB780">
        <v>3</v>
      </c>
      <c r="AC780">
        <v>19</v>
      </c>
      <c r="AD780">
        <v>2</v>
      </c>
      <c r="AE780">
        <v>3</v>
      </c>
      <c r="AF780">
        <v>16</v>
      </c>
      <c r="AG780">
        <v>13</v>
      </c>
      <c r="AH780">
        <v>1</v>
      </c>
      <c r="AI780">
        <v>7</v>
      </c>
    </row>
    <row r="781" spans="1:35" x14ac:dyDescent="0.25">
      <c r="A781">
        <v>51</v>
      </c>
      <c r="B781" t="str">
        <f t="shared" si="24"/>
        <v>45-54</v>
      </c>
      <c r="C781" s="1" t="s">
        <v>32</v>
      </c>
      <c r="D781" s="17">
        <f>IF(Table1[[#This Row],[Attrition]]="Yes",1,0)</f>
        <v>1</v>
      </c>
      <c r="E781" t="s">
        <v>57</v>
      </c>
      <c r="F781" s="2">
        <v>1323</v>
      </c>
      <c r="G781" t="s">
        <v>39</v>
      </c>
      <c r="H781">
        <v>4</v>
      </c>
      <c r="I781">
        <v>4</v>
      </c>
      <c r="J781" t="str">
        <f t="shared" si="25"/>
        <v>Master</v>
      </c>
      <c r="K781" t="s">
        <v>34</v>
      </c>
      <c r="L781">
        <v>1</v>
      </c>
      <c r="M781" t="s">
        <v>40</v>
      </c>
      <c r="N781" s="2">
        <v>34</v>
      </c>
      <c r="O781">
        <v>3</v>
      </c>
      <c r="P781">
        <v>1</v>
      </c>
      <c r="Q781" t="s">
        <v>41</v>
      </c>
      <c r="R781">
        <v>3</v>
      </c>
      <c r="S781" t="s">
        <v>42</v>
      </c>
      <c r="T781" s="2">
        <v>2461</v>
      </c>
      <c r="U781" s="2">
        <v>10332</v>
      </c>
      <c r="V781">
        <v>9</v>
      </c>
      <c r="W781" t="s">
        <v>32</v>
      </c>
      <c r="X781">
        <v>12</v>
      </c>
      <c r="Y781">
        <v>3</v>
      </c>
      <c r="Z781">
        <v>3</v>
      </c>
      <c r="AA781">
        <v>80</v>
      </c>
      <c r="AB781">
        <v>3</v>
      </c>
      <c r="AC781">
        <v>18</v>
      </c>
      <c r="AD781">
        <v>2</v>
      </c>
      <c r="AE781">
        <v>4</v>
      </c>
      <c r="AF781">
        <v>10</v>
      </c>
      <c r="AG781">
        <v>0</v>
      </c>
      <c r="AH781">
        <v>2</v>
      </c>
      <c r="AI781">
        <v>7</v>
      </c>
    </row>
    <row r="782" spans="1:35" x14ac:dyDescent="0.25">
      <c r="A782">
        <v>28</v>
      </c>
      <c r="B782" t="str">
        <f t="shared" si="24"/>
        <v>25-34</v>
      </c>
      <c r="C782" s="1" t="s">
        <v>32</v>
      </c>
      <c r="D782" s="17">
        <f>IF(Table1[[#This Row],[Attrition]]="Yes",1,0)</f>
        <v>1</v>
      </c>
      <c r="E782" t="s">
        <v>49</v>
      </c>
      <c r="F782" s="2">
        <v>1366</v>
      </c>
      <c r="G782" t="s">
        <v>39</v>
      </c>
      <c r="H782">
        <v>24</v>
      </c>
      <c r="I782">
        <v>2</v>
      </c>
      <c r="J782" t="str">
        <f t="shared" si="25"/>
        <v>College</v>
      </c>
      <c r="K782" t="s">
        <v>54</v>
      </c>
      <c r="L782">
        <v>2</v>
      </c>
      <c r="M782" t="s">
        <v>40</v>
      </c>
      <c r="N782" s="2">
        <v>72</v>
      </c>
      <c r="O782">
        <v>2</v>
      </c>
      <c r="P782">
        <v>3</v>
      </c>
      <c r="Q782" t="s">
        <v>48</v>
      </c>
      <c r="R782">
        <v>1</v>
      </c>
      <c r="S782" t="s">
        <v>37</v>
      </c>
      <c r="T782" s="2">
        <v>8722</v>
      </c>
      <c r="U782" s="2">
        <v>12355</v>
      </c>
      <c r="V782">
        <v>1</v>
      </c>
      <c r="W782" t="s">
        <v>38</v>
      </c>
      <c r="X782">
        <v>12</v>
      </c>
      <c r="Y782">
        <v>3</v>
      </c>
      <c r="Z782">
        <v>1</v>
      </c>
      <c r="AA782">
        <v>80</v>
      </c>
      <c r="AB782">
        <v>0</v>
      </c>
      <c r="AC782">
        <v>10</v>
      </c>
      <c r="AD782">
        <v>2</v>
      </c>
      <c r="AE782">
        <v>2</v>
      </c>
      <c r="AF782">
        <v>10</v>
      </c>
      <c r="AG782">
        <v>7</v>
      </c>
      <c r="AH782">
        <v>1</v>
      </c>
      <c r="AI782">
        <v>9</v>
      </c>
    </row>
    <row r="783" spans="1:35" x14ac:dyDescent="0.25">
      <c r="A783">
        <v>26</v>
      </c>
      <c r="B783" t="str">
        <f t="shared" si="24"/>
        <v>25-34</v>
      </c>
      <c r="C783" s="1" t="s">
        <v>38</v>
      </c>
      <c r="D783" s="17">
        <f>IF(Table1[[#This Row],[Attrition]]="Yes",1,0)</f>
        <v>0</v>
      </c>
      <c r="E783" t="s">
        <v>57</v>
      </c>
      <c r="F783" s="2">
        <v>192</v>
      </c>
      <c r="G783" t="s">
        <v>39</v>
      </c>
      <c r="H783">
        <v>1</v>
      </c>
      <c r="I783">
        <v>2</v>
      </c>
      <c r="J783" t="str">
        <f t="shared" si="25"/>
        <v>College</v>
      </c>
      <c r="K783" t="s">
        <v>45</v>
      </c>
      <c r="L783">
        <v>1</v>
      </c>
      <c r="M783" t="s">
        <v>40</v>
      </c>
      <c r="N783" s="2">
        <v>59</v>
      </c>
      <c r="O783">
        <v>2</v>
      </c>
      <c r="P783">
        <v>1</v>
      </c>
      <c r="Q783" t="s">
        <v>44</v>
      </c>
      <c r="R783">
        <v>1</v>
      </c>
      <c r="S783" t="s">
        <v>42</v>
      </c>
      <c r="T783" s="2">
        <v>3955</v>
      </c>
      <c r="U783" s="2">
        <v>11141</v>
      </c>
      <c r="V783">
        <v>1</v>
      </c>
      <c r="W783" t="s">
        <v>38</v>
      </c>
      <c r="X783">
        <v>16</v>
      </c>
      <c r="Y783">
        <v>3</v>
      </c>
      <c r="Z783">
        <v>1</v>
      </c>
      <c r="AA783">
        <v>80</v>
      </c>
      <c r="AB783">
        <v>2</v>
      </c>
      <c r="AC783">
        <v>6</v>
      </c>
      <c r="AD783">
        <v>2</v>
      </c>
      <c r="AE783">
        <v>3</v>
      </c>
      <c r="AF783">
        <v>5</v>
      </c>
      <c r="AG783">
        <v>3</v>
      </c>
      <c r="AH783">
        <v>1</v>
      </c>
      <c r="AI783">
        <v>3</v>
      </c>
    </row>
    <row r="784" spans="1:35" x14ac:dyDescent="0.25">
      <c r="A784">
        <v>30</v>
      </c>
      <c r="B784" t="str">
        <f t="shared" si="24"/>
        <v>25-34</v>
      </c>
      <c r="C784" s="1" t="s">
        <v>38</v>
      </c>
      <c r="D784" s="17">
        <f>IF(Table1[[#This Row],[Attrition]]="Yes",1,0)</f>
        <v>0</v>
      </c>
      <c r="E784" t="s">
        <v>57</v>
      </c>
      <c r="F784" s="2">
        <v>1176</v>
      </c>
      <c r="G784" t="s">
        <v>39</v>
      </c>
      <c r="H784">
        <v>20</v>
      </c>
      <c r="I784">
        <v>3</v>
      </c>
      <c r="J784" t="str">
        <f t="shared" si="25"/>
        <v>Bachelor</v>
      </c>
      <c r="K784" t="s">
        <v>43</v>
      </c>
      <c r="L784">
        <v>3</v>
      </c>
      <c r="M784" t="s">
        <v>40</v>
      </c>
      <c r="N784" s="2">
        <v>85</v>
      </c>
      <c r="O784">
        <v>3</v>
      </c>
      <c r="P784">
        <v>2</v>
      </c>
      <c r="Q784" t="s">
        <v>47</v>
      </c>
      <c r="R784">
        <v>1</v>
      </c>
      <c r="S784" t="s">
        <v>42</v>
      </c>
      <c r="T784" s="2">
        <v>9957</v>
      </c>
      <c r="U784" s="2">
        <v>9096</v>
      </c>
      <c r="V784">
        <v>0</v>
      </c>
      <c r="W784" t="s">
        <v>38</v>
      </c>
      <c r="X784">
        <v>15</v>
      </c>
      <c r="Y784">
        <v>3</v>
      </c>
      <c r="Z784">
        <v>3</v>
      </c>
      <c r="AA784">
        <v>80</v>
      </c>
      <c r="AB784">
        <v>1</v>
      </c>
      <c r="AC784">
        <v>7</v>
      </c>
      <c r="AD784">
        <v>1</v>
      </c>
      <c r="AE784">
        <v>2</v>
      </c>
      <c r="AF784">
        <v>6</v>
      </c>
      <c r="AG784">
        <v>2</v>
      </c>
      <c r="AH784">
        <v>0</v>
      </c>
      <c r="AI784">
        <v>2</v>
      </c>
    </row>
    <row r="785" spans="1:35" x14ac:dyDescent="0.25">
      <c r="A785">
        <v>41</v>
      </c>
      <c r="B785" t="str">
        <f t="shared" si="24"/>
        <v>35-44</v>
      </c>
      <c r="C785" s="1" t="s">
        <v>38</v>
      </c>
      <c r="D785" s="17">
        <f>IF(Table1[[#This Row],[Attrition]]="Yes",1,0)</f>
        <v>0</v>
      </c>
      <c r="E785" t="s">
        <v>57</v>
      </c>
      <c r="F785" s="2">
        <v>509</v>
      </c>
      <c r="G785" t="s">
        <v>39</v>
      </c>
      <c r="H785">
        <v>7</v>
      </c>
      <c r="I785">
        <v>2</v>
      </c>
      <c r="J785" t="str">
        <f t="shared" si="25"/>
        <v>College</v>
      </c>
      <c r="K785" t="s">
        <v>54</v>
      </c>
      <c r="L785">
        <v>2</v>
      </c>
      <c r="M785" t="s">
        <v>35</v>
      </c>
      <c r="N785" s="2">
        <v>43</v>
      </c>
      <c r="O785">
        <v>4</v>
      </c>
      <c r="P785">
        <v>1</v>
      </c>
      <c r="Q785" t="s">
        <v>41</v>
      </c>
      <c r="R785">
        <v>3</v>
      </c>
      <c r="S785" t="s">
        <v>42</v>
      </c>
      <c r="T785" s="2">
        <v>3376</v>
      </c>
      <c r="U785" s="2">
        <v>18863</v>
      </c>
      <c r="V785">
        <v>1</v>
      </c>
      <c r="W785" t="s">
        <v>38</v>
      </c>
      <c r="X785">
        <v>13</v>
      </c>
      <c r="Y785">
        <v>3</v>
      </c>
      <c r="Z785">
        <v>3</v>
      </c>
      <c r="AA785">
        <v>80</v>
      </c>
      <c r="AB785">
        <v>0</v>
      </c>
      <c r="AC785">
        <v>10</v>
      </c>
      <c r="AD785">
        <v>3</v>
      </c>
      <c r="AE785">
        <v>3</v>
      </c>
      <c r="AF785">
        <v>10</v>
      </c>
      <c r="AG785">
        <v>6</v>
      </c>
      <c r="AH785">
        <v>0</v>
      </c>
      <c r="AI785">
        <v>8</v>
      </c>
    </row>
    <row r="786" spans="1:35" x14ac:dyDescent="0.25">
      <c r="A786">
        <v>38</v>
      </c>
      <c r="B786" t="str">
        <f t="shared" si="24"/>
        <v>35-44</v>
      </c>
      <c r="C786" s="1" t="s">
        <v>38</v>
      </c>
      <c r="D786" s="17">
        <f>IF(Table1[[#This Row],[Attrition]]="Yes",1,0)</f>
        <v>0</v>
      </c>
      <c r="E786" t="s">
        <v>57</v>
      </c>
      <c r="F786" s="2">
        <v>330</v>
      </c>
      <c r="G786" t="s">
        <v>39</v>
      </c>
      <c r="H786">
        <v>17</v>
      </c>
      <c r="I786">
        <v>1</v>
      </c>
      <c r="J786" t="str">
        <f t="shared" si="25"/>
        <v>Below College</v>
      </c>
      <c r="K786" t="s">
        <v>34</v>
      </c>
      <c r="L786">
        <v>3</v>
      </c>
      <c r="M786" t="s">
        <v>35</v>
      </c>
      <c r="N786" s="2">
        <v>65</v>
      </c>
      <c r="O786">
        <v>2</v>
      </c>
      <c r="P786">
        <v>3</v>
      </c>
      <c r="Q786" t="s">
        <v>48</v>
      </c>
      <c r="R786">
        <v>3</v>
      </c>
      <c r="S786" t="s">
        <v>42</v>
      </c>
      <c r="T786" s="2">
        <v>8823</v>
      </c>
      <c r="U786" s="2">
        <v>24608</v>
      </c>
      <c r="V786">
        <v>0</v>
      </c>
      <c r="W786" t="s">
        <v>38</v>
      </c>
      <c r="X786">
        <v>18</v>
      </c>
      <c r="Y786">
        <v>3</v>
      </c>
      <c r="Z786">
        <v>1</v>
      </c>
      <c r="AA786">
        <v>80</v>
      </c>
      <c r="AB786">
        <v>1</v>
      </c>
      <c r="AC786">
        <v>20</v>
      </c>
      <c r="AD786">
        <v>4</v>
      </c>
      <c r="AE786">
        <v>2</v>
      </c>
      <c r="AF786">
        <v>19</v>
      </c>
      <c r="AG786">
        <v>9</v>
      </c>
      <c r="AH786">
        <v>1</v>
      </c>
      <c r="AI786">
        <v>9</v>
      </c>
    </row>
    <row r="787" spans="1:35" x14ac:dyDescent="0.25">
      <c r="A787">
        <v>40</v>
      </c>
      <c r="B787" t="str">
        <f t="shared" si="24"/>
        <v>35-44</v>
      </c>
      <c r="C787" s="1" t="s">
        <v>38</v>
      </c>
      <c r="D787" s="17">
        <f>IF(Table1[[#This Row],[Attrition]]="Yes",1,0)</f>
        <v>0</v>
      </c>
      <c r="E787" t="s">
        <v>57</v>
      </c>
      <c r="F787" s="2">
        <v>1492</v>
      </c>
      <c r="G787" t="s">
        <v>39</v>
      </c>
      <c r="H787">
        <v>20</v>
      </c>
      <c r="I787">
        <v>4</v>
      </c>
      <c r="J787" t="str">
        <f t="shared" si="25"/>
        <v>Master</v>
      </c>
      <c r="K787" t="s">
        <v>54</v>
      </c>
      <c r="L787">
        <v>1</v>
      </c>
      <c r="M787" t="s">
        <v>40</v>
      </c>
      <c r="N787" s="2">
        <v>61</v>
      </c>
      <c r="O787">
        <v>3</v>
      </c>
      <c r="P787">
        <v>3</v>
      </c>
      <c r="Q787" t="s">
        <v>48</v>
      </c>
      <c r="R787">
        <v>4</v>
      </c>
      <c r="S787" t="s">
        <v>42</v>
      </c>
      <c r="T787" s="2">
        <v>10322</v>
      </c>
      <c r="U787" s="2">
        <v>26542</v>
      </c>
      <c r="V787">
        <v>4</v>
      </c>
      <c r="W787" t="s">
        <v>38</v>
      </c>
      <c r="X787">
        <v>20</v>
      </c>
      <c r="Y787">
        <v>4</v>
      </c>
      <c r="Z787">
        <v>4</v>
      </c>
      <c r="AA787">
        <v>80</v>
      </c>
      <c r="AB787">
        <v>1</v>
      </c>
      <c r="AC787">
        <v>14</v>
      </c>
      <c r="AD787">
        <v>6</v>
      </c>
      <c r="AE787">
        <v>3</v>
      </c>
      <c r="AF787">
        <v>11</v>
      </c>
      <c r="AG787">
        <v>10</v>
      </c>
      <c r="AH787">
        <v>11</v>
      </c>
      <c r="AI787">
        <v>1</v>
      </c>
    </row>
    <row r="788" spans="1:35" x14ac:dyDescent="0.25">
      <c r="A788">
        <v>27</v>
      </c>
      <c r="B788" t="str">
        <f t="shared" si="24"/>
        <v>25-34</v>
      </c>
      <c r="C788" s="1" t="s">
        <v>38</v>
      </c>
      <c r="D788" s="17">
        <f>IF(Table1[[#This Row],[Attrition]]="Yes",1,0)</f>
        <v>0</v>
      </c>
      <c r="E788" t="s">
        <v>49</v>
      </c>
      <c r="F788" s="2">
        <v>1277</v>
      </c>
      <c r="G788" t="s">
        <v>39</v>
      </c>
      <c r="H788">
        <v>8</v>
      </c>
      <c r="I788">
        <v>5</v>
      </c>
      <c r="J788" t="str">
        <f t="shared" si="25"/>
        <v>Doctor</v>
      </c>
      <c r="K788" t="s">
        <v>34</v>
      </c>
      <c r="L788">
        <v>1</v>
      </c>
      <c r="M788" t="s">
        <v>40</v>
      </c>
      <c r="N788" s="2">
        <v>87</v>
      </c>
      <c r="O788">
        <v>1</v>
      </c>
      <c r="P788">
        <v>1</v>
      </c>
      <c r="Q788" t="s">
        <v>44</v>
      </c>
      <c r="R788">
        <v>3</v>
      </c>
      <c r="S788" t="s">
        <v>42</v>
      </c>
      <c r="T788" s="2">
        <v>4621</v>
      </c>
      <c r="U788" s="2">
        <v>5869</v>
      </c>
      <c r="V788">
        <v>1</v>
      </c>
      <c r="W788" t="s">
        <v>38</v>
      </c>
      <c r="X788">
        <v>19</v>
      </c>
      <c r="Y788">
        <v>3</v>
      </c>
      <c r="Z788">
        <v>4</v>
      </c>
      <c r="AA788">
        <v>80</v>
      </c>
      <c r="AB788">
        <v>3</v>
      </c>
      <c r="AC788">
        <v>3</v>
      </c>
      <c r="AD788">
        <v>4</v>
      </c>
      <c r="AE788">
        <v>3</v>
      </c>
      <c r="AF788">
        <v>3</v>
      </c>
      <c r="AG788">
        <v>2</v>
      </c>
      <c r="AH788">
        <v>1</v>
      </c>
      <c r="AI788">
        <v>2</v>
      </c>
    </row>
    <row r="789" spans="1:35" x14ac:dyDescent="0.25">
      <c r="A789">
        <v>55</v>
      </c>
      <c r="B789" t="str">
        <f t="shared" si="24"/>
        <v>55-64</v>
      </c>
      <c r="C789" s="1" t="s">
        <v>38</v>
      </c>
      <c r="D789" s="17">
        <f>IF(Table1[[#This Row],[Attrition]]="Yes",1,0)</f>
        <v>0</v>
      </c>
      <c r="E789" t="s">
        <v>58</v>
      </c>
      <c r="F789" s="2">
        <v>1091</v>
      </c>
      <c r="G789" t="s">
        <v>39</v>
      </c>
      <c r="H789">
        <v>2</v>
      </c>
      <c r="I789">
        <v>1</v>
      </c>
      <c r="J789" t="str">
        <f t="shared" si="25"/>
        <v>Below College</v>
      </c>
      <c r="K789" t="s">
        <v>34</v>
      </c>
      <c r="L789">
        <v>4</v>
      </c>
      <c r="M789" t="s">
        <v>40</v>
      </c>
      <c r="N789" s="2">
        <v>65</v>
      </c>
      <c r="O789">
        <v>3</v>
      </c>
      <c r="P789">
        <v>3</v>
      </c>
      <c r="Q789" t="s">
        <v>47</v>
      </c>
      <c r="R789">
        <v>2</v>
      </c>
      <c r="S789" t="s">
        <v>42</v>
      </c>
      <c r="T789" s="2">
        <v>10976</v>
      </c>
      <c r="U789" s="2">
        <v>15813</v>
      </c>
      <c r="V789">
        <v>3</v>
      </c>
      <c r="W789" t="s">
        <v>38</v>
      </c>
      <c r="X789">
        <v>18</v>
      </c>
      <c r="Y789">
        <v>3</v>
      </c>
      <c r="Z789">
        <v>2</v>
      </c>
      <c r="AA789">
        <v>80</v>
      </c>
      <c r="AB789">
        <v>1</v>
      </c>
      <c r="AC789">
        <v>23</v>
      </c>
      <c r="AD789">
        <v>4</v>
      </c>
      <c r="AE789">
        <v>3</v>
      </c>
      <c r="AF789">
        <v>3</v>
      </c>
      <c r="AG789">
        <v>2</v>
      </c>
      <c r="AH789">
        <v>1</v>
      </c>
      <c r="AI789">
        <v>2</v>
      </c>
    </row>
    <row r="790" spans="1:35" x14ac:dyDescent="0.25">
      <c r="A790">
        <v>28</v>
      </c>
      <c r="B790" t="str">
        <f t="shared" si="24"/>
        <v>25-34</v>
      </c>
      <c r="C790" s="1" t="s">
        <v>38</v>
      </c>
      <c r="D790" s="17">
        <f>IF(Table1[[#This Row],[Attrition]]="Yes",1,0)</f>
        <v>0</v>
      </c>
      <c r="E790" t="s">
        <v>57</v>
      </c>
      <c r="F790" s="2">
        <v>857</v>
      </c>
      <c r="G790" t="s">
        <v>39</v>
      </c>
      <c r="H790">
        <v>10</v>
      </c>
      <c r="I790">
        <v>3</v>
      </c>
      <c r="J790" t="str">
        <f t="shared" si="25"/>
        <v>Bachelor</v>
      </c>
      <c r="K790" t="s">
        <v>43</v>
      </c>
      <c r="L790">
        <v>3</v>
      </c>
      <c r="M790" t="s">
        <v>35</v>
      </c>
      <c r="N790" s="2">
        <v>59</v>
      </c>
      <c r="O790">
        <v>3</v>
      </c>
      <c r="P790">
        <v>2</v>
      </c>
      <c r="Q790" t="s">
        <v>41</v>
      </c>
      <c r="R790">
        <v>3</v>
      </c>
      <c r="S790" t="s">
        <v>37</v>
      </c>
      <c r="T790" s="2">
        <v>3660</v>
      </c>
      <c r="U790" s="2">
        <v>7909</v>
      </c>
      <c r="V790">
        <v>3</v>
      </c>
      <c r="W790" t="s">
        <v>38</v>
      </c>
      <c r="X790">
        <v>13</v>
      </c>
      <c r="Y790">
        <v>3</v>
      </c>
      <c r="Z790">
        <v>4</v>
      </c>
      <c r="AA790">
        <v>80</v>
      </c>
      <c r="AB790">
        <v>0</v>
      </c>
      <c r="AC790">
        <v>10</v>
      </c>
      <c r="AD790">
        <v>4</v>
      </c>
      <c r="AE790">
        <v>4</v>
      </c>
      <c r="AF790">
        <v>8</v>
      </c>
      <c r="AG790">
        <v>7</v>
      </c>
      <c r="AH790">
        <v>1</v>
      </c>
      <c r="AI790">
        <v>7</v>
      </c>
    </row>
    <row r="791" spans="1:35" x14ac:dyDescent="0.25">
      <c r="A791">
        <v>44</v>
      </c>
      <c r="B791" t="str">
        <f t="shared" si="24"/>
        <v>35-44</v>
      </c>
      <c r="C791" s="1" t="s">
        <v>32</v>
      </c>
      <c r="D791" s="17">
        <f>IF(Table1[[#This Row],[Attrition]]="Yes",1,0)</f>
        <v>1</v>
      </c>
      <c r="E791" t="s">
        <v>57</v>
      </c>
      <c r="F791" s="2">
        <v>1376</v>
      </c>
      <c r="G791" t="s">
        <v>55</v>
      </c>
      <c r="H791">
        <v>1</v>
      </c>
      <c r="I791">
        <v>2</v>
      </c>
      <c r="J791" t="str">
        <f t="shared" si="25"/>
        <v>College</v>
      </c>
      <c r="K791" t="s">
        <v>45</v>
      </c>
      <c r="L791">
        <v>2</v>
      </c>
      <c r="M791" t="s">
        <v>40</v>
      </c>
      <c r="N791" s="2">
        <v>91</v>
      </c>
      <c r="O791">
        <v>2</v>
      </c>
      <c r="P791">
        <v>3</v>
      </c>
      <c r="Q791" t="s">
        <v>55</v>
      </c>
      <c r="R791">
        <v>1</v>
      </c>
      <c r="S791" t="s">
        <v>42</v>
      </c>
      <c r="T791" s="2">
        <v>10482</v>
      </c>
      <c r="U791" s="2">
        <v>2326</v>
      </c>
      <c r="V791">
        <v>9</v>
      </c>
      <c r="W791" t="s">
        <v>38</v>
      </c>
      <c r="X791">
        <v>14</v>
      </c>
      <c r="Y791">
        <v>3</v>
      </c>
      <c r="Z791">
        <v>4</v>
      </c>
      <c r="AA791">
        <v>80</v>
      </c>
      <c r="AB791">
        <v>1</v>
      </c>
      <c r="AC791">
        <v>24</v>
      </c>
      <c r="AD791">
        <v>1</v>
      </c>
      <c r="AE791">
        <v>3</v>
      </c>
      <c r="AF791">
        <v>20</v>
      </c>
      <c r="AG791">
        <v>6</v>
      </c>
      <c r="AH791">
        <v>3</v>
      </c>
      <c r="AI791">
        <v>6</v>
      </c>
    </row>
    <row r="792" spans="1:35" x14ac:dyDescent="0.25">
      <c r="A792">
        <v>33</v>
      </c>
      <c r="B792" t="str">
        <f t="shared" si="24"/>
        <v>25-34</v>
      </c>
      <c r="C792" s="1" t="s">
        <v>38</v>
      </c>
      <c r="D792" s="17">
        <f>IF(Table1[[#This Row],[Attrition]]="Yes",1,0)</f>
        <v>0</v>
      </c>
      <c r="E792" t="s">
        <v>57</v>
      </c>
      <c r="F792" s="2">
        <v>654</v>
      </c>
      <c r="G792" t="s">
        <v>39</v>
      </c>
      <c r="H792">
        <v>5</v>
      </c>
      <c r="I792">
        <v>3</v>
      </c>
      <c r="J792" t="str">
        <f t="shared" si="25"/>
        <v>Bachelor</v>
      </c>
      <c r="K792" t="s">
        <v>34</v>
      </c>
      <c r="L792">
        <v>4</v>
      </c>
      <c r="M792" t="s">
        <v>40</v>
      </c>
      <c r="N792" s="2">
        <v>34</v>
      </c>
      <c r="O792">
        <v>2</v>
      </c>
      <c r="P792">
        <v>3</v>
      </c>
      <c r="Q792" t="s">
        <v>48</v>
      </c>
      <c r="R792">
        <v>4</v>
      </c>
      <c r="S792" t="s">
        <v>46</v>
      </c>
      <c r="T792" s="2">
        <v>7119</v>
      </c>
      <c r="U792" s="2">
        <v>21214</v>
      </c>
      <c r="V792">
        <v>4</v>
      </c>
      <c r="W792" t="s">
        <v>38</v>
      </c>
      <c r="X792">
        <v>15</v>
      </c>
      <c r="Y792">
        <v>3</v>
      </c>
      <c r="Z792">
        <v>3</v>
      </c>
      <c r="AA792">
        <v>80</v>
      </c>
      <c r="AB792">
        <v>1</v>
      </c>
      <c r="AC792">
        <v>9</v>
      </c>
      <c r="AD792">
        <v>2</v>
      </c>
      <c r="AE792">
        <v>3</v>
      </c>
      <c r="AF792">
        <v>3</v>
      </c>
      <c r="AG792">
        <v>2</v>
      </c>
      <c r="AH792">
        <v>1</v>
      </c>
      <c r="AI792">
        <v>2</v>
      </c>
    </row>
    <row r="793" spans="1:35" x14ac:dyDescent="0.25">
      <c r="A793">
        <v>35</v>
      </c>
      <c r="B793" t="str">
        <f t="shared" si="24"/>
        <v>35-44</v>
      </c>
      <c r="C793" s="1" t="s">
        <v>32</v>
      </c>
      <c r="D793" s="17">
        <f>IF(Table1[[#This Row],[Attrition]]="Yes",1,0)</f>
        <v>1</v>
      </c>
      <c r="E793" t="s">
        <v>57</v>
      </c>
      <c r="F793" s="2">
        <v>1204</v>
      </c>
      <c r="G793" t="s">
        <v>33</v>
      </c>
      <c r="H793">
        <v>4</v>
      </c>
      <c r="I793">
        <v>3</v>
      </c>
      <c r="J793" t="str">
        <f t="shared" si="25"/>
        <v>Bachelor</v>
      </c>
      <c r="K793" t="s">
        <v>54</v>
      </c>
      <c r="L793">
        <v>4</v>
      </c>
      <c r="M793" t="s">
        <v>40</v>
      </c>
      <c r="N793" s="2">
        <v>86</v>
      </c>
      <c r="O793">
        <v>3</v>
      </c>
      <c r="P793">
        <v>3</v>
      </c>
      <c r="Q793" t="s">
        <v>36</v>
      </c>
      <c r="R793">
        <v>1</v>
      </c>
      <c r="S793" t="s">
        <v>37</v>
      </c>
      <c r="T793" s="2">
        <v>9582</v>
      </c>
      <c r="U793" s="2">
        <v>10333</v>
      </c>
      <c r="V793">
        <v>0</v>
      </c>
      <c r="W793" t="s">
        <v>32</v>
      </c>
      <c r="X793">
        <v>22</v>
      </c>
      <c r="Y793">
        <v>4</v>
      </c>
      <c r="Z793">
        <v>1</v>
      </c>
      <c r="AA793">
        <v>80</v>
      </c>
      <c r="AB793">
        <v>0</v>
      </c>
      <c r="AC793">
        <v>9</v>
      </c>
      <c r="AD793">
        <v>2</v>
      </c>
      <c r="AE793">
        <v>3</v>
      </c>
      <c r="AF793">
        <v>8</v>
      </c>
      <c r="AG793">
        <v>7</v>
      </c>
      <c r="AH793">
        <v>4</v>
      </c>
      <c r="AI793">
        <v>7</v>
      </c>
    </row>
    <row r="794" spans="1:35" x14ac:dyDescent="0.25">
      <c r="A794">
        <v>33</v>
      </c>
      <c r="B794" t="str">
        <f t="shared" si="24"/>
        <v>25-34</v>
      </c>
      <c r="C794" s="1" t="s">
        <v>32</v>
      </c>
      <c r="D794" s="17">
        <f>IF(Table1[[#This Row],[Attrition]]="Yes",1,0)</f>
        <v>1</v>
      </c>
      <c r="E794" t="s">
        <v>58</v>
      </c>
      <c r="F794" s="2">
        <v>827</v>
      </c>
      <c r="G794" t="s">
        <v>39</v>
      </c>
      <c r="H794">
        <v>29</v>
      </c>
      <c r="I794">
        <v>4</v>
      </c>
      <c r="J794" t="str">
        <f t="shared" si="25"/>
        <v>Master</v>
      </c>
      <c r="K794" t="s">
        <v>45</v>
      </c>
      <c r="L794">
        <v>1</v>
      </c>
      <c r="M794" t="s">
        <v>35</v>
      </c>
      <c r="N794" s="2">
        <v>54</v>
      </c>
      <c r="O794">
        <v>2</v>
      </c>
      <c r="P794">
        <v>2</v>
      </c>
      <c r="Q794" t="s">
        <v>41</v>
      </c>
      <c r="R794">
        <v>3</v>
      </c>
      <c r="S794" t="s">
        <v>37</v>
      </c>
      <c r="T794" s="2">
        <v>4508</v>
      </c>
      <c r="U794" s="2">
        <v>3129</v>
      </c>
      <c r="V794">
        <v>1</v>
      </c>
      <c r="W794" t="s">
        <v>38</v>
      </c>
      <c r="X794">
        <v>22</v>
      </c>
      <c r="Y794">
        <v>4</v>
      </c>
      <c r="Z794">
        <v>2</v>
      </c>
      <c r="AA794">
        <v>80</v>
      </c>
      <c r="AB794">
        <v>0</v>
      </c>
      <c r="AC794">
        <v>14</v>
      </c>
      <c r="AD794">
        <v>4</v>
      </c>
      <c r="AE794">
        <v>3</v>
      </c>
      <c r="AF794">
        <v>13</v>
      </c>
      <c r="AG794">
        <v>7</v>
      </c>
      <c r="AH794">
        <v>3</v>
      </c>
      <c r="AI794">
        <v>8</v>
      </c>
    </row>
    <row r="795" spans="1:35" x14ac:dyDescent="0.25">
      <c r="A795">
        <v>28</v>
      </c>
      <c r="B795" t="str">
        <f t="shared" si="24"/>
        <v>25-34</v>
      </c>
      <c r="C795" s="1" t="s">
        <v>38</v>
      </c>
      <c r="D795" s="17">
        <f>IF(Table1[[#This Row],[Attrition]]="Yes",1,0)</f>
        <v>0</v>
      </c>
      <c r="E795" t="s">
        <v>57</v>
      </c>
      <c r="F795" s="2">
        <v>895</v>
      </c>
      <c r="G795" t="s">
        <v>39</v>
      </c>
      <c r="H795">
        <v>15</v>
      </c>
      <c r="I795">
        <v>2</v>
      </c>
      <c r="J795" t="str">
        <f t="shared" si="25"/>
        <v>College</v>
      </c>
      <c r="K795" t="s">
        <v>34</v>
      </c>
      <c r="L795">
        <v>1</v>
      </c>
      <c r="M795" t="s">
        <v>40</v>
      </c>
      <c r="N795" s="2">
        <v>50</v>
      </c>
      <c r="O795">
        <v>3</v>
      </c>
      <c r="P795">
        <v>1</v>
      </c>
      <c r="Q795" t="s">
        <v>44</v>
      </c>
      <c r="R795">
        <v>3</v>
      </c>
      <c r="S795" t="s">
        <v>46</v>
      </c>
      <c r="T795" s="2">
        <v>2207</v>
      </c>
      <c r="U795" s="2">
        <v>22482</v>
      </c>
      <c r="V795">
        <v>1</v>
      </c>
      <c r="W795" t="s">
        <v>38</v>
      </c>
      <c r="X795">
        <v>16</v>
      </c>
      <c r="Y795">
        <v>3</v>
      </c>
      <c r="Z795">
        <v>4</v>
      </c>
      <c r="AA795">
        <v>80</v>
      </c>
      <c r="AB795">
        <v>1</v>
      </c>
      <c r="AC795">
        <v>4</v>
      </c>
      <c r="AD795">
        <v>5</v>
      </c>
      <c r="AE795">
        <v>2</v>
      </c>
      <c r="AF795">
        <v>4</v>
      </c>
      <c r="AG795">
        <v>2</v>
      </c>
      <c r="AH795">
        <v>2</v>
      </c>
      <c r="AI795">
        <v>2</v>
      </c>
    </row>
    <row r="796" spans="1:35" x14ac:dyDescent="0.25">
      <c r="A796">
        <v>34</v>
      </c>
      <c r="B796" t="str">
        <f t="shared" si="24"/>
        <v>25-34</v>
      </c>
      <c r="C796" s="1" t="s">
        <v>38</v>
      </c>
      <c r="D796" s="17">
        <f>IF(Table1[[#This Row],[Attrition]]="Yes",1,0)</f>
        <v>0</v>
      </c>
      <c r="E796" t="s">
        <v>58</v>
      </c>
      <c r="F796" s="2">
        <v>618</v>
      </c>
      <c r="G796" t="s">
        <v>39</v>
      </c>
      <c r="H796">
        <v>3</v>
      </c>
      <c r="I796">
        <v>1</v>
      </c>
      <c r="J796" t="str">
        <f t="shared" si="25"/>
        <v>Below College</v>
      </c>
      <c r="K796" t="s">
        <v>34</v>
      </c>
      <c r="L796">
        <v>1</v>
      </c>
      <c r="M796" t="s">
        <v>40</v>
      </c>
      <c r="N796" s="2">
        <v>45</v>
      </c>
      <c r="O796">
        <v>3</v>
      </c>
      <c r="P796">
        <v>2</v>
      </c>
      <c r="Q796" t="s">
        <v>48</v>
      </c>
      <c r="R796">
        <v>4</v>
      </c>
      <c r="S796" t="s">
        <v>37</v>
      </c>
      <c r="T796" s="2">
        <v>7756</v>
      </c>
      <c r="U796" s="2">
        <v>22266</v>
      </c>
      <c r="V796">
        <v>0</v>
      </c>
      <c r="W796" t="s">
        <v>38</v>
      </c>
      <c r="X796">
        <v>17</v>
      </c>
      <c r="Y796">
        <v>3</v>
      </c>
      <c r="Z796">
        <v>3</v>
      </c>
      <c r="AA796">
        <v>80</v>
      </c>
      <c r="AB796">
        <v>0</v>
      </c>
      <c r="AC796">
        <v>7</v>
      </c>
      <c r="AD796">
        <v>1</v>
      </c>
      <c r="AE796">
        <v>2</v>
      </c>
      <c r="AF796">
        <v>6</v>
      </c>
      <c r="AG796">
        <v>2</v>
      </c>
      <c r="AH796">
        <v>0</v>
      </c>
      <c r="AI796">
        <v>4</v>
      </c>
    </row>
    <row r="797" spans="1:35" x14ac:dyDescent="0.25">
      <c r="A797">
        <v>37</v>
      </c>
      <c r="B797" t="str">
        <f t="shared" si="24"/>
        <v>35-44</v>
      </c>
      <c r="C797" s="1" t="s">
        <v>38</v>
      </c>
      <c r="D797" s="17">
        <f>IF(Table1[[#This Row],[Attrition]]="Yes",1,0)</f>
        <v>0</v>
      </c>
      <c r="E797" t="s">
        <v>57</v>
      </c>
      <c r="F797" s="2">
        <v>309</v>
      </c>
      <c r="G797" t="s">
        <v>33</v>
      </c>
      <c r="H797">
        <v>10</v>
      </c>
      <c r="I797">
        <v>4</v>
      </c>
      <c r="J797" t="str">
        <f t="shared" si="25"/>
        <v>Master</v>
      </c>
      <c r="K797" t="s">
        <v>34</v>
      </c>
      <c r="L797">
        <v>4</v>
      </c>
      <c r="M797" t="s">
        <v>35</v>
      </c>
      <c r="N797" s="2">
        <v>88</v>
      </c>
      <c r="O797">
        <v>2</v>
      </c>
      <c r="P797">
        <v>2</v>
      </c>
      <c r="Q797" t="s">
        <v>36</v>
      </c>
      <c r="R797">
        <v>4</v>
      </c>
      <c r="S797" t="s">
        <v>46</v>
      </c>
      <c r="T797" s="2">
        <v>6694</v>
      </c>
      <c r="U797" s="2">
        <v>24223</v>
      </c>
      <c r="V797">
        <v>2</v>
      </c>
      <c r="W797" t="s">
        <v>32</v>
      </c>
      <c r="X797">
        <v>14</v>
      </c>
      <c r="Y797">
        <v>3</v>
      </c>
      <c r="Z797">
        <v>3</v>
      </c>
      <c r="AA797">
        <v>80</v>
      </c>
      <c r="AB797">
        <v>3</v>
      </c>
      <c r="AC797">
        <v>8</v>
      </c>
      <c r="AD797">
        <v>5</v>
      </c>
      <c r="AE797">
        <v>3</v>
      </c>
      <c r="AF797">
        <v>1</v>
      </c>
      <c r="AG797">
        <v>0</v>
      </c>
      <c r="AH797">
        <v>0</v>
      </c>
      <c r="AI797">
        <v>0</v>
      </c>
    </row>
    <row r="798" spans="1:35" x14ac:dyDescent="0.25">
      <c r="A798">
        <v>25</v>
      </c>
      <c r="B798" t="str">
        <f t="shared" si="24"/>
        <v>25-34</v>
      </c>
      <c r="C798" s="1" t="s">
        <v>32</v>
      </c>
      <c r="D798" s="17">
        <f>IF(Table1[[#This Row],[Attrition]]="Yes",1,0)</f>
        <v>1</v>
      </c>
      <c r="E798" t="s">
        <v>57</v>
      </c>
      <c r="F798" s="2">
        <v>1219</v>
      </c>
      <c r="G798" t="s">
        <v>39</v>
      </c>
      <c r="H798">
        <v>4</v>
      </c>
      <c r="I798">
        <v>1</v>
      </c>
      <c r="J798" t="str">
        <f t="shared" si="25"/>
        <v>Below College</v>
      </c>
      <c r="K798" t="s">
        <v>54</v>
      </c>
      <c r="L798">
        <v>4</v>
      </c>
      <c r="M798" t="s">
        <v>40</v>
      </c>
      <c r="N798" s="2">
        <v>32</v>
      </c>
      <c r="O798">
        <v>3</v>
      </c>
      <c r="P798">
        <v>1</v>
      </c>
      <c r="Q798" t="s">
        <v>44</v>
      </c>
      <c r="R798">
        <v>4</v>
      </c>
      <c r="S798" t="s">
        <v>42</v>
      </c>
      <c r="T798" s="2">
        <v>3691</v>
      </c>
      <c r="U798" s="2">
        <v>4605</v>
      </c>
      <c r="V798">
        <v>1</v>
      </c>
      <c r="W798" t="s">
        <v>32</v>
      </c>
      <c r="X798">
        <v>15</v>
      </c>
      <c r="Y798">
        <v>3</v>
      </c>
      <c r="Z798">
        <v>2</v>
      </c>
      <c r="AA798">
        <v>80</v>
      </c>
      <c r="AB798">
        <v>1</v>
      </c>
      <c r="AC798">
        <v>7</v>
      </c>
      <c r="AD798">
        <v>3</v>
      </c>
      <c r="AE798">
        <v>4</v>
      </c>
      <c r="AF798">
        <v>7</v>
      </c>
      <c r="AG798">
        <v>7</v>
      </c>
      <c r="AH798">
        <v>5</v>
      </c>
      <c r="AI798">
        <v>6</v>
      </c>
    </row>
    <row r="799" spans="1:35" x14ac:dyDescent="0.25">
      <c r="A799">
        <v>26</v>
      </c>
      <c r="B799" t="str">
        <f t="shared" si="24"/>
        <v>25-34</v>
      </c>
      <c r="C799" s="1" t="s">
        <v>32</v>
      </c>
      <c r="D799" s="17">
        <f>IF(Table1[[#This Row],[Attrition]]="Yes",1,0)</f>
        <v>1</v>
      </c>
      <c r="E799" t="s">
        <v>57</v>
      </c>
      <c r="F799" s="2">
        <v>1330</v>
      </c>
      <c r="G799" t="s">
        <v>39</v>
      </c>
      <c r="H799">
        <v>21</v>
      </c>
      <c r="I799">
        <v>3</v>
      </c>
      <c r="J799" t="str">
        <f t="shared" si="25"/>
        <v>Bachelor</v>
      </c>
      <c r="K799" t="s">
        <v>45</v>
      </c>
      <c r="L799">
        <v>1</v>
      </c>
      <c r="M799" t="s">
        <v>40</v>
      </c>
      <c r="N799" s="2">
        <v>37</v>
      </c>
      <c r="O799">
        <v>3</v>
      </c>
      <c r="P799">
        <v>1</v>
      </c>
      <c r="Q799" t="s">
        <v>44</v>
      </c>
      <c r="R799">
        <v>3</v>
      </c>
      <c r="S799" t="s">
        <v>46</v>
      </c>
      <c r="T799" s="2">
        <v>2377</v>
      </c>
      <c r="U799" s="2">
        <v>19373</v>
      </c>
      <c r="V799">
        <v>1</v>
      </c>
      <c r="W799" t="s">
        <v>38</v>
      </c>
      <c r="X799">
        <v>20</v>
      </c>
      <c r="Y799">
        <v>4</v>
      </c>
      <c r="Z799">
        <v>3</v>
      </c>
      <c r="AA799">
        <v>80</v>
      </c>
      <c r="AB799">
        <v>1</v>
      </c>
      <c r="AC799">
        <v>1</v>
      </c>
      <c r="AD799">
        <v>0</v>
      </c>
      <c r="AE799">
        <v>2</v>
      </c>
      <c r="AF799">
        <v>1</v>
      </c>
      <c r="AG799">
        <v>1</v>
      </c>
      <c r="AH799">
        <v>0</v>
      </c>
      <c r="AI799">
        <v>0</v>
      </c>
    </row>
    <row r="800" spans="1:35" x14ac:dyDescent="0.25">
      <c r="A800">
        <v>33</v>
      </c>
      <c r="B800" t="str">
        <f t="shared" si="24"/>
        <v>25-34</v>
      </c>
      <c r="C800" s="1" t="s">
        <v>32</v>
      </c>
      <c r="D800" s="17">
        <f>IF(Table1[[#This Row],[Attrition]]="Yes",1,0)</f>
        <v>1</v>
      </c>
      <c r="E800" t="s">
        <v>57</v>
      </c>
      <c r="F800" s="2">
        <v>1017</v>
      </c>
      <c r="G800" t="s">
        <v>39</v>
      </c>
      <c r="H800">
        <v>25</v>
      </c>
      <c r="I800">
        <v>3</v>
      </c>
      <c r="J800" t="str">
        <f t="shared" si="25"/>
        <v>Bachelor</v>
      </c>
      <c r="K800" t="s">
        <v>45</v>
      </c>
      <c r="L800">
        <v>1</v>
      </c>
      <c r="M800" t="s">
        <v>40</v>
      </c>
      <c r="N800" s="2">
        <v>55</v>
      </c>
      <c r="O800">
        <v>2</v>
      </c>
      <c r="P800">
        <v>1</v>
      </c>
      <c r="Q800" t="s">
        <v>41</v>
      </c>
      <c r="R800">
        <v>2</v>
      </c>
      <c r="S800" t="s">
        <v>37</v>
      </c>
      <c r="T800" s="2">
        <v>2313</v>
      </c>
      <c r="U800" s="2">
        <v>2993</v>
      </c>
      <c r="V800">
        <v>4</v>
      </c>
      <c r="W800" t="s">
        <v>32</v>
      </c>
      <c r="X800">
        <v>20</v>
      </c>
      <c r="Y800">
        <v>4</v>
      </c>
      <c r="Z800">
        <v>2</v>
      </c>
      <c r="AA800">
        <v>80</v>
      </c>
      <c r="AB800">
        <v>0</v>
      </c>
      <c r="AC800">
        <v>5</v>
      </c>
      <c r="AD800">
        <v>0</v>
      </c>
      <c r="AE800">
        <v>3</v>
      </c>
      <c r="AF800">
        <v>2</v>
      </c>
      <c r="AG800">
        <v>2</v>
      </c>
      <c r="AH800">
        <v>2</v>
      </c>
      <c r="AI800">
        <v>2</v>
      </c>
    </row>
    <row r="801" spans="1:35" x14ac:dyDescent="0.25">
      <c r="A801">
        <v>42</v>
      </c>
      <c r="B801" t="str">
        <f t="shared" si="24"/>
        <v>35-44</v>
      </c>
      <c r="C801" s="1" t="s">
        <v>38</v>
      </c>
      <c r="D801" s="17">
        <f>IF(Table1[[#This Row],[Attrition]]="Yes",1,0)</f>
        <v>0</v>
      </c>
      <c r="E801" t="s">
        <v>57</v>
      </c>
      <c r="F801" s="2">
        <v>469</v>
      </c>
      <c r="G801" t="s">
        <v>39</v>
      </c>
      <c r="H801">
        <v>2</v>
      </c>
      <c r="I801">
        <v>2</v>
      </c>
      <c r="J801" t="str">
        <f t="shared" si="25"/>
        <v>College</v>
      </c>
      <c r="K801" t="s">
        <v>45</v>
      </c>
      <c r="L801">
        <v>4</v>
      </c>
      <c r="M801" t="s">
        <v>40</v>
      </c>
      <c r="N801" s="2">
        <v>35</v>
      </c>
      <c r="O801">
        <v>3</v>
      </c>
      <c r="P801">
        <v>4</v>
      </c>
      <c r="Q801" t="s">
        <v>50</v>
      </c>
      <c r="R801">
        <v>1</v>
      </c>
      <c r="S801" t="s">
        <v>42</v>
      </c>
      <c r="T801" s="2">
        <v>17665</v>
      </c>
      <c r="U801" s="2">
        <v>14399</v>
      </c>
      <c r="V801">
        <v>0</v>
      </c>
      <c r="W801" t="s">
        <v>38</v>
      </c>
      <c r="X801">
        <v>17</v>
      </c>
      <c r="Y801">
        <v>3</v>
      </c>
      <c r="Z801">
        <v>4</v>
      </c>
      <c r="AA801">
        <v>80</v>
      </c>
      <c r="AB801">
        <v>1</v>
      </c>
      <c r="AC801">
        <v>23</v>
      </c>
      <c r="AD801">
        <v>3</v>
      </c>
      <c r="AE801">
        <v>3</v>
      </c>
      <c r="AF801">
        <v>22</v>
      </c>
      <c r="AG801">
        <v>6</v>
      </c>
      <c r="AH801">
        <v>13</v>
      </c>
      <c r="AI801">
        <v>7</v>
      </c>
    </row>
    <row r="802" spans="1:35" x14ac:dyDescent="0.25">
      <c r="A802">
        <v>28</v>
      </c>
      <c r="B802" t="str">
        <f t="shared" si="24"/>
        <v>25-34</v>
      </c>
      <c r="C802" s="1" t="s">
        <v>32</v>
      </c>
      <c r="D802" s="17">
        <f>IF(Table1[[#This Row],[Attrition]]="Yes",1,0)</f>
        <v>1</v>
      </c>
      <c r="E802" t="s">
        <v>58</v>
      </c>
      <c r="F802" s="2">
        <v>1009</v>
      </c>
      <c r="G802" t="s">
        <v>39</v>
      </c>
      <c r="H802">
        <v>1</v>
      </c>
      <c r="I802">
        <v>3</v>
      </c>
      <c r="J802" t="str">
        <f t="shared" si="25"/>
        <v>Bachelor</v>
      </c>
      <c r="K802" t="s">
        <v>45</v>
      </c>
      <c r="L802">
        <v>1</v>
      </c>
      <c r="M802" t="s">
        <v>40</v>
      </c>
      <c r="N802" s="2">
        <v>45</v>
      </c>
      <c r="O802">
        <v>2</v>
      </c>
      <c r="P802">
        <v>1</v>
      </c>
      <c r="Q802" t="s">
        <v>44</v>
      </c>
      <c r="R802">
        <v>2</v>
      </c>
      <c r="S802" t="s">
        <v>46</v>
      </c>
      <c r="T802" s="2">
        <v>2596</v>
      </c>
      <c r="U802" s="2">
        <v>7160</v>
      </c>
      <c r="V802">
        <v>1</v>
      </c>
      <c r="W802" t="s">
        <v>38</v>
      </c>
      <c r="X802">
        <v>15</v>
      </c>
      <c r="Y802">
        <v>3</v>
      </c>
      <c r="Z802">
        <v>1</v>
      </c>
      <c r="AA802">
        <v>80</v>
      </c>
      <c r="AB802">
        <v>2</v>
      </c>
      <c r="AC802">
        <v>1</v>
      </c>
      <c r="AD802">
        <v>2</v>
      </c>
      <c r="AE802">
        <v>3</v>
      </c>
      <c r="AF802">
        <v>1</v>
      </c>
      <c r="AG802">
        <v>0</v>
      </c>
      <c r="AH802">
        <v>0</v>
      </c>
      <c r="AI802">
        <v>0</v>
      </c>
    </row>
    <row r="803" spans="1:35" x14ac:dyDescent="0.25">
      <c r="A803">
        <v>50</v>
      </c>
      <c r="B803" t="str">
        <f t="shared" si="24"/>
        <v>45-54</v>
      </c>
      <c r="C803" s="1" t="s">
        <v>32</v>
      </c>
      <c r="D803" s="17">
        <f>IF(Table1[[#This Row],[Attrition]]="Yes",1,0)</f>
        <v>1</v>
      </c>
      <c r="E803" t="s">
        <v>58</v>
      </c>
      <c r="F803" s="2">
        <v>959</v>
      </c>
      <c r="G803" t="s">
        <v>33</v>
      </c>
      <c r="H803">
        <v>1</v>
      </c>
      <c r="I803">
        <v>4</v>
      </c>
      <c r="J803" t="str">
        <f t="shared" si="25"/>
        <v>Master</v>
      </c>
      <c r="K803" t="s">
        <v>43</v>
      </c>
      <c r="L803">
        <v>4</v>
      </c>
      <c r="M803" t="s">
        <v>40</v>
      </c>
      <c r="N803" s="2">
        <v>81</v>
      </c>
      <c r="O803">
        <v>3</v>
      </c>
      <c r="P803">
        <v>2</v>
      </c>
      <c r="Q803" t="s">
        <v>36</v>
      </c>
      <c r="R803">
        <v>3</v>
      </c>
      <c r="S803" t="s">
        <v>37</v>
      </c>
      <c r="T803" s="2">
        <v>4728</v>
      </c>
      <c r="U803" s="2">
        <v>17251</v>
      </c>
      <c r="V803">
        <v>3</v>
      </c>
      <c r="W803" t="s">
        <v>32</v>
      </c>
      <c r="X803">
        <v>14</v>
      </c>
      <c r="Y803">
        <v>3</v>
      </c>
      <c r="Z803">
        <v>4</v>
      </c>
      <c r="AA803">
        <v>80</v>
      </c>
      <c r="AB803">
        <v>0</v>
      </c>
      <c r="AC803">
        <v>5</v>
      </c>
      <c r="AD803">
        <v>4</v>
      </c>
      <c r="AE803">
        <v>3</v>
      </c>
      <c r="AF803">
        <v>0</v>
      </c>
      <c r="AG803">
        <v>0</v>
      </c>
      <c r="AH803">
        <v>0</v>
      </c>
      <c r="AI803">
        <v>0</v>
      </c>
    </row>
    <row r="804" spans="1:35" x14ac:dyDescent="0.25">
      <c r="A804">
        <v>33</v>
      </c>
      <c r="B804" t="str">
        <f t="shared" si="24"/>
        <v>25-34</v>
      </c>
      <c r="C804" s="1" t="s">
        <v>38</v>
      </c>
      <c r="D804" s="17">
        <f>IF(Table1[[#This Row],[Attrition]]="Yes",1,0)</f>
        <v>0</v>
      </c>
      <c r="E804" t="s">
        <v>58</v>
      </c>
      <c r="F804" s="2">
        <v>970</v>
      </c>
      <c r="G804" t="s">
        <v>33</v>
      </c>
      <c r="H804">
        <v>7</v>
      </c>
      <c r="I804">
        <v>3</v>
      </c>
      <c r="J804" t="str">
        <f t="shared" si="25"/>
        <v>Bachelor</v>
      </c>
      <c r="K804" t="s">
        <v>34</v>
      </c>
      <c r="L804">
        <v>4</v>
      </c>
      <c r="M804" t="s">
        <v>35</v>
      </c>
      <c r="N804" s="2">
        <v>30</v>
      </c>
      <c r="O804">
        <v>3</v>
      </c>
      <c r="P804">
        <v>2</v>
      </c>
      <c r="Q804" t="s">
        <v>36</v>
      </c>
      <c r="R804">
        <v>2</v>
      </c>
      <c r="S804" t="s">
        <v>42</v>
      </c>
      <c r="T804" s="2">
        <v>4302</v>
      </c>
      <c r="U804" s="2">
        <v>13401</v>
      </c>
      <c r="V804">
        <v>0</v>
      </c>
      <c r="W804" t="s">
        <v>38</v>
      </c>
      <c r="X804">
        <v>17</v>
      </c>
      <c r="Y804">
        <v>3</v>
      </c>
      <c r="Z804">
        <v>3</v>
      </c>
      <c r="AA804">
        <v>80</v>
      </c>
      <c r="AB804">
        <v>1</v>
      </c>
      <c r="AC804">
        <v>4</v>
      </c>
      <c r="AD804">
        <v>3</v>
      </c>
      <c r="AE804">
        <v>3</v>
      </c>
      <c r="AF804">
        <v>3</v>
      </c>
      <c r="AG804">
        <v>2</v>
      </c>
      <c r="AH804">
        <v>0</v>
      </c>
      <c r="AI804">
        <v>2</v>
      </c>
    </row>
    <row r="805" spans="1:35" x14ac:dyDescent="0.25">
      <c r="A805">
        <v>34</v>
      </c>
      <c r="B805" t="str">
        <f t="shared" si="24"/>
        <v>25-34</v>
      </c>
      <c r="C805" s="1" t="s">
        <v>38</v>
      </c>
      <c r="D805" s="17">
        <f>IF(Table1[[#This Row],[Attrition]]="Yes",1,0)</f>
        <v>0</v>
      </c>
      <c r="E805" t="s">
        <v>49</v>
      </c>
      <c r="F805" s="2">
        <v>697</v>
      </c>
      <c r="G805" t="s">
        <v>39</v>
      </c>
      <c r="H805">
        <v>3</v>
      </c>
      <c r="I805">
        <v>4</v>
      </c>
      <c r="J805" t="str">
        <f t="shared" si="25"/>
        <v>Master</v>
      </c>
      <c r="K805" t="s">
        <v>34</v>
      </c>
      <c r="L805">
        <v>3</v>
      </c>
      <c r="M805" t="s">
        <v>40</v>
      </c>
      <c r="N805" s="2">
        <v>40</v>
      </c>
      <c r="O805">
        <v>2</v>
      </c>
      <c r="P805">
        <v>1</v>
      </c>
      <c r="Q805" t="s">
        <v>41</v>
      </c>
      <c r="R805">
        <v>4</v>
      </c>
      <c r="S805" t="s">
        <v>42</v>
      </c>
      <c r="T805" s="2">
        <v>2979</v>
      </c>
      <c r="U805" s="2">
        <v>22478</v>
      </c>
      <c r="V805">
        <v>3</v>
      </c>
      <c r="W805" t="s">
        <v>38</v>
      </c>
      <c r="X805">
        <v>17</v>
      </c>
      <c r="Y805">
        <v>3</v>
      </c>
      <c r="Z805">
        <v>4</v>
      </c>
      <c r="AA805">
        <v>80</v>
      </c>
      <c r="AB805">
        <v>3</v>
      </c>
      <c r="AC805">
        <v>6</v>
      </c>
      <c r="AD805">
        <v>2</v>
      </c>
      <c r="AE805">
        <v>3</v>
      </c>
      <c r="AF805">
        <v>0</v>
      </c>
      <c r="AG805">
        <v>0</v>
      </c>
      <c r="AH805">
        <v>0</v>
      </c>
      <c r="AI805">
        <v>0</v>
      </c>
    </row>
    <row r="806" spans="1:35" x14ac:dyDescent="0.25">
      <c r="A806">
        <v>48</v>
      </c>
      <c r="B806" t="str">
        <f t="shared" si="24"/>
        <v>45-54</v>
      </c>
      <c r="C806" s="1" t="s">
        <v>38</v>
      </c>
      <c r="D806" s="17">
        <f>IF(Table1[[#This Row],[Attrition]]="Yes",1,0)</f>
        <v>0</v>
      </c>
      <c r="E806" t="s">
        <v>49</v>
      </c>
      <c r="F806" s="2">
        <v>1262</v>
      </c>
      <c r="G806" t="s">
        <v>39</v>
      </c>
      <c r="H806">
        <v>1</v>
      </c>
      <c r="I806">
        <v>4</v>
      </c>
      <c r="J806" t="str">
        <f t="shared" si="25"/>
        <v>Master</v>
      </c>
      <c r="K806" t="s">
        <v>45</v>
      </c>
      <c r="L806">
        <v>1</v>
      </c>
      <c r="M806" t="s">
        <v>40</v>
      </c>
      <c r="N806" s="2">
        <v>35</v>
      </c>
      <c r="O806">
        <v>4</v>
      </c>
      <c r="P806">
        <v>4</v>
      </c>
      <c r="Q806" t="s">
        <v>50</v>
      </c>
      <c r="R806">
        <v>4</v>
      </c>
      <c r="S806" t="s">
        <v>37</v>
      </c>
      <c r="T806" s="2">
        <v>16885</v>
      </c>
      <c r="U806" s="2">
        <v>16154</v>
      </c>
      <c r="V806">
        <v>2</v>
      </c>
      <c r="W806" t="s">
        <v>38</v>
      </c>
      <c r="X806">
        <v>22</v>
      </c>
      <c r="Y806">
        <v>4</v>
      </c>
      <c r="Z806">
        <v>3</v>
      </c>
      <c r="AA806">
        <v>80</v>
      </c>
      <c r="AB806">
        <v>0</v>
      </c>
      <c r="AC806">
        <v>27</v>
      </c>
      <c r="AD806">
        <v>3</v>
      </c>
      <c r="AE806">
        <v>2</v>
      </c>
      <c r="AF806">
        <v>5</v>
      </c>
      <c r="AG806">
        <v>4</v>
      </c>
      <c r="AH806">
        <v>2</v>
      </c>
      <c r="AI806">
        <v>1</v>
      </c>
    </row>
    <row r="807" spans="1:35" x14ac:dyDescent="0.25">
      <c r="A807">
        <v>45</v>
      </c>
      <c r="B807" t="str">
        <f t="shared" si="24"/>
        <v>45-54</v>
      </c>
      <c r="C807" s="1" t="s">
        <v>38</v>
      </c>
      <c r="D807" s="17">
        <f>IF(Table1[[#This Row],[Attrition]]="Yes",1,0)</f>
        <v>0</v>
      </c>
      <c r="E807" t="s">
        <v>49</v>
      </c>
      <c r="F807" s="2">
        <v>1050</v>
      </c>
      <c r="G807" t="s">
        <v>33</v>
      </c>
      <c r="H807">
        <v>9</v>
      </c>
      <c r="I807">
        <v>4</v>
      </c>
      <c r="J807" t="str">
        <f t="shared" si="25"/>
        <v>Master</v>
      </c>
      <c r="K807" t="s">
        <v>34</v>
      </c>
      <c r="L807">
        <v>2</v>
      </c>
      <c r="M807" t="s">
        <v>35</v>
      </c>
      <c r="N807" s="2">
        <v>65</v>
      </c>
      <c r="O807">
        <v>2</v>
      </c>
      <c r="P807">
        <v>2</v>
      </c>
      <c r="Q807" t="s">
        <v>36</v>
      </c>
      <c r="R807">
        <v>3</v>
      </c>
      <c r="S807" t="s">
        <v>42</v>
      </c>
      <c r="T807" s="2">
        <v>5593</v>
      </c>
      <c r="U807" s="2">
        <v>17970</v>
      </c>
      <c r="V807">
        <v>1</v>
      </c>
      <c r="W807" t="s">
        <v>38</v>
      </c>
      <c r="X807">
        <v>13</v>
      </c>
      <c r="Y807">
        <v>3</v>
      </c>
      <c r="Z807">
        <v>4</v>
      </c>
      <c r="AA807">
        <v>80</v>
      </c>
      <c r="AB807">
        <v>1</v>
      </c>
      <c r="AC807">
        <v>15</v>
      </c>
      <c r="AD807">
        <v>2</v>
      </c>
      <c r="AE807">
        <v>3</v>
      </c>
      <c r="AF807">
        <v>15</v>
      </c>
      <c r="AG807">
        <v>10</v>
      </c>
      <c r="AH807">
        <v>4</v>
      </c>
      <c r="AI807">
        <v>12</v>
      </c>
    </row>
    <row r="808" spans="1:35" x14ac:dyDescent="0.25">
      <c r="A808">
        <v>52</v>
      </c>
      <c r="B808" t="str">
        <f t="shared" si="24"/>
        <v>45-54</v>
      </c>
      <c r="C808" s="1" t="s">
        <v>38</v>
      </c>
      <c r="D808" s="17">
        <f>IF(Table1[[#This Row],[Attrition]]="Yes",1,0)</f>
        <v>0</v>
      </c>
      <c r="E808" t="s">
        <v>57</v>
      </c>
      <c r="F808" s="2">
        <v>994</v>
      </c>
      <c r="G808" t="s">
        <v>39</v>
      </c>
      <c r="H808">
        <v>7</v>
      </c>
      <c r="I808">
        <v>4</v>
      </c>
      <c r="J808" t="str">
        <f t="shared" si="25"/>
        <v>Master</v>
      </c>
      <c r="K808" t="s">
        <v>34</v>
      </c>
      <c r="L808">
        <v>2</v>
      </c>
      <c r="M808" t="s">
        <v>40</v>
      </c>
      <c r="N808" s="2">
        <v>87</v>
      </c>
      <c r="O808">
        <v>3</v>
      </c>
      <c r="P808">
        <v>3</v>
      </c>
      <c r="Q808" t="s">
        <v>48</v>
      </c>
      <c r="R808">
        <v>2</v>
      </c>
      <c r="S808" t="s">
        <v>37</v>
      </c>
      <c r="T808" s="2">
        <v>10445</v>
      </c>
      <c r="U808" s="2">
        <v>15322</v>
      </c>
      <c r="V808">
        <v>7</v>
      </c>
      <c r="W808" t="s">
        <v>38</v>
      </c>
      <c r="X808">
        <v>19</v>
      </c>
      <c r="Y808">
        <v>3</v>
      </c>
      <c r="Z808">
        <v>4</v>
      </c>
      <c r="AA808">
        <v>80</v>
      </c>
      <c r="AB808">
        <v>0</v>
      </c>
      <c r="AC808">
        <v>18</v>
      </c>
      <c r="AD808">
        <v>4</v>
      </c>
      <c r="AE808">
        <v>3</v>
      </c>
      <c r="AF808">
        <v>8</v>
      </c>
      <c r="AG808">
        <v>6</v>
      </c>
      <c r="AH808">
        <v>4</v>
      </c>
      <c r="AI808">
        <v>0</v>
      </c>
    </row>
    <row r="809" spans="1:35" x14ac:dyDescent="0.25">
      <c r="A809">
        <v>38</v>
      </c>
      <c r="B809" t="str">
        <f t="shared" si="24"/>
        <v>35-44</v>
      </c>
      <c r="C809" s="1" t="s">
        <v>38</v>
      </c>
      <c r="D809" s="17">
        <f>IF(Table1[[#This Row],[Attrition]]="Yes",1,0)</f>
        <v>0</v>
      </c>
      <c r="E809" t="s">
        <v>57</v>
      </c>
      <c r="F809" s="2">
        <v>770</v>
      </c>
      <c r="G809" t="s">
        <v>33</v>
      </c>
      <c r="H809">
        <v>10</v>
      </c>
      <c r="I809">
        <v>4</v>
      </c>
      <c r="J809" t="str">
        <f t="shared" si="25"/>
        <v>Master</v>
      </c>
      <c r="K809" t="s">
        <v>53</v>
      </c>
      <c r="L809">
        <v>3</v>
      </c>
      <c r="M809" t="s">
        <v>40</v>
      </c>
      <c r="N809" s="2">
        <v>73</v>
      </c>
      <c r="O809">
        <v>2</v>
      </c>
      <c r="P809">
        <v>3</v>
      </c>
      <c r="Q809" t="s">
        <v>36</v>
      </c>
      <c r="R809">
        <v>3</v>
      </c>
      <c r="S809" t="s">
        <v>46</v>
      </c>
      <c r="T809" s="2">
        <v>8740</v>
      </c>
      <c r="U809" s="2">
        <v>5569</v>
      </c>
      <c r="V809">
        <v>0</v>
      </c>
      <c r="W809" t="s">
        <v>32</v>
      </c>
      <c r="X809">
        <v>14</v>
      </c>
      <c r="Y809">
        <v>3</v>
      </c>
      <c r="Z809">
        <v>2</v>
      </c>
      <c r="AA809">
        <v>80</v>
      </c>
      <c r="AB809">
        <v>2</v>
      </c>
      <c r="AC809">
        <v>9</v>
      </c>
      <c r="AD809">
        <v>2</v>
      </c>
      <c r="AE809">
        <v>3</v>
      </c>
      <c r="AF809">
        <v>8</v>
      </c>
      <c r="AG809">
        <v>7</v>
      </c>
      <c r="AH809">
        <v>2</v>
      </c>
      <c r="AI809">
        <v>7</v>
      </c>
    </row>
    <row r="810" spans="1:35" x14ac:dyDescent="0.25">
      <c r="A810">
        <v>29</v>
      </c>
      <c r="B810" t="str">
        <f t="shared" si="24"/>
        <v>25-34</v>
      </c>
      <c r="C810" s="1" t="s">
        <v>38</v>
      </c>
      <c r="D810" s="17">
        <f>IF(Table1[[#This Row],[Attrition]]="Yes",1,0)</f>
        <v>0</v>
      </c>
      <c r="E810" t="s">
        <v>57</v>
      </c>
      <c r="F810" s="2">
        <v>1107</v>
      </c>
      <c r="G810" t="s">
        <v>39</v>
      </c>
      <c r="H810">
        <v>28</v>
      </c>
      <c r="I810">
        <v>4</v>
      </c>
      <c r="J810" t="str">
        <f t="shared" si="25"/>
        <v>Master</v>
      </c>
      <c r="K810" t="s">
        <v>34</v>
      </c>
      <c r="L810">
        <v>3</v>
      </c>
      <c r="M810" t="s">
        <v>35</v>
      </c>
      <c r="N810" s="2">
        <v>93</v>
      </c>
      <c r="O810">
        <v>3</v>
      </c>
      <c r="P810">
        <v>1</v>
      </c>
      <c r="Q810" t="s">
        <v>41</v>
      </c>
      <c r="R810">
        <v>4</v>
      </c>
      <c r="S810" t="s">
        <v>46</v>
      </c>
      <c r="T810" s="2">
        <v>2514</v>
      </c>
      <c r="U810" s="2">
        <v>26968</v>
      </c>
      <c r="V810">
        <v>4</v>
      </c>
      <c r="W810" t="s">
        <v>38</v>
      </c>
      <c r="X810">
        <v>22</v>
      </c>
      <c r="Y810">
        <v>4</v>
      </c>
      <c r="Z810">
        <v>1</v>
      </c>
      <c r="AA810">
        <v>80</v>
      </c>
      <c r="AB810">
        <v>1</v>
      </c>
      <c r="AC810">
        <v>11</v>
      </c>
      <c r="AD810">
        <v>1</v>
      </c>
      <c r="AE810">
        <v>3</v>
      </c>
      <c r="AF810">
        <v>7</v>
      </c>
      <c r="AG810">
        <v>5</v>
      </c>
      <c r="AH810">
        <v>1</v>
      </c>
      <c r="AI810">
        <v>7</v>
      </c>
    </row>
    <row r="811" spans="1:35" x14ac:dyDescent="0.25">
      <c r="A811">
        <v>28</v>
      </c>
      <c r="B811" t="str">
        <f t="shared" si="24"/>
        <v>25-34</v>
      </c>
      <c r="C811" s="1" t="s">
        <v>38</v>
      </c>
      <c r="D811" s="17">
        <f>IF(Table1[[#This Row],[Attrition]]="Yes",1,0)</f>
        <v>0</v>
      </c>
      <c r="E811" t="s">
        <v>57</v>
      </c>
      <c r="F811" s="2">
        <v>950</v>
      </c>
      <c r="G811" t="s">
        <v>39</v>
      </c>
      <c r="H811">
        <v>3</v>
      </c>
      <c r="I811">
        <v>3</v>
      </c>
      <c r="J811" t="str">
        <f t="shared" si="25"/>
        <v>Bachelor</v>
      </c>
      <c r="K811" t="s">
        <v>45</v>
      </c>
      <c r="L811">
        <v>4</v>
      </c>
      <c r="M811" t="s">
        <v>35</v>
      </c>
      <c r="N811" s="2">
        <v>93</v>
      </c>
      <c r="O811">
        <v>3</v>
      </c>
      <c r="P811">
        <v>3</v>
      </c>
      <c r="Q811" t="s">
        <v>47</v>
      </c>
      <c r="R811">
        <v>2</v>
      </c>
      <c r="S811" t="s">
        <v>46</v>
      </c>
      <c r="T811" s="2">
        <v>7655</v>
      </c>
      <c r="U811" s="2">
        <v>8039</v>
      </c>
      <c r="V811">
        <v>0</v>
      </c>
      <c r="W811" t="s">
        <v>38</v>
      </c>
      <c r="X811">
        <v>17</v>
      </c>
      <c r="Y811">
        <v>3</v>
      </c>
      <c r="Z811">
        <v>2</v>
      </c>
      <c r="AA811">
        <v>80</v>
      </c>
      <c r="AB811">
        <v>3</v>
      </c>
      <c r="AC811">
        <v>10</v>
      </c>
      <c r="AD811">
        <v>3</v>
      </c>
      <c r="AE811">
        <v>2</v>
      </c>
      <c r="AF811">
        <v>9</v>
      </c>
      <c r="AG811">
        <v>7</v>
      </c>
      <c r="AH811">
        <v>1</v>
      </c>
      <c r="AI811">
        <v>7</v>
      </c>
    </row>
    <row r="812" spans="1:35" x14ac:dyDescent="0.25">
      <c r="A812">
        <v>46</v>
      </c>
      <c r="B812" t="str">
        <f t="shared" si="24"/>
        <v>45-54</v>
      </c>
      <c r="C812" s="1" t="s">
        <v>38</v>
      </c>
      <c r="D812" s="17">
        <f>IF(Table1[[#This Row],[Attrition]]="Yes",1,0)</f>
        <v>0</v>
      </c>
      <c r="E812" t="s">
        <v>57</v>
      </c>
      <c r="F812" s="2">
        <v>406</v>
      </c>
      <c r="G812" t="s">
        <v>33</v>
      </c>
      <c r="H812">
        <v>3</v>
      </c>
      <c r="I812">
        <v>1</v>
      </c>
      <c r="J812" t="str">
        <f t="shared" si="25"/>
        <v>Below College</v>
      </c>
      <c r="K812" t="s">
        <v>53</v>
      </c>
      <c r="L812">
        <v>1</v>
      </c>
      <c r="M812" t="s">
        <v>40</v>
      </c>
      <c r="N812" s="2">
        <v>52</v>
      </c>
      <c r="O812">
        <v>3</v>
      </c>
      <c r="P812">
        <v>4</v>
      </c>
      <c r="Q812" t="s">
        <v>50</v>
      </c>
      <c r="R812">
        <v>3</v>
      </c>
      <c r="S812" t="s">
        <v>42</v>
      </c>
      <c r="T812" s="2">
        <v>17465</v>
      </c>
      <c r="U812" s="2">
        <v>15596</v>
      </c>
      <c r="V812">
        <v>3</v>
      </c>
      <c r="W812" t="s">
        <v>38</v>
      </c>
      <c r="X812">
        <v>12</v>
      </c>
      <c r="Y812">
        <v>3</v>
      </c>
      <c r="Z812">
        <v>4</v>
      </c>
      <c r="AA812">
        <v>80</v>
      </c>
      <c r="AB812">
        <v>1</v>
      </c>
      <c r="AC812">
        <v>23</v>
      </c>
      <c r="AD812">
        <v>3</v>
      </c>
      <c r="AE812">
        <v>3</v>
      </c>
      <c r="AF812">
        <v>12</v>
      </c>
      <c r="AG812">
        <v>9</v>
      </c>
      <c r="AH812">
        <v>4</v>
      </c>
      <c r="AI812">
        <v>9</v>
      </c>
    </row>
    <row r="813" spans="1:35" x14ac:dyDescent="0.25">
      <c r="A813">
        <v>38</v>
      </c>
      <c r="B813" t="str">
        <f t="shared" si="24"/>
        <v>35-44</v>
      </c>
      <c r="C813" s="1" t="s">
        <v>38</v>
      </c>
      <c r="D813" s="17">
        <f>IF(Table1[[#This Row],[Attrition]]="Yes",1,0)</f>
        <v>0</v>
      </c>
      <c r="E813" t="s">
        <v>57</v>
      </c>
      <c r="F813" s="2">
        <v>130</v>
      </c>
      <c r="G813" t="s">
        <v>33</v>
      </c>
      <c r="H813">
        <v>2</v>
      </c>
      <c r="I813">
        <v>2</v>
      </c>
      <c r="J813" t="str">
        <f t="shared" si="25"/>
        <v>College</v>
      </c>
      <c r="K813" t="s">
        <v>53</v>
      </c>
      <c r="L813">
        <v>4</v>
      </c>
      <c r="M813" t="s">
        <v>40</v>
      </c>
      <c r="N813" s="2">
        <v>32</v>
      </c>
      <c r="O813">
        <v>3</v>
      </c>
      <c r="P813">
        <v>3</v>
      </c>
      <c r="Q813" t="s">
        <v>36</v>
      </c>
      <c r="R813">
        <v>2</v>
      </c>
      <c r="S813" t="s">
        <v>37</v>
      </c>
      <c r="T813" s="2">
        <v>7351</v>
      </c>
      <c r="U813" s="2">
        <v>20619</v>
      </c>
      <c r="V813">
        <v>7</v>
      </c>
      <c r="W813" t="s">
        <v>38</v>
      </c>
      <c r="X813">
        <v>16</v>
      </c>
      <c r="Y813">
        <v>3</v>
      </c>
      <c r="Z813">
        <v>3</v>
      </c>
      <c r="AA813">
        <v>80</v>
      </c>
      <c r="AB813">
        <v>0</v>
      </c>
      <c r="AC813">
        <v>10</v>
      </c>
      <c r="AD813">
        <v>2</v>
      </c>
      <c r="AE813">
        <v>3</v>
      </c>
      <c r="AF813">
        <v>1</v>
      </c>
      <c r="AG813">
        <v>0</v>
      </c>
      <c r="AH813">
        <v>0</v>
      </c>
      <c r="AI813">
        <v>0</v>
      </c>
    </row>
    <row r="814" spans="1:35" x14ac:dyDescent="0.25">
      <c r="A814">
        <v>43</v>
      </c>
      <c r="B814" t="str">
        <f t="shared" si="24"/>
        <v>35-44</v>
      </c>
      <c r="C814" s="1" t="s">
        <v>38</v>
      </c>
      <c r="D814" s="17">
        <f>IF(Table1[[#This Row],[Attrition]]="Yes",1,0)</f>
        <v>0</v>
      </c>
      <c r="E814" t="s">
        <v>58</v>
      </c>
      <c r="F814" s="2">
        <v>1082</v>
      </c>
      <c r="G814" t="s">
        <v>39</v>
      </c>
      <c r="H814">
        <v>27</v>
      </c>
      <c r="I814">
        <v>3</v>
      </c>
      <c r="J814" t="str">
        <f t="shared" si="25"/>
        <v>Bachelor</v>
      </c>
      <c r="K814" t="s">
        <v>34</v>
      </c>
      <c r="L814">
        <v>3</v>
      </c>
      <c r="M814" t="s">
        <v>35</v>
      </c>
      <c r="N814" s="2">
        <v>83</v>
      </c>
      <c r="O814">
        <v>3</v>
      </c>
      <c r="P814">
        <v>3</v>
      </c>
      <c r="Q814" t="s">
        <v>47</v>
      </c>
      <c r="R814">
        <v>1</v>
      </c>
      <c r="S814" t="s">
        <v>42</v>
      </c>
      <c r="T814" s="2">
        <v>10820</v>
      </c>
      <c r="U814" s="2">
        <v>11535</v>
      </c>
      <c r="V814">
        <v>8</v>
      </c>
      <c r="W814" t="s">
        <v>38</v>
      </c>
      <c r="X814">
        <v>11</v>
      </c>
      <c r="Y814">
        <v>3</v>
      </c>
      <c r="Z814">
        <v>3</v>
      </c>
      <c r="AA814">
        <v>80</v>
      </c>
      <c r="AB814">
        <v>1</v>
      </c>
      <c r="AC814">
        <v>18</v>
      </c>
      <c r="AD814">
        <v>1</v>
      </c>
      <c r="AE814">
        <v>3</v>
      </c>
      <c r="AF814">
        <v>8</v>
      </c>
      <c r="AG814">
        <v>7</v>
      </c>
      <c r="AH814">
        <v>0</v>
      </c>
      <c r="AI814">
        <v>1</v>
      </c>
    </row>
    <row r="815" spans="1:35" x14ac:dyDescent="0.25">
      <c r="A815">
        <v>39</v>
      </c>
      <c r="B815" t="str">
        <f t="shared" si="24"/>
        <v>35-44</v>
      </c>
      <c r="C815" s="1" t="s">
        <v>32</v>
      </c>
      <c r="D815" s="17">
        <f>IF(Table1[[#This Row],[Attrition]]="Yes",1,0)</f>
        <v>1</v>
      </c>
      <c r="E815" t="s">
        <v>58</v>
      </c>
      <c r="F815" s="2">
        <v>203</v>
      </c>
      <c r="G815" t="s">
        <v>39</v>
      </c>
      <c r="H815">
        <v>2</v>
      </c>
      <c r="I815">
        <v>3</v>
      </c>
      <c r="J815" t="str">
        <f t="shared" si="25"/>
        <v>Bachelor</v>
      </c>
      <c r="K815" t="s">
        <v>34</v>
      </c>
      <c r="L815">
        <v>1</v>
      </c>
      <c r="M815" t="s">
        <v>40</v>
      </c>
      <c r="N815" s="2">
        <v>84</v>
      </c>
      <c r="O815">
        <v>3</v>
      </c>
      <c r="P815">
        <v>4</v>
      </c>
      <c r="Q815" t="s">
        <v>48</v>
      </c>
      <c r="R815">
        <v>4</v>
      </c>
      <c r="S815" t="s">
        <v>46</v>
      </c>
      <c r="T815" s="2">
        <v>12169</v>
      </c>
      <c r="U815" s="2">
        <v>13547</v>
      </c>
      <c r="V815">
        <v>7</v>
      </c>
      <c r="W815" t="s">
        <v>38</v>
      </c>
      <c r="X815">
        <v>11</v>
      </c>
      <c r="Y815">
        <v>3</v>
      </c>
      <c r="Z815">
        <v>4</v>
      </c>
      <c r="AA815">
        <v>80</v>
      </c>
      <c r="AB815">
        <v>3</v>
      </c>
      <c r="AC815">
        <v>21</v>
      </c>
      <c r="AD815">
        <v>4</v>
      </c>
      <c r="AE815">
        <v>3</v>
      </c>
      <c r="AF815">
        <v>18</v>
      </c>
      <c r="AG815">
        <v>7</v>
      </c>
      <c r="AH815">
        <v>11</v>
      </c>
      <c r="AI815">
        <v>5</v>
      </c>
    </row>
    <row r="816" spans="1:35" x14ac:dyDescent="0.25">
      <c r="A816">
        <v>40</v>
      </c>
      <c r="B816" t="str">
        <f t="shared" si="24"/>
        <v>35-44</v>
      </c>
      <c r="C816" s="1" t="s">
        <v>38</v>
      </c>
      <c r="D816" s="17">
        <f>IF(Table1[[#This Row],[Attrition]]="Yes",1,0)</f>
        <v>0</v>
      </c>
      <c r="E816" t="s">
        <v>57</v>
      </c>
      <c r="F816" s="2">
        <v>1308</v>
      </c>
      <c r="G816" t="s">
        <v>39</v>
      </c>
      <c r="H816">
        <v>14</v>
      </c>
      <c r="I816">
        <v>3</v>
      </c>
      <c r="J816" t="str">
        <f t="shared" si="25"/>
        <v>Bachelor</v>
      </c>
      <c r="K816" t="s">
        <v>45</v>
      </c>
      <c r="L816">
        <v>3</v>
      </c>
      <c r="M816" t="s">
        <v>40</v>
      </c>
      <c r="N816" s="2">
        <v>44</v>
      </c>
      <c r="O816">
        <v>2</v>
      </c>
      <c r="P816">
        <v>5</v>
      </c>
      <c r="Q816" t="s">
        <v>52</v>
      </c>
      <c r="R816">
        <v>3</v>
      </c>
      <c r="S816" t="s">
        <v>37</v>
      </c>
      <c r="T816" s="2">
        <v>19626</v>
      </c>
      <c r="U816" s="2">
        <v>17544</v>
      </c>
      <c r="V816">
        <v>1</v>
      </c>
      <c r="W816" t="s">
        <v>38</v>
      </c>
      <c r="X816">
        <v>14</v>
      </c>
      <c r="Y816">
        <v>3</v>
      </c>
      <c r="Z816">
        <v>1</v>
      </c>
      <c r="AA816">
        <v>80</v>
      </c>
      <c r="AB816">
        <v>0</v>
      </c>
      <c r="AC816">
        <v>21</v>
      </c>
      <c r="AD816">
        <v>2</v>
      </c>
      <c r="AE816">
        <v>4</v>
      </c>
      <c r="AF816">
        <v>20</v>
      </c>
      <c r="AG816">
        <v>7</v>
      </c>
      <c r="AH816">
        <v>4</v>
      </c>
      <c r="AI816">
        <v>9</v>
      </c>
    </row>
    <row r="817" spans="1:35" x14ac:dyDescent="0.25">
      <c r="A817">
        <v>21</v>
      </c>
      <c r="B817" t="str">
        <f t="shared" si="24"/>
        <v>18-24</v>
      </c>
      <c r="C817" s="1" t="s">
        <v>38</v>
      </c>
      <c r="D817" s="17">
        <f>IF(Table1[[#This Row],[Attrition]]="Yes",1,0)</f>
        <v>0</v>
      </c>
      <c r="E817" t="s">
        <v>57</v>
      </c>
      <c r="F817" s="2">
        <v>984</v>
      </c>
      <c r="G817" t="s">
        <v>39</v>
      </c>
      <c r="H817">
        <v>1</v>
      </c>
      <c r="I817">
        <v>1</v>
      </c>
      <c r="J817" t="str">
        <f t="shared" si="25"/>
        <v>Below College</v>
      </c>
      <c r="K817" t="s">
        <v>54</v>
      </c>
      <c r="L817">
        <v>4</v>
      </c>
      <c r="M817" t="s">
        <v>35</v>
      </c>
      <c r="N817" s="2">
        <v>70</v>
      </c>
      <c r="O817">
        <v>2</v>
      </c>
      <c r="P817">
        <v>1</v>
      </c>
      <c r="Q817" t="s">
        <v>41</v>
      </c>
      <c r="R817">
        <v>2</v>
      </c>
      <c r="S817" t="s">
        <v>37</v>
      </c>
      <c r="T817" s="2">
        <v>2070</v>
      </c>
      <c r="U817" s="2">
        <v>25326</v>
      </c>
      <c r="V817">
        <v>1</v>
      </c>
      <c r="W817" t="s">
        <v>32</v>
      </c>
      <c r="X817">
        <v>11</v>
      </c>
      <c r="Y817">
        <v>3</v>
      </c>
      <c r="Z817">
        <v>3</v>
      </c>
      <c r="AA817">
        <v>80</v>
      </c>
      <c r="AB817">
        <v>0</v>
      </c>
      <c r="AC817">
        <v>2</v>
      </c>
      <c r="AD817">
        <v>6</v>
      </c>
      <c r="AE817">
        <v>4</v>
      </c>
      <c r="AF817">
        <v>2</v>
      </c>
      <c r="AG817">
        <v>2</v>
      </c>
      <c r="AH817">
        <v>2</v>
      </c>
      <c r="AI817">
        <v>2</v>
      </c>
    </row>
    <row r="818" spans="1:35" x14ac:dyDescent="0.25">
      <c r="A818">
        <v>39</v>
      </c>
      <c r="B818" t="str">
        <f t="shared" si="24"/>
        <v>35-44</v>
      </c>
      <c r="C818" s="1" t="s">
        <v>38</v>
      </c>
      <c r="D818" s="17">
        <f>IF(Table1[[#This Row],[Attrition]]="Yes",1,0)</f>
        <v>0</v>
      </c>
      <c r="E818" t="s">
        <v>49</v>
      </c>
      <c r="F818" s="2">
        <v>439</v>
      </c>
      <c r="G818" t="s">
        <v>39</v>
      </c>
      <c r="H818">
        <v>9</v>
      </c>
      <c r="I818">
        <v>3</v>
      </c>
      <c r="J818" t="str">
        <f t="shared" si="25"/>
        <v>Bachelor</v>
      </c>
      <c r="K818" t="s">
        <v>34</v>
      </c>
      <c r="L818">
        <v>3</v>
      </c>
      <c r="M818" t="s">
        <v>40</v>
      </c>
      <c r="N818" s="2">
        <v>70</v>
      </c>
      <c r="O818">
        <v>3</v>
      </c>
      <c r="P818">
        <v>2</v>
      </c>
      <c r="Q818" t="s">
        <v>44</v>
      </c>
      <c r="R818">
        <v>2</v>
      </c>
      <c r="S818" t="s">
        <v>37</v>
      </c>
      <c r="T818" s="2">
        <v>6782</v>
      </c>
      <c r="U818" s="2">
        <v>8770</v>
      </c>
      <c r="V818">
        <v>9</v>
      </c>
      <c r="W818" t="s">
        <v>38</v>
      </c>
      <c r="X818">
        <v>15</v>
      </c>
      <c r="Y818">
        <v>3</v>
      </c>
      <c r="Z818">
        <v>3</v>
      </c>
      <c r="AA818">
        <v>80</v>
      </c>
      <c r="AB818">
        <v>0</v>
      </c>
      <c r="AC818">
        <v>9</v>
      </c>
      <c r="AD818">
        <v>2</v>
      </c>
      <c r="AE818">
        <v>2</v>
      </c>
      <c r="AF818">
        <v>5</v>
      </c>
      <c r="AG818">
        <v>4</v>
      </c>
      <c r="AH818">
        <v>0</v>
      </c>
      <c r="AI818">
        <v>3</v>
      </c>
    </row>
    <row r="819" spans="1:35" x14ac:dyDescent="0.25">
      <c r="A819">
        <v>36</v>
      </c>
      <c r="B819" t="str">
        <f t="shared" si="24"/>
        <v>35-44</v>
      </c>
      <c r="C819" s="1" t="s">
        <v>38</v>
      </c>
      <c r="D819" s="17">
        <f>IF(Table1[[#This Row],[Attrition]]="Yes",1,0)</f>
        <v>0</v>
      </c>
      <c r="E819" t="s">
        <v>49</v>
      </c>
      <c r="F819" s="2">
        <v>217</v>
      </c>
      <c r="G819" t="s">
        <v>39</v>
      </c>
      <c r="H819">
        <v>18</v>
      </c>
      <c r="I819">
        <v>4</v>
      </c>
      <c r="J819" t="str">
        <f t="shared" si="25"/>
        <v>Master</v>
      </c>
      <c r="K819" t="s">
        <v>34</v>
      </c>
      <c r="L819">
        <v>1</v>
      </c>
      <c r="M819" t="s">
        <v>40</v>
      </c>
      <c r="N819" s="2">
        <v>78</v>
      </c>
      <c r="O819">
        <v>3</v>
      </c>
      <c r="P819">
        <v>2</v>
      </c>
      <c r="Q819" t="s">
        <v>47</v>
      </c>
      <c r="R819">
        <v>4</v>
      </c>
      <c r="S819" t="s">
        <v>37</v>
      </c>
      <c r="T819" s="2">
        <v>7779</v>
      </c>
      <c r="U819" s="2">
        <v>23238</v>
      </c>
      <c r="V819">
        <v>2</v>
      </c>
      <c r="W819" t="s">
        <v>38</v>
      </c>
      <c r="X819">
        <v>20</v>
      </c>
      <c r="Y819">
        <v>4</v>
      </c>
      <c r="Z819">
        <v>1</v>
      </c>
      <c r="AA819">
        <v>80</v>
      </c>
      <c r="AB819">
        <v>0</v>
      </c>
      <c r="AC819">
        <v>18</v>
      </c>
      <c r="AD819">
        <v>0</v>
      </c>
      <c r="AE819">
        <v>3</v>
      </c>
      <c r="AF819">
        <v>11</v>
      </c>
      <c r="AG819">
        <v>9</v>
      </c>
      <c r="AH819">
        <v>0</v>
      </c>
      <c r="AI819">
        <v>9</v>
      </c>
    </row>
    <row r="820" spans="1:35" x14ac:dyDescent="0.25">
      <c r="A820">
        <v>31</v>
      </c>
      <c r="B820" t="str">
        <f t="shared" si="24"/>
        <v>25-34</v>
      </c>
      <c r="C820" s="1" t="s">
        <v>38</v>
      </c>
      <c r="D820" s="17">
        <f>IF(Table1[[#This Row],[Attrition]]="Yes",1,0)</f>
        <v>0</v>
      </c>
      <c r="E820" t="s">
        <v>58</v>
      </c>
      <c r="F820" s="2">
        <v>793</v>
      </c>
      <c r="G820" t="s">
        <v>33</v>
      </c>
      <c r="H820">
        <v>20</v>
      </c>
      <c r="I820">
        <v>3</v>
      </c>
      <c r="J820" t="str">
        <f t="shared" si="25"/>
        <v>Bachelor</v>
      </c>
      <c r="K820" t="s">
        <v>34</v>
      </c>
      <c r="L820">
        <v>3</v>
      </c>
      <c r="M820" t="s">
        <v>40</v>
      </c>
      <c r="N820" s="2">
        <v>67</v>
      </c>
      <c r="O820">
        <v>4</v>
      </c>
      <c r="P820">
        <v>1</v>
      </c>
      <c r="Q820" t="s">
        <v>51</v>
      </c>
      <c r="R820">
        <v>4</v>
      </c>
      <c r="S820" t="s">
        <v>42</v>
      </c>
      <c r="T820" s="2">
        <v>2791</v>
      </c>
      <c r="U820" s="2">
        <v>21981</v>
      </c>
      <c r="V820">
        <v>0</v>
      </c>
      <c r="W820" t="s">
        <v>38</v>
      </c>
      <c r="X820">
        <v>12</v>
      </c>
      <c r="Y820">
        <v>3</v>
      </c>
      <c r="Z820">
        <v>1</v>
      </c>
      <c r="AA820">
        <v>80</v>
      </c>
      <c r="AB820">
        <v>1</v>
      </c>
      <c r="AC820">
        <v>3</v>
      </c>
      <c r="AD820">
        <v>4</v>
      </c>
      <c r="AE820">
        <v>3</v>
      </c>
      <c r="AF820">
        <v>2</v>
      </c>
      <c r="AG820">
        <v>2</v>
      </c>
      <c r="AH820">
        <v>2</v>
      </c>
      <c r="AI820">
        <v>2</v>
      </c>
    </row>
    <row r="821" spans="1:35" x14ac:dyDescent="0.25">
      <c r="A821">
        <v>28</v>
      </c>
      <c r="B821" t="str">
        <f t="shared" si="24"/>
        <v>25-34</v>
      </c>
      <c r="C821" s="1" t="s">
        <v>38</v>
      </c>
      <c r="D821" s="17">
        <f>IF(Table1[[#This Row],[Attrition]]="Yes",1,0)</f>
        <v>0</v>
      </c>
      <c r="E821" t="s">
        <v>57</v>
      </c>
      <c r="F821" s="2">
        <v>1451</v>
      </c>
      <c r="G821" t="s">
        <v>39</v>
      </c>
      <c r="H821">
        <v>2</v>
      </c>
      <c r="I821">
        <v>1</v>
      </c>
      <c r="J821" t="str">
        <f t="shared" si="25"/>
        <v>Below College</v>
      </c>
      <c r="K821" t="s">
        <v>34</v>
      </c>
      <c r="L821">
        <v>1</v>
      </c>
      <c r="M821" t="s">
        <v>40</v>
      </c>
      <c r="N821" s="2">
        <v>67</v>
      </c>
      <c r="O821">
        <v>2</v>
      </c>
      <c r="P821">
        <v>1</v>
      </c>
      <c r="Q821" t="s">
        <v>41</v>
      </c>
      <c r="R821">
        <v>2</v>
      </c>
      <c r="S821" t="s">
        <v>42</v>
      </c>
      <c r="T821" s="2">
        <v>3201</v>
      </c>
      <c r="U821" s="2">
        <v>19911</v>
      </c>
      <c r="V821">
        <v>0</v>
      </c>
      <c r="W821" t="s">
        <v>38</v>
      </c>
      <c r="X821">
        <v>17</v>
      </c>
      <c r="Y821">
        <v>3</v>
      </c>
      <c r="Z821">
        <v>1</v>
      </c>
      <c r="AA821">
        <v>80</v>
      </c>
      <c r="AB821">
        <v>0</v>
      </c>
      <c r="AC821">
        <v>6</v>
      </c>
      <c r="AD821">
        <v>2</v>
      </c>
      <c r="AE821">
        <v>1</v>
      </c>
      <c r="AF821">
        <v>5</v>
      </c>
      <c r="AG821">
        <v>3</v>
      </c>
      <c r="AH821">
        <v>0</v>
      </c>
      <c r="AI821">
        <v>4</v>
      </c>
    </row>
    <row r="822" spans="1:35" x14ac:dyDescent="0.25">
      <c r="A822">
        <v>35</v>
      </c>
      <c r="B822" t="str">
        <f t="shared" si="24"/>
        <v>35-44</v>
      </c>
      <c r="C822" s="1" t="s">
        <v>38</v>
      </c>
      <c r="D822" s="17">
        <f>IF(Table1[[#This Row],[Attrition]]="Yes",1,0)</f>
        <v>0</v>
      </c>
      <c r="E822" t="s">
        <v>58</v>
      </c>
      <c r="F822" s="2">
        <v>1182</v>
      </c>
      <c r="G822" t="s">
        <v>33</v>
      </c>
      <c r="H822">
        <v>11</v>
      </c>
      <c r="I822">
        <v>2</v>
      </c>
      <c r="J822" t="str">
        <f t="shared" si="25"/>
        <v>College</v>
      </c>
      <c r="K822" t="s">
        <v>53</v>
      </c>
      <c r="L822">
        <v>4</v>
      </c>
      <c r="M822" t="s">
        <v>40</v>
      </c>
      <c r="N822" s="2">
        <v>54</v>
      </c>
      <c r="O822">
        <v>3</v>
      </c>
      <c r="P822">
        <v>2</v>
      </c>
      <c r="Q822" t="s">
        <v>36</v>
      </c>
      <c r="R822">
        <v>4</v>
      </c>
      <c r="S822" t="s">
        <v>46</v>
      </c>
      <c r="T822" s="2">
        <v>4968</v>
      </c>
      <c r="U822" s="2">
        <v>18500</v>
      </c>
      <c r="V822">
        <v>1</v>
      </c>
      <c r="W822" t="s">
        <v>38</v>
      </c>
      <c r="X822">
        <v>11</v>
      </c>
      <c r="Y822">
        <v>3</v>
      </c>
      <c r="Z822">
        <v>4</v>
      </c>
      <c r="AA822">
        <v>80</v>
      </c>
      <c r="AB822">
        <v>1</v>
      </c>
      <c r="AC822">
        <v>5</v>
      </c>
      <c r="AD822">
        <v>3</v>
      </c>
      <c r="AE822">
        <v>3</v>
      </c>
      <c r="AF822">
        <v>5</v>
      </c>
      <c r="AG822">
        <v>2</v>
      </c>
      <c r="AH822">
        <v>0</v>
      </c>
      <c r="AI822">
        <v>2</v>
      </c>
    </row>
    <row r="823" spans="1:35" x14ac:dyDescent="0.25">
      <c r="A823">
        <v>49</v>
      </c>
      <c r="B823" t="str">
        <f t="shared" si="24"/>
        <v>45-54</v>
      </c>
      <c r="C823" s="1" t="s">
        <v>38</v>
      </c>
      <c r="D823" s="17">
        <f>IF(Table1[[#This Row],[Attrition]]="Yes",1,0)</f>
        <v>0</v>
      </c>
      <c r="E823" t="s">
        <v>57</v>
      </c>
      <c r="F823" s="2">
        <v>174</v>
      </c>
      <c r="G823" t="s">
        <v>33</v>
      </c>
      <c r="H823">
        <v>8</v>
      </c>
      <c r="I823">
        <v>4</v>
      </c>
      <c r="J823" t="str">
        <f t="shared" si="25"/>
        <v>Master</v>
      </c>
      <c r="K823" t="s">
        <v>54</v>
      </c>
      <c r="L823">
        <v>4</v>
      </c>
      <c r="M823" t="s">
        <v>40</v>
      </c>
      <c r="N823" s="2">
        <v>56</v>
      </c>
      <c r="O823">
        <v>2</v>
      </c>
      <c r="P823">
        <v>4</v>
      </c>
      <c r="Q823" t="s">
        <v>36</v>
      </c>
      <c r="R823">
        <v>2</v>
      </c>
      <c r="S823" t="s">
        <v>42</v>
      </c>
      <c r="T823" s="2">
        <v>13120</v>
      </c>
      <c r="U823" s="2">
        <v>11879</v>
      </c>
      <c r="V823">
        <v>6</v>
      </c>
      <c r="W823" t="s">
        <v>38</v>
      </c>
      <c r="X823">
        <v>17</v>
      </c>
      <c r="Y823">
        <v>3</v>
      </c>
      <c r="Z823">
        <v>2</v>
      </c>
      <c r="AA823">
        <v>80</v>
      </c>
      <c r="AB823">
        <v>1</v>
      </c>
      <c r="AC823">
        <v>22</v>
      </c>
      <c r="AD823">
        <v>3</v>
      </c>
      <c r="AE823">
        <v>3</v>
      </c>
      <c r="AF823">
        <v>9</v>
      </c>
      <c r="AG823">
        <v>8</v>
      </c>
      <c r="AH823">
        <v>2</v>
      </c>
      <c r="AI823">
        <v>3</v>
      </c>
    </row>
    <row r="824" spans="1:35" x14ac:dyDescent="0.25">
      <c r="A824">
        <v>34</v>
      </c>
      <c r="B824" t="str">
        <f t="shared" si="24"/>
        <v>25-34</v>
      </c>
      <c r="C824" s="1" t="s">
        <v>38</v>
      </c>
      <c r="D824" s="17">
        <f>IF(Table1[[#This Row],[Attrition]]="Yes",1,0)</f>
        <v>0</v>
      </c>
      <c r="E824" t="s">
        <v>58</v>
      </c>
      <c r="F824" s="2">
        <v>1003</v>
      </c>
      <c r="G824" t="s">
        <v>39</v>
      </c>
      <c r="H824">
        <v>2</v>
      </c>
      <c r="I824">
        <v>2</v>
      </c>
      <c r="J824" t="str">
        <f t="shared" si="25"/>
        <v>College</v>
      </c>
      <c r="K824" t="s">
        <v>34</v>
      </c>
      <c r="L824">
        <v>4</v>
      </c>
      <c r="M824" t="s">
        <v>40</v>
      </c>
      <c r="N824" s="2">
        <v>95</v>
      </c>
      <c r="O824">
        <v>3</v>
      </c>
      <c r="P824">
        <v>2</v>
      </c>
      <c r="Q824" t="s">
        <v>47</v>
      </c>
      <c r="R824">
        <v>3</v>
      </c>
      <c r="S824" t="s">
        <v>37</v>
      </c>
      <c r="T824" s="2">
        <v>4033</v>
      </c>
      <c r="U824" s="2">
        <v>15834</v>
      </c>
      <c r="V824">
        <v>2</v>
      </c>
      <c r="W824" t="s">
        <v>38</v>
      </c>
      <c r="X824">
        <v>11</v>
      </c>
      <c r="Y824">
        <v>3</v>
      </c>
      <c r="Z824">
        <v>4</v>
      </c>
      <c r="AA824">
        <v>80</v>
      </c>
      <c r="AB824">
        <v>0</v>
      </c>
      <c r="AC824">
        <v>5</v>
      </c>
      <c r="AD824">
        <v>3</v>
      </c>
      <c r="AE824">
        <v>2</v>
      </c>
      <c r="AF824">
        <v>3</v>
      </c>
      <c r="AG824">
        <v>2</v>
      </c>
      <c r="AH824">
        <v>0</v>
      </c>
      <c r="AI824">
        <v>2</v>
      </c>
    </row>
    <row r="825" spans="1:35" x14ac:dyDescent="0.25">
      <c r="A825">
        <v>29</v>
      </c>
      <c r="B825" t="str">
        <f t="shared" si="24"/>
        <v>25-34</v>
      </c>
      <c r="C825" s="1" t="s">
        <v>38</v>
      </c>
      <c r="D825" s="17">
        <f>IF(Table1[[#This Row],[Attrition]]="Yes",1,0)</f>
        <v>0</v>
      </c>
      <c r="E825" t="s">
        <v>58</v>
      </c>
      <c r="F825" s="2">
        <v>490</v>
      </c>
      <c r="G825" t="s">
        <v>39</v>
      </c>
      <c r="H825">
        <v>10</v>
      </c>
      <c r="I825">
        <v>3</v>
      </c>
      <c r="J825" t="str">
        <f t="shared" si="25"/>
        <v>Bachelor</v>
      </c>
      <c r="K825" t="s">
        <v>34</v>
      </c>
      <c r="L825">
        <v>4</v>
      </c>
      <c r="M825" t="s">
        <v>35</v>
      </c>
      <c r="N825" s="2">
        <v>61</v>
      </c>
      <c r="O825">
        <v>3</v>
      </c>
      <c r="P825">
        <v>1</v>
      </c>
      <c r="Q825" t="s">
        <v>41</v>
      </c>
      <c r="R825">
        <v>2</v>
      </c>
      <c r="S825" t="s">
        <v>46</v>
      </c>
      <c r="T825" s="2">
        <v>3291</v>
      </c>
      <c r="U825" s="2">
        <v>17940</v>
      </c>
      <c r="V825">
        <v>0</v>
      </c>
      <c r="W825" t="s">
        <v>38</v>
      </c>
      <c r="X825">
        <v>14</v>
      </c>
      <c r="Y825">
        <v>3</v>
      </c>
      <c r="Z825">
        <v>4</v>
      </c>
      <c r="AA825">
        <v>80</v>
      </c>
      <c r="AB825">
        <v>2</v>
      </c>
      <c r="AC825">
        <v>8</v>
      </c>
      <c r="AD825">
        <v>2</v>
      </c>
      <c r="AE825">
        <v>2</v>
      </c>
      <c r="AF825">
        <v>7</v>
      </c>
      <c r="AG825">
        <v>5</v>
      </c>
      <c r="AH825">
        <v>1</v>
      </c>
      <c r="AI825">
        <v>1</v>
      </c>
    </row>
    <row r="826" spans="1:35" x14ac:dyDescent="0.25">
      <c r="A826">
        <v>42</v>
      </c>
      <c r="B826" t="str">
        <f t="shared" si="24"/>
        <v>35-44</v>
      </c>
      <c r="C826" s="1" t="s">
        <v>38</v>
      </c>
      <c r="D826" s="17">
        <f>IF(Table1[[#This Row],[Attrition]]="Yes",1,0)</f>
        <v>0</v>
      </c>
      <c r="E826" t="s">
        <v>57</v>
      </c>
      <c r="F826" s="2">
        <v>188</v>
      </c>
      <c r="G826" t="s">
        <v>39</v>
      </c>
      <c r="H826">
        <v>29</v>
      </c>
      <c r="I826">
        <v>3</v>
      </c>
      <c r="J826" t="str">
        <f t="shared" si="25"/>
        <v>Bachelor</v>
      </c>
      <c r="K826" t="s">
        <v>45</v>
      </c>
      <c r="L826">
        <v>2</v>
      </c>
      <c r="M826" t="s">
        <v>40</v>
      </c>
      <c r="N826" s="2">
        <v>56</v>
      </c>
      <c r="O826">
        <v>1</v>
      </c>
      <c r="P826">
        <v>2</v>
      </c>
      <c r="Q826" t="s">
        <v>44</v>
      </c>
      <c r="R826">
        <v>4</v>
      </c>
      <c r="S826" t="s">
        <v>37</v>
      </c>
      <c r="T826" s="2">
        <v>4272</v>
      </c>
      <c r="U826" s="2">
        <v>9558</v>
      </c>
      <c r="V826">
        <v>4</v>
      </c>
      <c r="W826" t="s">
        <v>38</v>
      </c>
      <c r="X826">
        <v>19</v>
      </c>
      <c r="Y826">
        <v>3</v>
      </c>
      <c r="Z826">
        <v>1</v>
      </c>
      <c r="AA826">
        <v>80</v>
      </c>
      <c r="AB826">
        <v>0</v>
      </c>
      <c r="AC826">
        <v>16</v>
      </c>
      <c r="AD826">
        <v>3</v>
      </c>
      <c r="AE826">
        <v>3</v>
      </c>
      <c r="AF826">
        <v>1</v>
      </c>
      <c r="AG826">
        <v>0</v>
      </c>
      <c r="AH826">
        <v>0</v>
      </c>
      <c r="AI826">
        <v>0</v>
      </c>
    </row>
    <row r="827" spans="1:35" x14ac:dyDescent="0.25">
      <c r="A827">
        <v>29</v>
      </c>
      <c r="B827" t="str">
        <f t="shared" si="24"/>
        <v>25-34</v>
      </c>
      <c r="C827" s="1" t="s">
        <v>38</v>
      </c>
      <c r="D827" s="17">
        <f>IF(Table1[[#This Row],[Attrition]]="Yes",1,0)</f>
        <v>0</v>
      </c>
      <c r="E827" t="s">
        <v>57</v>
      </c>
      <c r="F827" s="2">
        <v>718</v>
      </c>
      <c r="G827" t="s">
        <v>39</v>
      </c>
      <c r="H827">
        <v>8</v>
      </c>
      <c r="I827">
        <v>1</v>
      </c>
      <c r="J827" t="str">
        <f t="shared" si="25"/>
        <v>Below College</v>
      </c>
      <c r="K827" t="s">
        <v>45</v>
      </c>
      <c r="L827">
        <v>2</v>
      </c>
      <c r="M827" t="s">
        <v>40</v>
      </c>
      <c r="N827" s="2">
        <v>79</v>
      </c>
      <c r="O827">
        <v>2</v>
      </c>
      <c r="P827">
        <v>2</v>
      </c>
      <c r="Q827" t="s">
        <v>47</v>
      </c>
      <c r="R827">
        <v>4</v>
      </c>
      <c r="S827" t="s">
        <v>42</v>
      </c>
      <c r="T827" s="2">
        <v>5056</v>
      </c>
      <c r="U827" s="2">
        <v>17689</v>
      </c>
      <c r="V827">
        <v>1</v>
      </c>
      <c r="W827" t="s">
        <v>32</v>
      </c>
      <c r="X827">
        <v>15</v>
      </c>
      <c r="Y827">
        <v>3</v>
      </c>
      <c r="Z827">
        <v>3</v>
      </c>
      <c r="AA827">
        <v>80</v>
      </c>
      <c r="AB827">
        <v>1</v>
      </c>
      <c r="AC827">
        <v>10</v>
      </c>
      <c r="AD827">
        <v>2</v>
      </c>
      <c r="AE827">
        <v>2</v>
      </c>
      <c r="AF827">
        <v>10</v>
      </c>
      <c r="AG827">
        <v>7</v>
      </c>
      <c r="AH827">
        <v>1</v>
      </c>
      <c r="AI827">
        <v>2</v>
      </c>
    </row>
    <row r="828" spans="1:35" x14ac:dyDescent="0.25">
      <c r="A828">
        <v>38</v>
      </c>
      <c r="B828" t="str">
        <f t="shared" si="24"/>
        <v>35-44</v>
      </c>
      <c r="C828" s="1" t="s">
        <v>38</v>
      </c>
      <c r="D828" s="17">
        <f>IF(Table1[[#This Row],[Attrition]]="Yes",1,0)</f>
        <v>0</v>
      </c>
      <c r="E828" t="s">
        <v>57</v>
      </c>
      <c r="F828" s="2">
        <v>433</v>
      </c>
      <c r="G828" t="s">
        <v>55</v>
      </c>
      <c r="H828">
        <v>1</v>
      </c>
      <c r="I828">
        <v>3</v>
      </c>
      <c r="J828" t="str">
        <f t="shared" si="25"/>
        <v>Bachelor</v>
      </c>
      <c r="K828" t="s">
        <v>55</v>
      </c>
      <c r="L828">
        <v>3</v>
      </c>
      <c r="M828" t="s">
        <v>40</v>
      </c>
      <c r="N828" s="2">
        <v>37</v>
      </c>
      <c r="O828">
        <v>4</v>
      </c>
      <c r="P828">
        <v>1</v>
      </c>
      <c r="Q828" t="s">
        <v>55</v>
      </c>
      <c r="R828">
        <v>3</v>
      </c>
      <c r="S828" t="s">
        <v>42</v>
      </c>
      <c r="T828" s="2">
        <v>2844</v>
      </c>
      <c r="U828" s="2">
        <v>6004</v>
      </c>
      <c r="V828">
        <v>1</v>
      </c>
      <c r="W828" t="s">
        <v>38</v>
      </c>
      <c r="X828">
        <v>13</v>
      </c>
      <c r="Y828">
        <v>3</v>
      </c>
      <c r="Z828">
        <v>4</v>
      </c>
      <c r="AA828">
        <v>80</v>
      </c>
      <c r="AB828">
        <v>1</v>
      </c>
      <c r="AC828">
        <v>7</v>
      </c>
      <c r="AD828">
        <v>2</v>
      </c>
      <c r="AE828">
        <v>4</v>
      </c>
      <c r="AF828">
        <v>7</v>
      </c>
      <c r="AG828">
        <v>6</v>
      </c>
      <c r="AH828">
        <v>5</v>
      </c>
      <c r="AI828">
        <v>0</v>
      </c>
    </row>
    <row r="829" spans="1:35" x14ac:dyDescent="0.25">
      <c r="A829">
        <v>28</v>
      </c>
      <c r="B829" t="str">
        <f t="shared" si="24"/>
        <v>25-34</v>
      </c>
      <c r="C829" s="1" t="s">
        <v>38</v>
      </c>
      <c r="D829" s="17">
        <f>IF(Table1[[#This Row],[Attrition]]="Yes",1,0)</f>
        <v>0</v>
      </c>
      <c r="E829" t="s">
        <v>58</v>
      </c>
      <c r="F829" s="2">
        <v>773</v>
      </c>
      <c r="G829" t="s">
        <v>39</v>
      </c>
      <c r="H829">
        <v>6</v>
      </c>
      <c r="I829">
        <v>3</v>
      </c>
      <c r="J829" t="str">
        <f t="shared" si="25"/>
        <v>Bachelor</v>
      </c>
      <c r="K829" t="s">
        <v>34</v>
      </c>
      <c r="L829">
        <v>3</v>
      </c>
      <c r="M829" t="s">
        <v>40</v>
      </c>
      <c r="N829" s="2">
        <v>39</v>
      </c>
      <c r="O829">
        <v>2</v>
      </c>
      <c r="P829">
        <v>1</v>
      </c>
      <c r="Q829" t="s">
        <v>41</v>
      </c>
      <c r="R829">
        <v>3</v>
      </c>
      <c r="S829" t="s">
        <v>46</v>
      </c>
      <c r="T829" s="2">
        <v>2703</v>
      </c>
      <c r="U829" s="2">
        <v>22088</v>
      </c>
      <c r="V829">
        <v>1</v>
      </c>
      <c r="W829" t="s">
        <v>32</v>
      </c>
      <c r="X829">
        <v>14</v>
      </c>
      <c r="Y829">
        <v>3</v>
      </c>
      <c r="Z829">
        <v>4</v>
      </c>
      <c r="AA829">
        <v>80</v>
      </c>
      <c r="AB829">
        <v>1</v>
      </c>
      <c r="AC829">
        <v>3</v>
      </c>
      <c r="AD829">
        <v>2</v>
      </c>
      <c r="AE829">
        <v>3</v>
      </c>
      <c r="AF829">
        <v>3</v>
      </c>
      <c r="AG829">
        <v>1</v>
      </c>
      <c r="AH829">
        <v>0</v>
      </c>
      <c r="AI829">
        <v>2</v>
      </c>
    </row>
    <row r="830" spans="1:35" x14ac:dyDescent="0.25">
      <c r="A830">
        <v>18</v>
      </c>
      <c r="B830" t="str">
        <f t="shared" si="24"/>
        <v>18-24</v>
      </c>
      <c r="C830" s="1" t="s">
        <v>32</v>
      </c>
      <c r="D830" s="17">
        <f>IF(Table1[[#This Row],[Attrition]]="Yes",1,0)</f>
        <v>1</v>
      </c>
      <c r="E830" t="s">
        <v>49</v>
      </c>
      <c r="F830" s="2">
        <v>247</v>
      </c>
      <c r="G830" t="s">
        <v>39</v>
      </c>
      <c r="H830">
        <v>8</v>
      </c>
      <c r="I830">
        <v>1</v>
      </c>
      <c r="J830" t="str">
        <f t="shared" si="25"/>
        <v>Below College</v>
      </c>
      <c r="K830" t="s">
        <v>45</v>
      </c>
      <c r="L830">
        <v>3</v>
      </c>
      <c r="M830" t="s">
        <v>40</v>
      </c>
      <c r="N830" s="2">
        <v>80</v>
      </c>
      <c r="O830">
        <v>3</v>
      </c>
      <c r="P830">
        <v>1</v>
      </c>
      <c r="Q830" t="s">
        <v>44</v>
      </c>
      <c r="R830">
        <v>3</v>
      </c>
      <c r="S830" t="s">
        <v>37</v>
      </c>
      <c r="T830" s="2">
        <v>1904</v>
      </c>
      <c r="U830" s="2">
        <v>13556</v>
      </c>
      <c r="V830">
        <v>1</v>
      </c>
      <c r="W830" t="s">
        <v>38</v>
      </c>
      <c r="X830">
        <v>12</v>
      </c>
      <c r="Y830">
        <v>3</v>
      </c>
      <c r="Z830">
        <v>4</v>
      </c>
      <c r="AA830">
        <v>80</v>
      </c>
      <c r="AB830">
        <v>0</v>
      </c>
      <c r="AC830">
        <v>0</v>
      </c>
      <c r="AD830">
        <v>0</v>
      </c>
      <c r="AE830">
        <v>3</v>
      </c>
      <c r="AF830">
        <v>0</v>
      </c>
      <c r="AG830">
        <v>0</v>
      </c>
      <c r="AH830">
        <v>0</v>
      </c>
      <c r="AI830">
        <v>0</v>
      </c>
    </row>
    <row r="831" spans="1:35" x14ac:dyDescent="0.25">
      <c r="A831">
        <v>33</v>
      </c>
      <c r="B831" t="str">
        <f t="shared" si="24"/>
        <v>25-34</v>
      </c>
      <c r="C831" s="1" t="s">
        <v>32</v>
      </c>
      <c r="D831" s="17">
        <f>IF(Table1[[#This Row],[Attrition]]="Yes",1,0)</f>
        <v>1</v>
      </c>
      <c r="E831" t="s">
        <v>57</v>
      </c>
      <c r="F831" s="2">
        <v>603</v>
      </c>
      <c r="G831" t="s">
        <v>33</v>
      </c>
      <c r="H831">
        <v>9</v>
      </c>
      <c r="I831">
        <v>4</v>
      </c>
      <c r="J831" t="str">
        <f t="shared" si="25"/>
        <v>Master</v>
      </c>
      <c r="K831" t="s">
        <v>53</v>
      </c>
      <c r="L831">
        <v>1</v>
      </c>
      <c r="M831" t="s">
        <v>35</v>
      </c>
      <c r="N831" s="2">
        <v>77</v>
      </c>
      <c r="O831">
        <v>3</v>
      </c>
      <c r="P831">
        <v>2</v>
      </c>
      <c r="Q831" t="s">
        <v>36</v>
      </c>
      <c r="R831">
        <v>1</v>
      </c>
      <c r="S831" t="s">
        <v>37</v>
      </c>
      <c r="T831" s="2">
        <v>8224</v>
      </c>
      <c r="U831" s="2">
        <v>18385</v>
      </c>
      <c r="V831">
        <v>0</v>
      </c>
      <c r="W831" t="s">
        <v>32</v>
      </c>
      <c r="X831">
        <v>17</v>
      </c>
      <c r="Y831">
        <v>3</v>
      </c>
      <c r="Z831">
        <v>1</v>
      </c>
      <c r="AA831">
        <v>80</v>
      </c>
      <c r="AB831">
        <v>0</v>
      </c>
      <c r="AC831">
        <v>6</v>
      </c>
      <c r="AD831">
        <v>3</v>
      </c>
      <c r="AE831">
        <v>3</v>
      </c>
      <c r="AF831">
        <v>5</v>
      </c>
      <c r="AG831">
        <v>2</v>
      </c>
      <c r="AH831">
        <v>0</v>
      </c>
      <c r="AI831">
        <v>3</v>
      </c>
    </row>
    <row r="832" spans="1:35" x14ac:dyDescent="0.25">
      <c r="A832">
        <v>41</v>
      </c>
      <c r="B832" t="str">
        <f t="shared" si="24"/>
        <v>35-44</v>
      </c>
      <c r="C832" s="1" t="s">
        <v>38</v>
      </c>
      <c r="D832" s="17">
        <f>IF(Table1[[#This Row],[Attrition]]="Yes",1,0)</f>
        <v>0</v>
      </c>
      <c r="E832" t="s">
        <v>57</v>
      </c>
      <c r="F832" s="2">
        <v>167</v>
      </c>
      <c r="G832" t="s">
        <v>39</v>
      </c>
      <c r="H832">
        <v>12</v>
      </c>
      <c r="I832">
        <v>4</v>
      </c>
      <c r="J832" t="str">
        <f t="shared" si="25"/>
        <v>Master</v>
      </c>
      <c r="K832" t="s">
        <v>34</v>
      </c>
      <c r="L832">
        <v>2</v>
      </c>
      <c r="M832" t="s">
        <v>40</v>
      </c>
      <c r="N832" s="2">
        <v>46</v>
      </c>
      <c r="O832">
        <v>3</v>
      </c>
      <c r="P832">
        <v>1</v>
      </c>
      <c r="Q832" t="s">
        <v>44</v>
      </c>
      <c r="R832">
        <v>4</v>
      </c>
      <c r="S832" t="s">
        <v>42</v>
      </c>
      <c r="T832" s="2">
        <v>4766</v>
      </c>
      <c r="U832" s="2">
        <v>9051</v>
      </c>
      <c r="V832">
        <v>3</v>
      </c>
      <c r="W832" t="s">
        <v>32</v>
      </c>
      <c r="X832">
        <v>11</v>
      </c>
      <c r="Y832">
        <v>3</v>
      </c>
      <c r="Z832">
        <v>1</v>
      </c>
      <c r="AA832">
        <v>80</v>
      </c>
      <c r="AB832">
        <v>1</v>
      </c>
      <c r="AC832">
        <v>6</v>
      </c>
      <c r="AD832">
        <v>4</v>
      </c>
      <c r="AE832">
        <v>3</v>
      </c>
      <c r="AF832">
        <v>1</v>
      </c>
      <c r="AG832">
        <v>0</v>
      </c>
      <c r="AH832">
        <v>0</v>
      </c>
      <c r="AI832">
        <v>0</v>
      </c>
    </row>
    <row r="833" spans="1:35" x14ac:dyDescent="0.25">
      <c r="A833">
        <v>31</v>
      </c>
      <c r="B833" t="str">
        <f t="shared" si="24"/>
        <v>25-34</v>
      </c>
      <c r="C833" s="1" t="s">
        <v>32</v>
      </c>
      <c r="D833" s="17">
        <f>IF(Table1[[#This Row],[Attrition]]="Yes",1,0)</f>
        <v>1</v>
      </c>
      <c r="E833" t="s">
        <v>58</v>
      </c>
      <c r="F833" s="2">
        <v>874</v>
      </c>
      <c r="G833" t="s">
        <v>39</v>
      </c>
      <c r="H833">
        <v>15</v>
      </c>
      <c r="I833">
        <v>3</v>
      </c>
      <c r="J833" t="str">
        <f t="shared" si="25"/>
        <v>Bachelor</v>
      </c>
      <c r="K833" t="s">
        <v>45</v>
      </c>
      <c r="L833">
        <v>3</v>
      </c>
      <c r="M833" t="s">
        <v>40</v>
      </c>
      <c r="N833" s="2">
        <v>72</v>
      </c>
      <c r="O833">
        <v>3</v>
      </c>
      <c r="P833">
        <v>1</v>
      </c>
      <c r="Q833" t="s">
        <v>44</v>
      </c>
      <c r="R833">
        <v>3</v>
      </c>
      <c r="S833" t="s">
        <v>42</v>
      </c>
      <c r="T833" s="2">
        <v>2610</v>
      </c>
      <c r="U833" s="2">
        <v>6233</v>
      </c>
      <c r="V833">
        <v>1</v>
      </c>
      <c r="W833" t="s">
        <v>38</v>
      </c>
      <c r="X833">
        <v>12</v>
      </c>
      <c r="Y833">
        <v>3</v>
      </c>
      <c r="Z833">
        <v>3</v>
      </c>
      <c r="AA833">
        <v>80</v>
      </c>
      <c r="AB833">
        <v>1</v>
      </c>
      <c r="AC833">
        <v>2</v>
      </c>
      <c r="AD833">
        <v>5</v>
      </c>
      <c r="AE833">
        <v>2</v>
      </c>
      <c r="AF833">
        <v>2</v>
      </c>
      <c r="AG833">
        <v>2</v>
      </c>
      <c r="AH833">
        <v>2</v>
      </c>
      <c r="AI833">
        <v>2</v>
      </c>
    </row>
    <row r="834" spans="1:35" x14ac:dyDescent="0.25">
      <c r="A834">
        <v>37</v>
      </c>
      <c r="B834" t="str">
        <f t="shared" ref="B834:B897" si="26">IF(A834="","",IF(A834&lt;25,"18-24",
 IF(A834&lt;35,"25-34",
 IF(A834&lt;45,"35-44",
 IF(A834&lt;55,"45-54",
 IF(A834&lt;65,"55-64","65+"))))))</f>
        <v>35-44</v>
      </c>
      <c r="C834" s="1" t="s">
        <v>38</v>
      </c>
      <c r="D834" s="17">
        <f>IF(Table1[[#This Row],[Attrition]]="Yes",1,0)</f>
        <v>0</v>
      </c>
      <c r="E834" t="s">
        <v>57</v>
      </c>
      <c r="F834" s="2">
        <v>367</v>
      </c>
      <c r="G834" t="s">
        <v>39</v>
      </c>
      <c r="H834">
        <v>25</v>
      </c>
      <c r="I834">
        <v>2</v>
      </c>
      <c r="J834" t="str">
        <f t="shared" ref="J834:J897" si="27">CHOOSE(I834,"Below College","College","Bachelor","Master","Doctor")</f>
        <v>College</v>
      </c>
      <c r="K834" t="s">
        <v>45</v>
      </c>
      <c r="L834">
        <v>3</v>
      </c>
      <c r="M834" t="s">
        <v>35</v>
      </c>
      <c r="N834" s="2">
        <v>52</v>
      </c>
      <c r="O834">
        <v>2</v>
      </c>
      <c r="P834">
        <v>2</v>
      </c>
      <c r="Q834" t="s">
        <v>48</v>
      </c>
      <c r="R834">
        <v>4</v>
      </c>
      <c r="S834" t="s">
        <v>46</v>
      </c>
      <c r="T834" s="2">
        <v>5731</v>
      </c>
      <c r="U834" s="2">
        <v>17171</v>
      </c>
      <c r="V834">
        <v>7</v>
      </c>
      <c r="W834" t="s">
        <v>38</v>
      </c>
      <c r="X834">
        <v>13</v>
      </c>
      <c r="Y834">
        <v>3</v>
      </c>
      <c r="Z834">
        <v>3</v>
      </c>
      <c r="AA834">
        <v>80</v>
      </c>
      <c r="AB834">
        <v>2</v>
      </c>
      <c r="AC834">
        <v>9</v>
      </c>
      <c r="AD834">
        <v>2</v>
      </c>
      <c r="AE834">
        <v>3</v>
      </c>
      <c r="AF834">
        <v>6</v>
      </c>
      <c r="AG834">
        <v>2</v>
      </c>
      <c r="AH834">
        <v>1</v>
      </c>
      <c r="AI834">
        <v>3</v>
      </c>
    </row>
    <row r="835" spans="1:35" x14ac:dyDescent="0.25">
      <c r="A835">
        <v>27</v>
      </c>
      <c r="B835" t="str">
        <f t="shared" si="26"/>
        <v>25-34</v>
      </c>
      <c r="C835" s="1" t="s">
        <v>38</v>
      </c>
      <c r="D835" s="17">
        <f>IF(Table1[[#This Row],[Attrition]]="Yes",1,0)</f>
        <v>0</v>
      </c>
      <c r="E835" t="s">
        <v>57</v>
      </c>
      <c r="F835" s="2">
        <v>199</v>
      </c>
      <c r="G835" t="s">
        <v>39</v>
      </c>
      <c r="H835">
        <v>6</v>
      </c>
      <c r="I835">
        <v>3</v>
      </c>
      <c r="J835" t="str">
        <f t="shared" si="27"/>
        <v>Bachelor</v>
      </c>
      <c r="K835" t="s">
        <v>34</v>
      </c>
      <c r="L835">
        <v>4</v>
      </c>
      <c r="M835" t="s">
        <v>40</v>
      </c>
      <c r="N835" s="2">
        <v>55</v>
      </c>
      <c r="O835">
        <v>2</v>
      </c>
      <c r="P835">
        <v>1</v>
      </c>
      <c r="Q835" t="s">
        <v>41</v>
      </c>
      <c r="R835">
        <v>3</v>
      </c>
      <c r="S835" t="s">
        <v>42</v>
      </c>
      <c r="T835" s="2">
        <v>2539</v>
      </c>
      <c r="U835" s="2">
        <v>7950</v>
      </c>
      <c r="V835">
        <v>1</v>
      </c>
      <c r="W835" t="s">
        <v>38</v>
      </c>
      <c r="X835">
        <v>13</v>
      </c>
      <c r="Y835">
        <v>3</v>
      </c>
      <c r="Z835">
        <v>3</v>
      </c>
      <c r="AA835">
        <v>80</v>
      </c>
      <c r="AB835">
        <v>1</v>
      </c>
      <c r="AC835">
        <v>4</v>
      </c>
      <c r="AD835">
        <v>0</v>
      </c>
      <c r="AE835">
        <v>3</v>
      </c>
      <c r="AF835">
        <v>4</v>
      </c>
      <c r="AG835">
        <v>2</v>
      </c>
      <c r="AH835">
        <v>2</v>
      </c>
      <c r="AI835">
        <v>2</v>
      </c>
    </row>
    <row r="836" spans="1:35" x14ac:dyDescent="0.25">
      <c r="A836">
        <v>34</v>
      </c>
      <c r="B836" t="str">
        <f t="shared" si="26"/>
        <v>25-34</v>
      </c>
      <c r="C836" s="1" t="s">
        <v>38</v>
      </c>
      <c r="D836" s="17">
        <f>IF(Table1[[#This Row],[Attrition]]="Yes",1,0)</f>
        <v>0</v>
      </c>
      <c r="E836" t="s">
        <v>57</v>
      </c>
      <c r="F836" s="2">
        <v>1400</v>
      </c>
      <c r="G836" t="s">
        <v>33</v>
      </c>
      <c r="H836">
        <v>9</v>
      </c>
      <c r="I836">
        <v>1</v>
      </c>
      <c r="J836" t="str">
        <f t="shared" si="27"/>
        <v>Below College</v>
      </c>
      <c r="K836" t="s">
        <v>34</v>
      </c>
      <c r="L836">
        <v>2</v>
      </c>
      <c r="M836" t="s">
        <v>35</v>
      </c>
      <c r="N836" s="2">
        <v>70</v>
      </c>
      <c r="O836">
        <v>3</v>
      </c>
      <c r="P836">
        <v>2</v>
      </c>
      <c r="Q836" t="s">
        <v>36</v>
      </c>
      <c r="R836">
        <v>3</v>
      </c>
      <c r="S836" t="s">
        <v>42</v>
      </c>
      <c r="T836" s="2">
        <v>5714</v>
      </c>
      <c r="U836" s="2">
        <v>5829</v>
      </c>
      <c r="V836">
        <v>1</v>
      </c>
      <c r="W836" t="s">
        <v>38</v>
      </c>
      <c r="X836">
        <v>20</v>
      </c>
      <c r="Y836">
        <v>4</v>
      </c>
      <c r="Z836">
        <v>1</v>
      </c>
      <c r="AA836">
        <v>80</v>
      </c>
      <c r="AB836">
        <v>0</v>
      </c>
      <c r="AC836">
        <v>6</v>
      </c>
      <c r="AD836">
        <v>3</v>
      </c>
      <c r="AE836">
        <v>2</v>
      </c>
      <c r="AF836">
        <v>6</v>
      </c>
      <c r="AG836">
        <v>5</v>
      </c>
      <c r="AH836">
        <v>1</v>
      </c>
      <c r="AI836">
        <v>3</v>
      </c>
    </row>
    <row r="837" spans="1:35" x14ac:dyDescent="0.25">
      <c r="A837">
        <v>35</v>
      </c>
      <c r="B837" t="str">
        <f t="shared" si="26"/>
        <v>35-44</v>
      </c>
      <c r="C837" s="1" t="s">
        <v>38</v>
      </c>
      <c r="D837" s="17">
        <f>IF(Table1[[#This Row],[Attrition]]="Yes",1,0)</f>
        <v>0</v>
      </c>
      <c r="E837" t="s">
        <v>57</v>
      </c>
      <c r="F837" s="2">
        <v>528</v>
      </c>
      <c r="G837" t="s">
        <v>55</v>
      </c>
      <c r="H837">
        <v>8</v>
      </c>
      <c r="I837">
        <v>4</v>
      </c>
      <c r="J837" t="str">
        <f t="shared" si="27"/>
        <v>Master</v>
      </c>
      <c r="K837" t="s">
        <v>54</v>
      </c>
      <c r="L837">
        <v>3</v>
      </c>
      <c r="M837" t="s">
        <v>40</v>
      </c>
      <c r="N837" s="2">
        <v>100</v>
      </c>
      <c r="O837">
        <v>3</v>
      </c>
      <c r="P837">
        <v>1</v>
      </c>
      <c r="Q837" t="s">
        <v>55</v>
      </c>
      <c r="R837">
        <v>3</v>
      </c>
      <c r="S837" t="s">
        <v>37</v>
      </c>
      <c r="T837" s="2">
        <v>4323</v>
      </c>
      <c r="U837" s="2">
        <v>7108</v>
      </c>
      <c r="V837">
        <v>1</v>
      </c>
      <c r="W837" t="s">
        <v>38</v>
      </c>
      <c r="X837">
        <v>17</v>
      </c>
      <c r="Y837">
        <v>3</v>
      </c>
      <c r="Z837">
        <v>2</v>
      </c>
      <c r="AA837">
        <v>80</v>
      </c>
      <c r="AB837">
        <v>0</v>
      </c>
      <c r="AC837">
        <v>6</v>
      </c>
      <c r="AD837">
        <v>2</v>
      </c>
      <c r="AE837">
        <v>1</v>
      </c>
      <c r="AF837">
        <v>5</v>
      </c>
      <c r="AG837">
        <v>4</v>
      </c>
      <c r="AH837">
        <v>1</v>
      </c>
      <c r="AI837">
        <v>4</v>
      </c>
    </row>
    <row r="838" spans="1:35" x14ac:dyDescent="0.25">
      <c r="A838">
        <v>29</v>
      </c>
      <c r="B838" t="str">
        <f t="shared" si="26"/>
        <v>25-34</v>
      </c>
      <c r="C838" s="1" t="s">
        <v>32</v>
      </c>
      <c r="D838" s="17">
        <f>IF(Table1[[#This Row],[Attrition]]="Yes",1,0)</f>
        <v>1</v>
      </c>
      <c r="E838" t="s">
        <v>57</v>
      </c>
      <c r="F838" s="2">
        <v>408</v>
      </c>
      <c r="G838" t="s">
        <v>33</v>
      </c>
      <c r="H838">
        <v>23</v>
      </c>
      <c r="I838">
        <v>1</v>
      </c>
      <c r="J838" t="str">
        <f t="shared" si="27"/>
        <v>Below College</v>
      </c>
      <c r="K838" t="s">
        <v>34</v>
      </c>
      <c r="L838">
        <v>4</v>
      </c>
      <c r="M838" t="s">
        <v>35</v>
      </c>
      <c r="N838" s="2">
        <v>45</v>
      </c>
      <c r="O838">
        <v>2</v>
      </c>
      <c r="P838">
        <v>3</v>
      </c>
      <c r="Q838" t="s">
        <v>36</v>
      </c>
      <c r="R838">
        <v>1</v>
      </c>
      <c r="S838" t="s">
        <v>42</v>
      </c>
      <c r="T838" s="2">
        <v>7336</v>
      </c>
      <c r="U838" s="2">
        <v>11162</v>
      </c>
      <c r="V838">
        <v>1</v>
      </c>
      <c r="W838" t="s">
        <v>38</v>
      </c>
      <c r="X838">
        <v>13</v>
      </c>
      <c r="Y838">
        <v>3</v>
      </c>
      <c r="Z838">
        <v>1</v>
      </c>
      <c r="AA838">
        <v>80</v>
      </c>
      <c r="AB838">
        <v>1</v>
      </c>
      <c r="AC838">
        <v>11</v>
      </c>
      <c r="AD838">
        <v>3</v>
      </c>
      <c r="AE838">
        <v>1</v>
      </c>
      <c r="AF838">
        <v>11</v>
      </c>
      <c r="AG838">
        <v>8</v>
      </c>
      <c r="AH838">
        <v>3</v>
      </c>
      <c r="AI838">
        <v>10</v>
      </c>
    </row>
    <row r="839" spans="1:35" x14ac:dyDescent="0.25">
      <c r="A839">
        <v>40</v>
      </c>
      <c r="B839" t="str">
        <f t="shared" si="26"/>
        <v>35-44</v>
      </c>
      <c r="C839" s="1" t="s">
        <v>38</v>
      </c>
      <c r="D839" s="17">
        <f>IF(Table1[[#This Row],[Attrition]]="Yes",1,0)</f>
        <v>0</v>
      </c>
      <c r="E839" t="s">
        <v>58</v>
      </c>
      <c r="F839" s="2">
        <v>593</v>
      </c>
      <c r="G839" t="s">
        <v>39</v>
      </c>
      <c r="H839">
        <v>9</v>
      </c>
      <c r="I839">
        <v>4</v>
      </c>
      <c r="J839" t="str">
        <f t="shared" si="27"/>
        <v>Master</v>
      </c>
      <c r="K839" t="s">
        <v>45</v>
      </c>
      <c r="L839">
        <v>2</v>
      </c>
      <c r="M839" t="s">
        <v>35</v>
      </c>
      <c r="N839" s="2">
        <v>88</v>
      </c>
      <c r="O839">
        <v>3</v>
      </c>
      <c r="P839">
        <v>3</v>
      </c>
      <c r="Q839" t="s">
        <v>52</v>
      </c>
      <c r="R839">
        <v>3</v>
      </c>
      <c r="S839" t="s">
        <v>37</v>
      </c>
      <c r="T839" s="2">
        <v>13499</v>
      </c>
      <c r="U839" s="2">
        <v>13782</v>
      </c>
      <c r="V839">
        <v>9</v>
      </c>
      <c r="W839" t="s">
        <v>38</v>
      </c>
      <c r="X839">
        <v>17</v>
      </c>
      <c r="Y839">
        <v>3</v>
      </c>
      <c r="Z839">
        <v>3</v>
      </c>
      <c r="AA839">
        <v>80</v>
      </c>
      <c r="AB839">
        <v>0</v>
      </c>
      <c r="AC839">
        <v>20</v>
      </c>
      <c r="AD839">
        <v>3</v>
      </c>
      <c r="AE839">
        <v>2</v>
      </c>
      <c r="AF839">
        <v>18</v>
      </c>
      <c r="AG839">
        <v>7</v>
      </c>
      <c r="AH839">
        <v>2</v>
      </c>
      <c r="AI839">
        <v>13</v>
      </c>
    </row>
    <row r="840" spans="1:35" x14ac:dyDescent="0.25">
      <c r="A840">
        <v>42</v>
      </c>
      <c r="B840" t="str">
        <f t="shared" si="26"/>
        <v>35-44</v>
      </c>
      <c r="C840" s="1" t="s">
        <v>32</v>
      </c>
      <c r="D840" s="17">
        <f>IF(Table1[[#This Row],[Attrition]]="Yes",1,0)</f>
        <v>1</v>
      </c>
      <c r="E840" t="s">
        <v>58</v>
      </c>
      <c r="F840" s="2">
        <v>481</v>
      </c>
      <c r="G840" t="s">
        <v>33</v>
      </c>
      <c r="H840">
        <v>12</v>
      </c>
      <c r="I840">
        <v>3</v>
      </c>
      <c r="J840" t="str">
        <f t="shared" si="27"/>
        <v>Bachelor</v>
      </c>
      <c r="K840" t="s">
        <v>34</v>
      </c>
      <c r="L840">
        <v>3</v>
      </c>
      <c r="M840" t="s">
        <v>40</v>
      </c>
      <c r="N840" s="2">
        <v>44</v>
      </c>
      <c r="O840">
        <v>3</v>
      </c>
      <c r="P840">
        <v>4</v>
      </c>
      <c r="Q840" t="s">
        <v>36</v>
      </c>
      <c r="R840">
        <v>1</v>
      </c>
      <c r="S840" t="s">
        <v>37</v>
      </c>
      <c r="T840" s="2">
        <v>13758</v>
      </c>
      <c r="U840" s="2">
        <v>2447</v>
      </c>
      <c r="V840">
        <v>0</v>
      </c>
      <c r="W840" t="s">
        <v>32</v>
      </c>
      <c r="X840">
        <v>12</v>
      </c>
      <c r="Y840">
        <v>3</v>
      </c>
      <c r="Z840">
        <v>2</v>
      </c>
      <c r="AA840">
        <v>80</v>
      </c>
      <c r="AB840">
        <v>0</v>
      </c>
      <c r="AC840">
        <v>22</v>
      </c>
      <c r="AD840">
        <v>2</v>
      </c>
      <c r="AE840">
        <v>2</v>
      </c>
      <c r="AF840">
        <v>21</v>
      </c>
      <c r="AG840">
        <v>9</v>
      </c>
      <c r="AH840">
        <v>13</v>
      </c>
      <c r="AI840">
        <v>14</v>
      </c>
    </row>
    <row r="841" spans="1:35" x14ac:dyDescent="0.25">
      <c r="A841">
        <v>42</v>
      </c>
      <c r="B841" t="str">
        <f t="shared" si="26"/>
        <v>35-44</v>
      </c>
      <c r="C841" s="1" t="s">
        <v>38</v>
      </c>
      <c r="D841" s="17">
        <f>IF(Table1[[#This Row],[Attrition]]="Yes",1,0)</f>
        <v>0</v>
      </c>
      <c r="E841" t="s">
        <v>57</v>
      </c>
      <c r="F841" s="2">
        <v>647</v>
      </c>
      <c r="G841" t="s">
        <v>33</v>
      </c>
      <c r="H841">
        <v>4</v>
      </c>
      <c r="I841">
        <v>4</v>
      </c>
      <c r="J841" t="str">
        <f t="shared" si="27"/>
        <v>Master</v>
      </c>
      <c r="K841" t="s">
        <v>53</v>
      </c>
      <c r="L841">
        <v>2</v>
      </c>
      <c r="M841" t="s">
        <v>40</v>
      </c>
      <c r="N841" s="2">
        <v>45</v>
      </c>
      <c r="O841">
        <v>3</v>
      </c>
      <c r="P841">
        <v>2</v>
      </c>
      <c r="Q841" t="s">
        <v>36</v>
      </c>
      <c r="R841">
        <v>1</v>
      </c>
      <c r="S841" t="s">
        <v>37</v>
      </c>
      <c r="T841" s="2">
        <v>5155</v>
      </c>
      <c r="U841" s="2">
        <v>2253</v>
      </c>
      <c r="V841">
        <v>7</v>
      </c>
      <c r="W841" t="s">
        <v>38</v>
      </c>
      <c r="X841">
        <v>13</v>
      </c>
      <c r="Y841">
        <v>3</v>
      </c>
      <c r="Z841">
        <v>4</v>
      </c>
      <c r="AA841">
        <v>80</v>
      </c>
      <c r="AB841">
        <v>0</v>
      </c>
      <c r="AC841">
        <v>9</v>
      </c>
      <c r="AD841">
        <v>3</v>
      </c>
      <c r="AE841">
        <v>4</v>
      </c>
      <c r="AF841">
        <v>6</v>
      </c>
      <c r="AG841">
        <v>4</v>
      </c>
      <c r="AH841">
        <v>1</v>
      </c>
      <c r="AI841">
        <v>5</v>
      </c>
    </row>
    <row r="842" spans="1:35" x14ac:dyDescent="0.25">
      <c r="A842">
        <v>35</v>
      </c>
      <c r="B842" t="str">
        <f t="shared" si="26"/>
        <v>35-44</v>
      </c>
      <c r="C842" s="1" t="s">
        <v>38</v>
      </c>
      <c r="D842" s="17">
        <f>IF(Table1[[#This Row],[Attrition]]="Yes",1,0)</f>
        <v>0</v>
      </c>
      <c r="E842" t="s">
        <v>57</v>
      </c>
      <c r="F842" s="2">
        <v>982</v>
      </c>
      <c r="G842" t="s">
        <v>39</v>
      </c>
      <c r="H842">
        <v>1</v>
      </c>
      <c r="I842">
        <v>4</v>
      </c>
      <c r="J842" t="str">
        <f t="shared" si="27"/>
        <v>Master</v>
      </c>
      <c r="K842" t="s">
        <v>45</v>
      </c>
      <c r="L842">
        <v>4</v>
      </c>
      <c r="M842" t="s">
        <v>40</v>
      </c>
      <c r="N842" s="2">
        <v>58</v>
      </c>
      <c r="O842">
        <v>2</v>
      </c>
      <c r="P842">
        <v>1</v>
      </c>
      <c r="Q842" t="s">
        <v>44</v>
      </c>
      <c r="R842">
        <v>3</v>
      </c>
      <c r="S842" t="s">
        <v>42</v>
      </c>
      <c r="T842" s="2">
        <v>2258</v>
      </c>
      <c r="U842" s="2">
        <v>16340</v>
      </c>
      <c r="V842">
        <v>6</v>
      </c>
      <c r="W842" t="s">
        <v>38</v>
      </c>
      <c r="X842">
        <v>12</v>
      </c>
      <c r="Y842">
        <v>3</v>
      </c>
      <c r="Z842">
        <v>2</v>
      </c>
      <c r="AA842">
        <v>80</v>
      </c>
      <c r="AB842">
        <v>1</v>
      </c>
      <c r="AC842">
        <v>10</v>
      </c>
      <c r="AD842">
        <v>2</v>
      </c>
      <c r="AE842">
        <v>3</v>
      </c>
      <c r="AF842">
        <v>8</v>
      </c>
      <c r="AG842">
        <v>0</v>
      </c>
      <c r="AH842">
        <v>1</v>
      </c>
      <c r="AI842">
        <v>7</v>
      </c>
    </row>
    <row r="843" spans="1:35" x14ac:dyDescent="0.25">
      <c r="A843">
        <v>24</v>
      </c>
      <c r="B843" t="str">
        <f t="shared" si="26"/>
        <v>18-24</v>
      </c>
      <c r="C843" s="1" t="s">
        <v>38</v>
      </c>
      <c r="D843" s="17">
        <f>IF(Table1[[#This Row],[Attrition]]="Yes",1,0)</f>
        <v>0</v>
      </c>
      <c r="E843" t="s">
        <v>57</v>
      </c>
      <c r="F843" s="2">
        <v>477</v>
      </c>
      <c r="G843" t="s">
        <v>39</v>
      </c>
      <c r="H843">
        <v>24</v>
      </c>
      <c r="I843">
        <v>3</v>
      </c>
      <c r="J843" t="str">
        <f t="shared" si="27"/>
        <v>Bachelor</v>
      </c>
      <c r="K843" t="s">
        <v>45</v>
      </c>
      <c r="L843">
        <v>4</v>
      </c>
      <c r="M843" t="s">
        <v>40</v>
      </c>
      <c r="N843" s="2">
        <v>49</v>
      </c>
      <c r="O843">
        <v>3</v>
      </c>
      <c r="P843">
        <v>1</v>
      </c>
      <c r="Q843" t="s">
        <v>44</v>
      </c>
      <c r="R843">
        <v>2</v>
      </c>
      <c r="S843" t="s">
        <v>37</v>
      </c>
      <c r="T843" s="2">
        <v>3597</v>
      </c>
      <c r="U843" s="2">
        <v>6409</v>
      </c>
      <c r="V843">
        <v>8</v>
      </c>
      <c r="W843" t="s">
        <v>38</v>
      </c>
      <c r="X843">
        <v>22</v>
      </c>
      <c r="Y843">
        <v>4</v>
      </c>
      <c r="Z843">
        <v>4</v>
      </c>
      <c r="AA843">
        <v>80</v>
      </c>
      <c r="AB843">
        <v>0</v>
      </c>
      <c r="AC843">
        <v>6</v>
      </c>
      <c r="AD843">
        <v>2</v>
      </c>
      <c r="AE843">
        <v>3</v>
      </c>
      <c r="AF843">
        <v>4</v>
      </c>
      <c r="AG843">
        <v>3</v>
      </c>
      <c r="AH843">
        <v>1</v>
      </c>
      <c r="AI843">
        <v>2</v>
      </c>
    </row>
    <row r="844" spans="1:35" x14ac:dyDescent="0.25">
      <c r="A844">
        <v>28</v>
      </c>
      <c r="B844" t="str">
        <f t="shared" si="26"/>
        <v>25-34</v>
      </c>
      <c r="C844" s="1" t="s">
        <v>32</v>
      </c>
      <c r="D844" s="17">
        <f>IF(Table1[[#This Row],[Attrition]]="Yes",1,0)</f>
        <v>1</v>
      </c>
      <c r="E844" t="s">
        <v>57</v>
      </c>
      <c r="F844" s="2">
        <v>1485</v>
      </c>
      <c r="G844" t="s">
        <v>39</v>
      </c>
      <c r="H844">
        <v>12</v>
      </c>
      <c r="I844">
        <v>1</v>
      </c>
      <c r="J844" t="str">
        <f t="shared" si="27"/>
        <v>Below College</v>
      </c>
      <c r="K844" t="s">
        <v>34</v>
      </c>
      <c r="L844">
        <v>3</v>
      </c>
      <c r="M844" t="s">
        <v>35</v>
      </c>
      <c r="N844" s="2">
        <v>79</v>
      </c>
      <c r="O844">
        <v>3</v>
      </c>
      <c r="P844">
        <v>1</v>
      </c>
      <c r="Q844" t="s">
        <v>44</v>
      </c>
      <c r="R844">
        <v>4</v>
      </c>
      <c r="S844" t="s">
        <v>42</v>
      </c>
      <c r="T844" s="2">
        <v>2515</v>
      </c>
      <c r="U844" s="2">
        <v>22955</v>
      </c>
      <c r="V844">
        <v>1</v>
      </c>
      <c r="W844" t="s">
        <v>32</v>
      </c>
      <c r="X844">
        <v>11</v>
      </c>
      <c r="Y844">
        <v>3</v>
      </c>
      <c r="Z844">
        <v>4</v>
      </c>
      <c r="AA844">
        <v>80</v>
      </c>
      <c r="AB844">
        <v>0</v>
      </c>
      <c r="AC844">
        <v>1</v>
      </c>
      <c r="AD844">
        <v>4</v>
      </c>
      <c r="AE844">
        <v>2</v>
      </c>
      <c r="AF844">
        <v>1</v>
      </c>
      <c r="AG844">
        <v>1</v>
      </c>
      <c r="AH844">
        <v>0</v>
      </c>
      <c r="AI844">
        <v>0</v>
      </c>
    </row>
    <row r="845" spans="1:35" x14ac:dyDescent="0.25">
      <c r="A845">
        <v>26</v>
      </c>
      <c r="B845" t="str">
        <f t="shared" si="26"/>
        <v>25-34</v>
      </c>
      <c r="C845" s="1" t="s">
        <v>38</v>
      </c>
      <c r="D845" s="17">
        <f>IF(Table1[[#This Row],[Attrition]]="Yes",1,0)</f>
        <v>0</v>
      </c>
      <c r="E845" t="s">
        <v>57</v>
      </c>
      <c r="F845" s="2">
        <v>1384</v>
      </c>
      <c r="G845" t="s">
        <v>39</v>
      </c>
      <c r="H845">
        <v>3</v>
      </c>
      <c r="I845">
        <v>4</v>
      </c>
      <c r="J845" t="str">
        <f t="shared" si="27"/>
        <v>Master</v>
      </c>
      <c r="K845" t="s">
        <v>45</v>
      </c>
      <c r="L845">
        <v>1</v>
      </c>
      <c r="M845" t="s">
        <v>40</v>
      </c>
      <c r="N845" s="2">
        <v>82</v>
      </c>
      <c r="O845">
        <v>4</v>
      </c>
      <c r="P845">
        <v>1</v>
      </c>
      <c r="Q845" t="s">
        <v>44</v>
      </c>
      <c r="R845">
        <v>4</v>
      </c>
      <c r="S845" t="s">
        <v>42</v>
      </c>
      <c r="T845" s="2">
        <v>4420</v>
      </c>
      <c r="U845" s="2">
        <v>13421</v>
      </c>
      <c r="V845">
        <v>1</v>
      </c>
      <c r="W845" t="s">
        <v>38</v>
      </c>
      <c r="X845">
        <v>22</v>
      </c>
      <c r="Y845">
        <v>4</v>
      </c>
      <c r="Z845">
        <v>2</v>
      </c>
      <c r="AA845">
        <v>80</v>
      </c>
      <c r="AB845">
        <v>1</v>
      </c>
      <c r="AC845">
        <v>8</v>
      </c>
      <c r="AD845">
        <v>2</v>
      </c>
      <c r="AE845">
        <v>3</v>
      </c>
      <c r="AF845">
        <v>8</v>
      </c>
      <c r="AG845">
        <v>7</v>
      </c>
      <c r="AH845">
        <v>0</v>
      </c>
      <c r="AI845">
        <v>7</v>
      </c>
    </row>
    <row r="846" spans="1:35" x14ac:dyDescent="0.25">
      <c r="A846">
        <v>30</v>
      </c>
      <c r="B846" t="str">
        <f t="shared" si="26"/>
        <v>25-34</v>
      </c>
      <c r="C846" s="1" t="s">
        <v>38</v>
      </c>
      <c r="D846" s="17">
        <f>IF(Table1[[#This Row],[Attrition]]="Yes",1,0)</f>
        <v>0</v>
      </c>
      <c r="E846" t="s">
        <v>57</v>
      </c>
      <c r="F846" s="2">
        <v>852</v>
      </c>
      <c r="G846" t="s">
        <v>33</v>
      </c>
      <c r="H846">
        <v>10</v>
      </c>
      <c r="I846">
        <v>3</v>
      </c>
      <c r="J846" t="str">
        <f t="shared" si="27"/>
        <v>Bachelor</v>
      </c>
      <c r="K846" t="s">
        <v>53</v>
      </c>
      <c r="L846">
        <v>3</v>
      </c>
      <c r="M846" t="s">
        <v>40</v>
      </c>
      <c r="N846" s="2">
        <v>72</v>
      </c>
      <c r="O846">
        <v>2</v>
      </c>
      <c r="P846">
        <v>2</v>
      </c>
      <c r="Q846" t="s">
        <v>36</v>
      </c>
      <c r="R846">
        <v>3</v>
      </c>
      <c r="S846" t="s">
        <v>42</v>
      </c>
      <c r="T846" s="2">
        <v>6578</v>
      </c>
      <c r="U846" s="2">
        <v>2706</v>
      </c>
      <c r="V846">
        <v>1</v>
      </c>
      <c r="W846" t="s">
        <v>38</v>
      </c>
      <c r="X846">
        <v>18</v>
      </c>
      <c r="Y846">
        <v>3</v>
      </c>
      <c r="Z846">
        <v>1</v>
      </c>
      <c r="AA846">
        <v>80</v>
      </c>
      <c r="AB846">
        <v>1</v>
      </c>
      <c r="AC846">
        <v>10</v>
      </c>
      <c r="AD846">
        <v>3</v>
      </c>
      <c r="AE846">
        <v>3</v>
      </c>
      <c r="AF846">
        <v>10</v>
      </c>
      <c r="AG846">
        <v>3</v>
      </c>
      <c r="AH846">
        <v>1</v>
      </c>
      <c r="AI846">
        <v>4</v>
      </c>
    </row>
    <row r="847" spans="1:35" x14ac:dyDescent="0.25">
      <c r="A847">
        <v>40</v>
      </c>
      <c r="B847" t="str">
        <f t="shared" si="26"/>
        <v>35-44</v>
      </c>
      <c r="C847" s="1" t="s">
        <v>38</v>
      </c>
      <c r="D847" s="17">
        <f>IF(Table1[[#This Row],[Attrition]]="Yes",1,0)</f>
        <v>0</v>
      </c>
      <c r="E847" t="s">
        <v>58</v>
      </c>
      <c r="F847" s="2">
        <v>902</v>
      </c>
      <c r="G847" t="s">
        <v>39</v>
      </c>
      <c r="H847">
        <v>26</v>
      </c>
      <c r="I847">
        <v>2</v>
      </c>
      <c r="J847" t="str">
        <f t="shared" si="27"/>
        <v>College</v>
      </c>
      <c r="K847" t="s">
        <v>45</v>
      </c>
      <c r="L847">
        <v>3</v>
      </c>
      <c r="M847" t="s">
        <v>35</v>
      </c>
      <c r="N847" s="2">
        <v>92</v>
      </c>
      <c r="O847">
        <v>2</v>
      </c>
      <c r="P847">
        <v>2</v>
      </c>
      <c r="Q847" t="s">
        <v>41</v>
      </c>
      <c r="R847">
        <v>4</v>
      </c>
      <c r="S847" t="s">
        <v>42</v>
      </c>
      <c r="T847" s="2">
        <v>4422</v>
      </c>
      <c r="U847" s="2">
        <v>21203</v>
      </c>
      <c r="V847">
        <v>3</v>
      </c>
      <c r="W847" t="s">
        <v>32</v>
      </c>
      <c r="X847">
        <v>13</v>
      </c>
      <c r="Y847">
        <v>3</v>
      </c>
      <c r="Z847">
        <v>4</v>
      </c>
      <c r="AA847">
        <v>80</v>
      </c>
      <c r="AB847">
        <v>1</v>
      </c>
      <c r="AC847">
        <v>16</v>
      </c>
      <c r="AD847">
        <v>3</v>
      </c>
      <c r="AE847">
        <v>1</v>
      </c>
      <c r="AF847">
        <v>1</v>
      </c>
      <c r="AG847">
        <v>1</v>
      </c>
      <c r="AH847">
        <v>0</v>
      </c>
      <c r="AI847">
        <v>0</v>
      </c>
    </row>
    <row r="848" spans="1:35" x14ac:dyDescent="0.25">
      <c r="A848">
        <v>35</v>
      </c>
      <c r="B848" t="str">
        <f t="shared" si="26"/>
        <v>35-44</v>
      </c>
      <c r="C848" s="1" t="s">
        <v>38</v>
      </c>
      <c r="D848" s="17">
        <f>IF(Table1[[#This Row],[Attrition]]="Yes",1,0)</f>
        <v>0</v>
      </c>
      <c r="E848" t="s">
        <v>57</v>
      </c>
      <c r="F848" s="2">
        <v>819</v>
      </c>
      <c r="G848" t="s">
        <v>39</v>
      </c>
      <c r="H848">
        <v>2</v>
      </c>
      <c r="I848">
        <v>3</v>
      </c>
      <c r="J848" t="str">
        <f t="shared" si="27"/>
        <v>Bachelor</v>
      </c>
      <c r="K848" t="s">
        <v>34</v>
      </c>
      <c r="L848">
        <v>3</v>
      </c>
      <c r="M848" t="s">
        <v>40</v>
      </c>
      <c r="N848" s="2">
        <v>44</v>
      </c>
      <c r="O848">
        <v>2</v>
      </c>
      <c r="P848">
        <v>3</v>
      </c>
      <c r="Q848" t="s">
        <v>47</v>
      </c>
      <c r="R848">
        <v>2</v>
      </c>
      <c r="S848" t="s">
        <v>46</v>
      </c>
      <c r="T848" s="2">
        <v>10274</v>
      </c>
      <c r="U848" s="2">
        <v>19588</v>
      </c>
      <c r="V848">
        <v>2</v>
      </c>
      <c r="W848" t="s">
        <v>38</v>
      </c>
      <c r="X848">
        <v>18</v>
      </c>
      <c r="Y848">
        <v>3</v>
      </c>
      <c r="Z848">
        <v>2</v>
      </c>
      <c r="AA848">
        <v>80</v>
      </c>
      <c r="AB848">
        <v>1</v>
      </c>
      <c r="AC848">
        <v>15</v>
      </c>
      <c r="AD848">
        <v>2</v>
      </c>
      <c r="AE848">
        <v>4</v>
      </c>
      <c r="AF848">
        <v>7</v>
      </c>
      <c r="AG848">
        <v>7</v>
      </c>
      <c r="AH848">
        <v>6</v>
      </c>
      <c r="AI848">
        <v>4</v>
      </c>
    </row>
    <row r="849" spans="1:35" x14ac:dyDescent="0.25">
      <c r="A849">
        <v>34</v>
      </c>
      <c r="B849" t="str">
        <f t="shared" si="26"/>
        <v>25-34</v>
      </c>
      <c r="C849" s="1" t="s">
        <v>38</v>
      </c>
      <c r="D849" s="17">
        <f>IF(Table1[[#This Row],[Attrition]]="Yes",1,0)</f>
        <v>0</v>
      </c>
      <c r="E849" t="s">
        <v>58</v>
      </c>
      <c r="F849" s="2">
        <v>669</v>
      </c>
      <c r="G849" t="s">
        <v>39</v>
      </c>
      <c r="H849">
        <v>1</v>
      </c>
      <c r="I849">
        <v>3</v>
      </c>
      <c r="J849" t="str">
        <f t="shared" si="27"/>
        <v>Bachelor</v>
      </c>
      <c r="K849" t="s">
        <v>45</v>
      </c>
      <c r="L849">
        <v>4</v>
      </c>
      <c r="M849" t="s">
        <v>40</v>
      </c>
      <c r="N849" s="2">
        <v>97</v>
      </c>
      <c r="O849">
        <v>2</v>
      </c>
      <c r="P849">
        <v>2</v>
      </c>
      <c r="Q849" t="s">
        <v>48</v>
      </c>
      <c r="R849">
        <v>1</v>
      </c>
      <c r="S849" t="s">
        <v>37</v>
      </c>
      <c r="T849" s="2">
        <v>5343</v>
      </c>
      <c r="U849" s="2">
        <v>25755</v>
      </c>
      <c r="V849">
        <v>0</v>
      </c>
      <c r="W849" t="s">
        <v>38</v>
      </c>
      <c r="X849">
        <v>20</v>
      </c>
      <c r="Y849">
        <v>4</v>
      </c>
      <c r="Z849">
        <v>3</v>
      </c>
      <c r="AA849">
        <v>80</v>
      </c>
      <c r="AB849">
        <v>0</v>
      </c>
      <c r="AC849">
        <v>14</v>
      </c>
      <c r="AD849">
        <v>3</v>
      </c>
      <c r="AE849">
        <v>3</v>
      </c>
      <c r="AF849">
        <v>13</v>
      </c>
      <c r="AG849">
        <v>9</v>
      </c>
      <c r="AH849">
        <v>4</v>
      </c>
      <c r="AI849">
        <v>9</v>
      </c>
    </row>
    <row r="850" spans="1:35" x14ac:dyDescent="0.25">
      <c r="A850">
        <v>35</v>
      </c>
      <c r="B850" t="str">
        <f t="shared" si="26"/>
        <v>35-44</v>
      </c>
      <c r="C850" s="1" t="s">
        <v>38</v>
      </c>
      <c r="D850" s="17">
        <f>IF(Table1[[#This Row],[Attrition]]="Yes",1,0)</f>
        <v>0</v>
      </c>
      <c r="E850" t="s">
        <v>58</v>
      </c>
      <c r="F850" s="2">
        <v>636</v>
      </c>
      <c r="G850" t="s">
        <v>39</v>
      </c>
      <c r="H850">
        <v>4</v>
      </c>
      <c r="I850">
        <v>4</v>
      </c>
      <c r="J850" t="str">
        <f t="shared" si="27"/>
        <v>Master</v>
      </c>
      <c r="K850" t="s">
        <v>43</v>
      </c>
      <c r="L850">
        <v>4</v>
      </c>
      <c r="M850" t="s">
        <v>40</v>
      </c>
      <c r="N850" s="2">
        <v>47</v>
      </c>
      <c r="O850">
        <v>2</v>
      </c>
      <c r="P850">
        <v>1</v>
      </c>
      <c r="Q850" t="s">
        <v>44</v>
      </c>
      <c r="R850">
        <v>4</v>
      </c>
      <c r="S850" t="s">
        <v>42</v>
      </c>
      <c r="T850" s="2">
        <v>2376</v>
      </c>
      <c r="U850" s="2">
        <v>26537</v>
      </c>
      <c r="V850">
        <v>1</v>
      </c>
      <c r="W850" t="s">
        <v>38</v>
      </c>
      <c r="X850">
        <v>13</v>
      </c>
      <c r="Y850">
        <v>3</v>
      </c>
      <c r="Z850">
        <v>2</v>
      </c>
      <c r="AA850">
        <v>80</v>
      </c>
      <c r="AB850">
        <v>1</v>
      </c>
      <c r="AC850">
        <v>2</v>
      </c>
      <c r="AD850">
        <v>2</v>
      </c>
      <c r="AE850">
        <v>4</v>
      </c>
      <c r="AF850">
        <v>2</v>
      </c>
      <c r="AG850">
        <v>2</v>
      </c>
      <c r="AH850">
        <v>2</v>
      </c>
      <c r="AI850">
        <v>2</v>
      </c>
    </row>
    <row r="851" spans="1:35" x14ac:dyDescent="0.25">
      <c r="A851">
        <v>43</v>
      </c>
      <c r="B851" t="str">
        <f t="shared" si="26"/>
        <v>35-44</v>
      </c>
      <c r="C851" s="1" t="s">
        <v>32</v>
      </c>
      <c r="D851" s="17">
        <f>IF(Table1[[#This Row],[Attrition]]="Yes",1,0)</f>
        <v>1</v>
      </c>
      <c r="E851" t="s">
        <v>57</v>
      </c>
      <c r="F851" s="2">
        <v>1372</v>
      </c>
      <c r="G851" t="s">
        <v>33</v>
      </c>
      <c r="H851">
        <v>9</v>
      </c>
      <c r="I851">
        <v>3</v>
      </c>
      <c r="J851" t="str">
        <f t="shared" si="27"/>
        <v>Bachelor</v>
      </c>
      <c r="K851" t="s">
        <v>53</v>
      </c>
      <c r="L851">
        <v>1</v>
      </c>
      <c r="M851" t="s">
        <v>35</v>
      </c>
      <c r="N851" s="2">
        <v>85</v>
      </c>
      <c r="O851">
        <v>1</v>
      </c>
      <c r="P851">
        <v>2</v>
      </c>
      <c r="Q851" t="s">
        <v>36</v>
      </c>
      <c r="R851">
        <v>3</v>
      </c>
      <c r="S851" t="s">
        <v>37</v>
      </c>
      <c r="T851" s="2">
        <v>5346</v>
      </c>
      <c r="U851" s="2">
        <v>9489</v>
      </c>
      <c r="V851">
        <v>8</v>
      </c>
      <c r="W851" t="s">
        <v>38</v>
      </c>
      <c r="X851">
        <v>13</v>
      </c>
      <c r="Y851">
        <v>3</v>
      </c>
      <c r="Z851">
        <v>2</v>
      </c>
      <c r="AA851">
        <v>80</v>
      </c>
      <c r="AB851">
        <v>0</v>
      </c>
      <c r="AC851">
        <v>7</v>
      </c>
      <c r="AD851">
        <v>2</v>
      </c>
      <c r="AE851">
        <v>2</v>
      </c>
      <c r="AF851">
        <v>4</v>
      </c>
      <c r="AG851">
        <v>3</v>
      </c>
      <c r="AH851">
        <v>1</v>
      </c>
      <c r="AI851">
        <v>3</v>
      </c>
    </row>
    <row r="852" spans="1:35" x14ac:dyDescent="0.25">
      <c r="A852">
        <v>32</v>
      </c>
      <c r="B852" t="str">
        <f t="shared" si="26"/>
        <v>25-34</v>
      </c>
      <c r="C852" s="1" t="s">
        <v>38</v>
      </c>
      <c r="D852" s="17">
        <f>IF(Table1[[#This Row],[Attrition]]="Yes",1,0)</f>
        <v>0</v>
      </c>
      <c r="E852" t="s">
        <v>49</v>
      </c>
      <c r="F852" s="2">
        <v>862</v>
      </c>
      <c r="G852" t="s">
        <v>33</v>
      </c>
      <c r="H852">
        <v>2</v>
      </c>
      <c r="I852">
        <v>1</v>
      </c>
      <c r="J852" t="str">
        <f t="shared" si="27"/>
        <v>Below College</v>
      </c>
      <c r="K852" t="s">
        <v>34</v>
      </c>
      <c r="L852">
        <v>3</v>
      </c>
      <c r="M852" t="s">
        <v>35</v>
      </c>
      <c r="N852" s="2">
        <v>76</v>
      </c>
      <c r="O852">
        <v>3</v>
      </c>
      <c r="P852">
        <v>1</v>
      </c>
      <c r="Q852" t="s">
        <v>51</v>
      </c>
      <c r="R852">
        <v>1</v>
      </c>
      <c r="S852" t="s">
        <v>46</v>
      </c>
      <c r="T852" s="2">
        <v>2827</v>
      </c>
      <c r="U852" s="2">
        <v>14947</v>
      </c>
      <c r="V852">
        <v>1</v>
      </c>
      <c r="W852" t="s">
        <v>38</v>
      </c>
      <c r="X852">
        <v>12</v>
      </c>
      <c r="Y852">
        <v>3</v>
      </c>
      <c r="Z852">
        <v>3</v>
      </c>
      <c r="AA852">
        <v>80</v>
      </c>
      <c r="AB852">
        <v>3</v>
      </c>
      <c r="AC852">
        <v>1</v>
      </c>
      <c r="AD852">
        <v>3</v>
      </c>
      <c r="AE852">
        <v>3</v>
      </c>
      <c r="AF852">
        <v>1</v>
      </c>
      <c r="AG852">
        <v>0</v>
      </c>
      <c r="AH852">
        <v>0</v>
      </c>
      <c r="AI852">
        <v>0</v>
      </c>
    </row>
    <row r="853" spans="1:35" x14ac:dyDescent="0.25">
      <c r="A853">
        <v>56</v>
      </c>
      <c r="B853" t="str">
        <f t="shared" si="26"/>
        <v>55-64</v>
      </c>
      <c r="C853" s="1" t="s">
        <v>38</v>
      </c>
      <c r="D853" s="17">
        <f>IF(Table1[[#This Row],[Attrition]]="Yes",1,0)</f>
        <v>0</v>
      </c>
      <c r="E853" t="s">
        <v>57</v>
      </c>
      <c r="F853" s="2">
        <v>718</v>
      </c>
      <c r="G853" t="s">
        <v>39</v>
      </c>
      <c r="H853">
        <v>4</v>
      </c>
      <c r="I853">
        <v>4</v>
      </c>
      <c r="J853" t="str">
        <f t="shared" si="27"/>
        <v>Master</v>
      </c>
      <c r="K853" t="s">
        <v>54</v>
      </c>
      <c r="L853">
        <v>4</v>
      </c>
      <c r="M853" t="s">
        <v>35</v>
      </c>
      <c r="N853" s="2">
        <v>92</v>
      </c>
      <c r="O853">
        <v>3</v>
      </c>
      <c r="P853">
        <v>5</v>
      </c>
      <c r="Q853" t="s">
        <v>50</v>
      </c>
      <c r="R853">
        <v>1</v>
      </c>
      <c r="S853" t="s">
        <v>46</v>
      </c>
      <c r="T853" s="2">
        <v>19943</v>
      </c>
      <c r="U853" s="2">
        <v>18575</v>
      </c>
      <c r="V853">
        <v>4</v>
      </c>
      <c r="W853" t="s">
        <v>38</v>
      </c>
      <c r="X853">
        <v>13</v>
      </c>
      <c r="Y853">
        <v>3</v>
      </c>
      <c r="Z853">
        <v>4</v>
      </c>
      <c r="AA853">
        <v>80</v>
      </c>
      <c r="AB853">
        <v>1</v>
      </c>
      <c r="AC853">
        <v>28</v>
      </c>
      <c r="AD853">
        <v>2</v>
      </c>
      <c r="AE853">
        <v>3</v>
      </c>
      <c r="AF853">
        <v>5</v>
      </c>
      <c r="AG853">
        <v>2</v>
      </c>
      <c r="AH853">
        <v>4</v>
      </c>
      <c r="AI853">
        <v>2</v>
      </c>
    </row>
    <row r="854" spans="1:35" x14ac:dyDescent="0.25">
      <c r="A854">
        <v>29</v>
      </c>
      <c r="B854" t="str">
        <f t="shared" si="26"/>
        <v>25-34</v>
      </c>
      <c r="C854" s="1" t="s">
        <v>38</v>
      </c>
      <c r="D854" s="17">
        <f>IF(Table1[[#This Row],[Attrition]]="Yes",1,0)</f>
        <v>0</v>
      </c>
      <c r="E854" t="s">
        <v>57</v>
      </c>
      <c r="F854" s="2">
        <v>1401</v>
      </c>
      <c r="G854" t="s">
        <v>39</v>
      </c>
      <c r="H854">
        <v>6</v>
      </c>
      <c r="I854">
        <v>1</v>
      </c>
      <c r="J854" t="str">
        <f t="shared" si="27"/>
        <v>Below College</v>
      </c>
      <c r="K854" t="s">
        <v>45</v>
      </c>
      <c r="L854">
        <v>2</v>
      </c>
      <c r="M854" t="s">
        <v>35</v>
      </c>
      <c r="N854" s="2">
        <v>54</v>
      </c>
      <c r="O854">
        <v>3</v>
      </c>
      <c r="P854">
        <v>1</v>
      </c>
      <c r="Q854" t="s">
        <v>44</v>
      </c>
      <c r="R854">
        <v>4</v>
      </c>
      <c r="S854" t="s">
        <v>42</v>
      </c>
      <c r="T854" s="2">
        <v>3131</v>
      </c>
      <c r="U854" s="2">
        <v>26342</v>
      </c>
      <c r="V854">
        <v>1</v>
      </c>
      <c r="W854" t="s">
        <v>38</v>
      </c>
      <c r="X854">
        <v>13</v>
      </c>
      <c r="Y854">
        <v>3</v>
      </c>
      <c r="Z854">
        <v>1</v>
      </c>
      <c r="AA854">
        <v>80</v>
      </c>
      <c r="AB854">
        <v>1</v>
      </c>
      <c r="AC854">
        <v>10</v>
      </c>
      <c r="AD854">
        <v>5</v>
      </c>
      <c r="AE854">
        <v>3</v>
      </c>
      <c r="AF854">
        <v>10</v>
      </c>
      <c r="AG854">
        <v>8</v>
      </c>
      <c r="AH854">
        <v>0</v>
      </c>
      <c r="AI854">
        <v>8</v>
      </c>
    </row>
    <row r="855" spans="1:35" x14ac:dyDescent="0.25">
      <c r="A855">
        <v>19</v>
      </c>
      <c r="B855" t="str">
        <f t="shared" si="26"/>
        <v>18-24</v>
      </c>
      <c r="C855" s="1" t="s">
        <v>38</v>
      </c>
      <c r="D855" s="17">
        <f>IF(Table1[[#This Row],[Attrition]]="Yes",1,0)</f>
        <v>0</v>
      </c>
      <c r="E855" t="s">
        <v>57</v>
      </c>
      <c r="F855" s="2">
        <v>645</v>
      </c>
      <c r="G855" t="s">
        <v>39</v>
      </c>
      <c r="H855">
        <v>9</v>
      </c>
      <c r="I855">
        <v>2</v>
      </c>
      <c r="J855" t="str">
        <f t="shared" si="27"/>
        <v>College</v>
      </c>
      <c r="K855" t="s">
        <v>34</v>
      </c>
      <c r="L855">
        <v>3</v>
      </c>
      <c r="M855" t="s">
        <v>40</v>
      </c>
      <c r="N855" s="2">
        <v>54</v>
      </c>
      <c r="O855">
        <v>3</v>
      </c>
      <c r="P855">
        <v>1</v>
      </c>
      <c r="Q855" t="s">
        <v>41</v>
      </c>
      <c r="R855">
        <v>1</v>
      </c>
      <c r="S855" t="s">
        <v>37</v>
      </c>
      <c r="T855" s="2">
        <v>2552</v>
      </c>
      <c r="U855" s="2">
        <v>7172</v>
      </c>
      <c r="V855">
        <v>1</v>
      </c>
      <c r="W855" t="s">
        <v>38</v>
      </c>
      <c r="X855">
        <v>25</v>
      </c>
      <c r="Y855">
        <v>4</v>
      </c>
      <c r="Z855">
        <v>3</v>
      </c>
      <c r="AA855">
        <v>80</v>
      </c>
      <c r="AB855">
        <v>0</v>
      </c>
      <c r="AC855">
        <v>1</v>
      </c>
      <c r="AD855">
        <v>4</v>
      </c>
      <c r="AE855">
        <v>3</v>
      </c>
      <c r="AF855">
        <v>1</v>
      </c>
      <c r="AG855">
        <v>1</v>
      </c>
      <c r="AH855">
        <v>0</v>
      </c>
      <c r="AI855">
        <v>0</v>
      </c>
    </row>
    <row r="856" spans="1:35" x14ac:dyDescent="0.25">
      <c r="A856">
        <v>45</v>
      </c>
      <c r="B856" t="str">
        <f t="shared" si="26"/>
        <v>45-54</v>
      </c>
      <c r="C856" s="1" t="s">
        <v>38</v>
      </c>
      <c r="D856" s="17">
        <f>IF(Table1[[#This Row],[Attrition]]="Yes",1,0)</f>
        <v>0</v>
      </c>
      <c r="E856" t="s">
        <v>57</v>
      </c>
      <c r="F856" s="2">
        <v>1457</v>
      </c>
      <c r="G856" t="s">
        <v>39</v>
      </c>
      <c r="H856">
        <v>7</v>
      </c>
      <c r="I856">
        <v>3</v>
      </c>
      <c r="J856" t="str">
        <f t="shared" si="27"/>
        <v>Bachelor</v>
      </c>
      <c r="K856" t="s">
        <v>45</v>
      </c>
      <c r="L856">
        <v>1</v>
      </c>
      <c r="M856" t="s">
        <v>35</v>
      </c>
      <c r="N856" s="2">
        <v>83</v>
      </c>
      <c r="O856">
        <v>3</v>
      </c>
      <c r="P856">
        <v>1</v>
      </c>
      <c r="Q856" t="s">
        <v>41</v>
      </c>
      <c r="R856">
        <v>3</v>
      </c>
      <c r="S856" t="s">
        <v>42</v>
      </c>
      <c r="T856" s="2">
        <v>4477</v>
      </c>
      <c r="U856" s="2">
        <v>20100</v>
      </c>
      <c r="V856">
        <v>4</v>
      </c>
      <c r="W856" t="s">
        <v>32</v>
      </c>
      <c r="X856">
        <v>19</v>
      </c>
      <c r="Y856">
        <v>3</v>
      </c>
      <c r="Z856">
        <v>3</v>
      </c>
      <c r="AA856">
        <v>80</v>
      </c>
      <c r="AB856">
        <v>1</v>
      </c>
      <c r="AC856">
        <v>7</v>
      </c>
      <c r="AD856">
        <v>2</v>
      </c>
      <c r="AE856">
        <v>2</v>
      </c>
      <c r="AF856">
        <v>3</v>
      </c>
      <c r="AG856">
        <v>2</v>
      </c>
      <c r="AH856">
        <v>0</v>
      </c>
      <c r="AI856">
        <v>2</v>
      </c>
    </row>
    <row r="857" spans="1:35" x14ac:dyDescent="0.25">
      <c r="A857">
        <v>37</v>
      </c>
      <c r="B857" t="str">
        <f t="shared" si="26"/>
        <v>35-44</v>
      </c>
      <c r="C857" s="1" t="s">
        <v>38</v>
      </c>
      <c r="D857" s="17">
        <f>IF(Table1[[#This Row],[Attrition]]="Yes",1,0)</f>
        <v>0</v>
      </c>
      <c r="E857" t="s">
        <v>57</v>
      </c>
      <c r="F857" s="2">
        <v>977</v>
      </c>
      <c r="G857" t="s">
        <v>39</v>
      </c>
      <c r="H857">
        <v>1</v>
      </c>
      <c r="I857">
        <v>3</v>
      </c>
      <c r="J857" t="str">
        <f t="shared" si="27"/>
        <v>Bachelor</v>
      </c>
      <c r="K857" t="s">
        <v>34</v>
      </c>
      <c r="L857">
        <v>4</v>
      </c>
      <c r="M857" t="s">
        <v>35</v>
      </c>
      <c r="N857" s="2">
        <v>56</v>
      </c>
      <c r="O857">
        <v>2</v>
      </c>
      <c r="P857">
        <v>2</v>
      </c>
      <c r="Q857" t="s">
        <v>47</v>
      </c>
      <c r="R857">
        <v>4</v>
      </c>
      <c r="S857" t="s">
        <v>42</v>
      </c>
      <c r="T857" s="2">
        <v>6474</v>
      </c>
      <c r="U857" s="2">
        <v>9961</v>
      </c>
      <c r="V857">
        <v>1</v>
      </c>
      <c r="W857" t="s">
        <v>38</v>
      </c>
      <c r="X857">
        <v>13</v>
      </c>
      <c r="Y857">
        <v>3</v>
      </c>
      <c r="Z857">
        <v>2</v>
      </c>
      <c r="AA857">
        <v>80</v>
      </c>
      <c r="AB857">
        <v>1</v>
      </c>
      <c r="AC857">
        <v>14</v>
      </c>
      <c r="AD857">
        <v>2</v>
      </c>
      <c r="AE857">
        <v>2</v>
      </c>
      <c r="AF857">
        <v>14</v>
      </c>
      <c r="AG857">
        <v>8</v>
      </c>
      <c r="AH857">
        <v>3</v>
      </c>
      <c r="AI857">
        <v>11</v>
      </c>
    </row>
    <row r="858" spans="1:35" x14ac:dyDescent="0.25">
      <c r="A858">
        <v>20</v>
      </c>
      <c r="B858" t="str">
        <f t="shared" si="26"/>
        <v>18-24</v>
      </c>
      <c r="C858" s="1" t="s">
        <v>38</v>
      </c>
      <c r="D858" s="17">
        <f>IF(Table1[[#This Row],[Attrition]]="Yes",1,0)</f>
        <v>0</v>
      </c>
      <c r="E858" t="s">
        <v>57</v>
      </c>
      <c r="F858" s="2">
        <v>805</v>
      </c>
      <c r="G858" t="s">
        <v>39</v>
      </c>
      <c r="H858">
        <v>3</v>
      </c>
      <c r="I858">
        <v>3</v>
      </c>
      <c r="J858" t="str">
        <f t="shared" si="27"/>
        <v>Bachelor</v>
      </c>
      <c r="K858" t="s">
        <v>34</v>
      </c>
      <c r="L858">
        <v>1</v>
      </c>
      <c r="M858" t="s">
        <v>40</v>
      </c>
      <c r="N858" s="2">
        <v>87</v>
      </c>
      <c r="O858">
        <v>2</v>
      </c>
      <c r="P858">
        <v>1</v>
      </c>
      <c r="Q858" t="s">
        <v>44</v>
      </c>
      <c r="R858">
        <v>3</v>
      </c>
      <c r="S858" t="s">
        <v>37</v>
      </c>
      <c r="T858" s="2">
        <v>3033</v>
      </c>
      <c r="U858" s="2">
        <v>12828</v>
      </c>
      <c r="V858">
        <v>1</v>
      </c>
      <c r="W858" t="s">
        <v>38</v>
      </c>
      <c r="X858">
        <v>12</v>
      </c>
      <c r="Y858">
        <v>3</v>
      </c>
      <c r="Z858">
        <v>1</v>
      </c>
      <c r="AA858">
        <v>80</v>
      </c>
      <c r="AB858">
        <v>0</v>
      </c>
      <c r="AC858">
        <v>2</v>
      </c>
      <c r="AD858">
        <v>2</v>
      </c>
      <c r="AE858">
        <v>2</v>
      </c>
      <c r="AF858">
        <v>2</v>
      </c>
      <c r="AG858">
        <v>2</v>
      </c>
      <c r="AH858">
        <v>1</v>
      </c>
      <c r="AI858">
        <v>2</v>
      </c>
    </row>
    <row r="859" spans="1:35" x14ac:dyDescent="0.25">
      <c r="A859">
        <v>44</v>
      </c>
      <c r="B859" t="str">
        <f t="shared" si="26"/>
        <v>35-44</v>
      </c>
      <c r="C859" s="1" t="s">
        <v>32</v>
      </c>
      <c r="D859" s="17">
        <f>IF(Table1[[#This Row],[Attrition]]="Yes",1,0)</f>
        <v>1</v>
      </c>
      <c r="E859" t="s">
        <v>57</v>
      </c>
      <c r="F859" s="2">
        <v>1097</v>
      </c>
      <c r="G859" t="s">
        <v>39</v>
      </c>
      <c r="H859">
        <v>10</v>
      </c>
      <c r="I859">
        <v>4</v>
      </c>
      <c r="J859" t="str">
        <f t="shared" si="27"/>
        <v>Master</v>
      </c>
      <c r="K859" t="s">
        <v>34</v>
      </c>
      <c r="L859">
        <v>3</v>
      </c>
      <c r="M859" t="s">
        <v>40</v>
      </c>
      <c r="N859" s="2">
        <v>96</v>
      </c>
      <c r="O859">
        <v>3</v>
      </c>
      <c r="P859">
        <v>1</v>
      </c>
      <c r="Q859" t="s">
        <v>41</v>
      </c>
      <c r="R859">
        <v>3</v>
      </c>
      <c r="S859" t="s">
        <v>37</v>
      </c>
      <c r="T859" s="2">
        <v>2936</v>
      </c>
      <c r="U859" s="2">
        <v>10826</v>
      </c>
      <c r="V859">
        <v>1</v>
      </c>
      <c r="W859" t="s">
        <v>32</v>
      </c>
      <c r="X859">
        <v>11</v>
      </c>
      <c r="Y859">
        <v>3</v>
      </c>
      <c r="Z859">
        <v>3</v>
      </c>
      <c r="AA859">
        <v>80</v>
      </c>
      <c r="AB859">
        <v>0</v>
      </c>
      <c r="AC859">
        <v>6</v>
      </c>
      <c r="AD859">
        <v>4</v>
      </c>
      <c r="AE859">
        <v>3</v>
      </c>
      <c r="AF859">
        <v>6</v>
      </c>
      <c r="AG859">
        <v>4</v>
      </c>
      <c r="AH859">
        <v>0</v>
      </c>
      <c r="AI859">
        <v>2</v>
      </c>
    </row>
    <row r="860" spans="1:35" x14ac:dyDescent="0.25">
      <c r="A860">
        <v>53</v>
      </c>
      <c r="B860" t="str">
        <f t="shared" si="26"/>
        <v>45-54</v>
      </c>
      <c r="C860" s="1" t="s">
        <v>38</v>
      </c>
      <c r="D860" s="17">
        <f>IF(Table1[[#This Row],[Attrition]]="Yes",1,0)</f>
        <v>0</v>
      </c>
      <c r="E860" t="s">
        <v>57</v>
      </c>
      <c r="F860" s="2">
        <v>1223</v>
      </c>
      <c r="G860" t="s">
        <v>39</v>
      </c>
      <c r="H860">
        <v>7</v>
      </c>
      <c r="I860">
        <v>2</v>
      </c>
      <c r="J860" t="str">
        <f t="shared" si="27"/>
        <v>College</v>
      </c>
      <c r="K860" t="s">
        <v>45</v>
      </c>
      <c r="L860">
        <v>4</v>
      </c>
      <c r="M860" t="s">
        <v>35</v>
      </c>
      <c r="N860" s="2">
        <v>50</v>
      </c>
      <c r="O860">
        <v>3</v>
      </c>
      <c r="P860">
        <v>5</v>
      </c>
      <c r="Q860" t="s">
        <v>50</v>
      </c>
      <c r="R860">
        <v>3</v>
      </c>
      <c r="S860" t="s">
        <v>46</v>
      </c>
      <c r="T860" s="2">
        <v>18606</v>
      </c>
      <c r="U860" s="2">
        <v>18640</v>
      </c>
      <c r="V860">
        <v>3</v>
      </c>
      <c r="W860" t="s">
        <v>38</v>
      </c>
      <c r="X860">
        <v>18</v>
      </c>
      <c r="Y860">
        <v>3</v>
      </c>
      <c r="Z860">
        <v>2</v>
      </c>
      <c r="AA860">
        <v>80</v>
      </c>
      <c r="AB860">
        <v>1</v>
      </c>
      <c r="AC860">
        <v>26</v>
      </c>
      <c r="AD860">
        <v>6</v>
      </c>
      <c r="AE860">
        <v>3</v>
      </c>
      <c r="AF860">
        <v>7</v>
      </c>
      <c r="AG860">
        <v>7</v>
      </c>
      <c r="AH860">
        <v>4</v>
      </c>
      <c r="AI860">
        <v>7</v>
      </c>
    </row>
    <row r="861" spans="1:35" x14ac:dyDescent="0.25">
      <c r="A861">
        <v>29</v>
      </c>
      <c r="B861" t="str">
        <f t="shared" si="26"/>
        <v>25-34</v>
      </c>
      <c r="C861" s="1" t="s">
        <v>38</v>
      </c>
      <c r="D861" s="17">
        <f>IF(Table1[[#This Row],[Attrition]]="Yes",1,0)</f>
        <v>0</v>
      </c>
      <c r="E861" t="s">
        <v>57</v>
      </c>
      <c r="F861" s="2">
        <v>942</v>
      </c>
      <c r="G861" t="s">
        <v>39</v>
      </c>
      <c r="H861">
        <v>15</v>
      </c>
      <c r="I861">
        <v>1</v>
      </c>
      <c r="J861" t="str">
        <f t="shared" si="27"/>
        <v>Below College</v>
      </c>
      <c r="K861" t="s">
        <v>34</v>
      </c>
      <c r="L861">
        <v>2</v>
      </c>
      <c r="M861" t="s">
        <v>35</v>
      </c>
      <c r="N861" s="2">
        <v>69</v>
      </c>
      <c r="O861">
        <v>1</v>
      </c>
      <c r="P861">
        <v>1</v>
      </c>
      <c r="Q861" t="s">
        <v>41</v>
      </c>
      <c r="R861">
        <v>4</v>
      </c>
      <c r="S861" t="s">
        <v>42</v>
      </c>
      <c r="T861" s="2">
        <v>2168</v>
      </c>
      <c r="U861" s="2">
        <v>26933</v>
      </c>
      <c r="V861">
        <v>0</v>
      </c>
      <c r="W861" t="s">
        <v>32</v>
      </c>
      <c r="X861">
        <v>18</v>
      </c>
      <c r="Y861">
        <v>3</v>
      </c>
      <c r="Z861">
        <v>1</v>
      </c>
      <c r="AA861">
        <v>80</v>
      </c>
      <c r="AB861">
        <v>1</v>
      </c>
      <c r="AC861">
        <v>6</v>
      </c>
      <c r="AD861">
        <v>2</v>
      </c>
      <c r="AE861">
        <v>2</v>
      </c>
      <c r="AF861">
        <v>5</v>
      </c>
      <c r="AG861">
        <v>4</v>
      </c>
      <c r="AH861">
        <v>1</v>
      </c>
      <c r="AI861">
        <v>3</v>
      </c>
    </row>
    <row r="862" spans="1:35" x14ac:dyDescent="0.25">
      <c r="A862">
        <v>22</v>
      </c>
      <c r="B862" t="str">
        <f t="shared" si="26"/>
        <v>18-24</v>
      </c>
      <c r="C862" s="1" t="s">
        <v>32</v>
      </c>
      <c r="D862" s="17">
        <f>IF(Table1[[#This Row],[Attrition]]="Yes",1,0)</f>
        <v>1</v>
      </c>
      <c r="E862" t="s">
        <v>58</v>
      </c>
      <c r="F862" s="2">
        <v>1256</v>
      </c>
      <c r="G862" t="s">
        <v>39</v>
      </c>
      <c r="H862">
        <v>3</v>
      </c>
      <c r="I862">
        <v>4</v>
      </c>
      <c r="J862" t="str">
        <f t="shared" si="27"/>
        <v>Master</v>
      </c>
      <c r="K862" t="s">
        <v>34</v>
      </c>
      <c r="L862">
        <v>3</v>
      </c>
      <c r="M862" t="s">
        <v>40</v>
      </c>
      <c r="N862" s="2">
        <v>48</v>
      </c>
      <c r="O862">
        <v>2</v>
      </c>
      <c r="P862">
        <v>1</v>
      </c>
      <c r="Q862" t="s">
        <v>41</v>
      </c>
      <c r="R862">
        <v>4</v>
      </c>
      <c r="S862" t="s">
        <v>42</v>
      </c>
      <c r="T862" s="2">
        <v>2853</v>
      </c>
      <c r="U862" s="2">
        <v>4223</v>
      </c>
      <c r="V862">
        <v>0</v>
      </c>
      <c r="W862" t="s">
        <v>32</v>
      </c>
      <c r="X862">
        <v>11</v>
      </c>
      <c r="Y862">
        <v>3</v>
      </c>
      <c r="Z862">
        <v>2</v>
      </c>
      <c r="AA862">
        <v>80</v>
      </c>
      <c r="AB862">
        <v>1</v>
      </c>
      <c r="AC862">
        <v>1</v>
      </c>
      <c r="AD862">
        <v>5</v>
      </c>
      <c r="AE862">
        <v>3</v>
      </c>
      <c r="AF862">
        <v>0</v>
      </c>
      <c r="AG862">
        <v>0</v>
      </c>
      <c r="AH862">
        <v>0</v>
      </c>
      <c r="AI862">
        <v>0</v>
      </c>
    </row>
    <row r="863" spans="1:35" x14ac:dyDescent="0.25">
      <c r="A863">
        <v>46</v>
      </c>
      <c r="B863" t="str">
        <f t="shared" si="26"/>
        <v>45-54</v>
      </c>
      <c r="C863" s="1" t="s">
        <v>38</v>
      </c>
      <c r="D863" s="17">
        <f>IF(Table1[[#This Row],[Attrition]]="Yes",1,0)</f>
        <v>0</v>
      </c>
      <c r="E863" t="s">
        <v>57</v>
      </c>
      <c r="F863" s="2">
        <v>1402</v>
      </c>
      <c r="G863" t="s">
        <v>33</v>
      </c>
      <c r="H863">
        <v>2</v>
      </c>
      <c r="I863">
        <v>3</v>
      </c>
      <c r="J863" t="str">
        <f t="shared" si="27"/>
        <v>Bachelor</v>
      </c>
      <c r="K863" t="s">
        <v>53</v>
      </c>
      <c r="L863">
        <v>3</v>
      </c>
      <c r="M863" t="s">
        <v>35</v>
      </c>
      <c r="N863" s="2">
        <v>69</v>
      </c>
      <c r="O863">
        <v>3</v>
      </c>
      <c r="P863">
        <v>4</v>
      </c>
      <c r="Q863" t="s">
        <v>50</v>
      </c>
      <c r="R863">
        <v>1</v>
      </c>
      <c r="S863" t="s">
        <v>42</v>
      </c>
      <c r="T863" s="2">
        <v>17048</v>
      </c>
      <c r="U863" s="2">
        <v>24097</v>
      </c>
      <c r="V863">
        <v>8</v>
      </c>
      <c r="W863" t="s">
        <v>38</v>
      </c>
      <c r="X863">
        <v>23</v>
      </c>
      <c r="Y863">
        <v>4</v>
      </c>
      <c r="Z863">
        <v>1</v>
      </c>
      <c r="AA863">
        <v>80</v>
      </c>
      <c r="AB863">
        <v>0</v>
      </c>
      <c r="AC863">
        <v>28</v>
      </c>
      <c r="AD863">
        <v>2</v>
      </c>
      <c r="AE863">
        <v>3</v>
      </c>
      <c r="AF863">
        <v>26</v>
      </c>
      <c r="AG863">
        <v>15</v>
      </c>
      <c r="AH863">
        <v>15</v>
      </c>
      <c r="AI863">
        <v>9</v>
      </c>
    </row>
    <row r="864" spans="1:35" x14ac:dyDescent="0.25">
      <c r="A864">
        <v>44</v>
      </c>
      <c r="B864" t="str">
        <f t="shared" si="26"/>
        <v>35-44</v>
      </c>
      <c r="C864" s="1" t="s">
        <v>38</v>
      </c>
      <c r="D864" s="17">
        <f>IF(Table1[[#This Row],[Attrition]]="Yes",1,0)</f>
        <v>0</v>
      </c>
      <c r="E864" t="s">
        <v>49</v>
      </c>
      <c r="F864" s="2">
        <v>111</v>
      </c>
      <c r="G864" t="s">
        <v>39</v>
      </c>
      <c r="H864">
        <v>17</v>
      </c>
      <c r="I864">
        <v>3</v>
      </c>
      <c r="J864" t="str">
        <f t="shared" si="27"/>
        <v>Bachelor</v>
      </c>
      <c r="K864" t="s">
        <v>34</v>
      </c>
      <c r="L864">
        <v>4</v>
      </c>
      <c r="M864" t="s">
        <v>40</v>
      </c>
      <c r="N864" s="2">
        <v>74</v>
      </c>
      <c r="O864">
        <v>1</v>
      </c>
      <c r="P864">
        <v>1</v>
      </c>
      <c r="Q864" t="s">
        <v>41</v>
      </c>
      <c r="R864">
        <v>3</v>
      </c>
      <c r="S864" t="s">
        <v>37</v>
      </c>
      <c r="T864" s="2">
        <v>2290</v>
      </c>
      <c r="U864" s="2">
        <v>4279</v>
      </c>
      <c r="V864">
        <v>2</v>
      </c>
      <c r="W864" t="s">
        <v>38</v>
      </c>
      <c r="X864">
        <v>13</v>
      </c>
      <c r="Y864">
        <v>3</v>
      </c>
      <c r="Z864">
        <v>4</v>
      </c>
      <c r="AA864">
        <v>80</v>
      </c>
      <c r="AB864">
        <v>0</v>
      </c>
      <c r="AC864">
        <v>6</v>
      </c>
      <c r="AD864">
        <v>3</v>
      </c>
      <c r="AE864">
        <v>3</v>
      </c>
      <c r="AF864">
        <v>0</v>
      </c>
      <c r="AG864">
        <v>0</v>
      </c>
      <c r="AH864">
        <v>0</v>
      </c>
      <c r="AI864">
        <v>0</v>
      </c>
    </row>
    <row r="865" spans="1:35" x14ac:dyDescent="0.25">
      <c r="A865">
        <v>33</v>
      </c>
      <c r="B865" t="str">
        <f t="shared" si="26"/>
        <v>25-34</v>
      </c>
      <c r="C865" s="1" t="s">
        <v>38</v>
      </c>
      <c r="D865" s="17">
        <f>IF(Table1[[#This Row],[Attrition]]="Yes",1,0)</f>
        <v>0</v>
      </c>
      <c r="E865" t="s">
        <v>57</v>
      </c>
      <c r="F865" s="2">
        <v>147</v>
      </c>
      <c r="G865" t="s">
        <v>55</v>
      </c>
      <c r="H865">
        <v>2</v>
      </c>
      <c r="I865">
        <v>3</v>
      </c>
      <c r="J865" t="str">
        <f t="shared" si="27"/>
        <v>Bachelor</v>
      </c>
      <c r="K865" t="s">
        <v>55</v>
      </c>
      <c r="L865">
        <v>2</v>
      </c>
      <c r="M865" t="s">
        <v>40</v>
      </c>
      <c r="N865" s="2">
        <v>99</v>
      </c>
      <c r="O865">
        <v>3</v>
      </c>
      <c r="P865">
        <v>1</v>
      </c>
      <c r="Q865" t="s">
        <v>55</v>
      </c>
      <c r="R865">
        <v>3</v>
      </c>
      <c r="S865" t="s">
        <v>42</v>
      </c>
      <c r="T865" s="2">
        <v>3600</v>
      </c>
      <c r="U865" s="2">
        <v>8429</v>
      </c>
      <c r="V865">
        <v>1</v>
      </c>
      <c r="W865" t="s">
        <v>38</v>
      </c>
      <c r="X865">
        <v>13</v>
      </c>
      <c r="Y865">
        <v>3</v>
      </c>
      <c r="Z865">
        <v>4</v>
      </c>
      <c r="AA865">
        <v>80</v>
      </c>
      <c r="AB865">
        <v>1</v>
      </c>
      <c r="AC865">
        <v>5</v>
      </c>
      <c r="AD865">
        <v>2</v>
      </c>
      <c r="AE865">
        <v>3</v>
      </c>
      <c r="AF865">
        <v>5</v>
      </c>
      <c r="AG865">
        <v>4</v>
      </c>
      <c r="AH865">
        <v>1</v>
      </c>
      <c r="AI865">
        <v>4</v>
      </c>
    </row>
    <row r="866" spans="1:35" x14ac:dyDescent="0.25">
      <c r="A866">
        <v>41</v>
      </c>
      <c r="B866" t="str">
        <f t="shared" si="26"/>
        <v>35-44</v>
      </c>
      <c r="C866" s="1" t="s">
        <v>32</v>
      </c>
      <c r="D866" s="17">
        <f>IF(Table1[[#This Row],[Attrition]]="Yes",1,0)</f>
        <v>1</v>
      </c>
      <c r="E866" t="s">
        <v>49</v>
      </c>
      <c r="F866" s="2">
        <v>906</v>
      </c>
      <c r="G866" t="s">
        <v>39</v>
      </c>
      <c r="H866">
        <v>5</v>
      </c>
      <c r="I866">
        <v>2</v>
      </c>
      <c r="J866" t="str">
        <f t="shared" si="27"/>
        <v>College</v>
      </c>
      <c r="K866" t="s">
        <v>34</v>
      </c>
      <c r="L866">
        <v>1</v>
      </c>
      <c r="M866" t="s">
        <v>40</v>
      </c>
      <c r="N866" s="2">
        <v>95</v>
      </c>
      <c r="O866">
        <v>2</v>
      </c>
      <c r="P866">
        <v>1</v>
      </c>
      <c r="Q866" t="s">
        <v>41</v>
      </c>
      <c r="R866">
        <v>1</v>
      </c>
      <c r="S866" t="s">
        <v>46</v>
      </c>
      <c r="T866" s="2">
        <v>2107</v>
      </c>
      <c r="U866" s="2">
        <v>20293</v>
      </c>
      <c r="V866">
        <v>6</v>
      </c>
      <c r="W866" t="s">
        <v>38</v>
      </c>
      <c r="X866">
        <v>17</v>
      </c>
      <c r="Y866">
        <v>3</v>
      </c>
      <c r="Z866">
        <v>1</v>
      </c>
      <c r="AA866">
        <v>80</v>
      </c>
      <c r="AB866">
        <v>1</v>
      </c>
      <c r="AC866">
        <v>5</v>
      </c>
      <c r="AD866">
        <v>2</v>
      </c>
      <c r="AE866">
        <v>1</v>
      </c>
      <c r="AF866">
        <v>1</v>
      </c>
      <c r="AG866">
        <v>0</v>
      </c>
      <c r="AH866">
        <v>0</v>
      </c>
      <c r="AI866">
        <v>0</v>
      </c>
    </row>
    <row r="867" spans="1:35" x14ac:dyDescent="0.25">
      <c r="A867">
        <v>30</v>
      </c>
      <c r="B867" t="str">
        <f t="shared" si="26"/>
        <v>25-34</v>
      </c>
      <c r="C867" s="1" t="s">
        <v>38</v>
      </c>
      <c r="D867" s="17">
        <f>IF(Table1[[#This Row],[Attrition]]="Yes",1,0)</f>
        <v>0</v>
      </c>
      <c r="E867" t="s">
        <v>57</v>
      </c>
      <c r="F867" s="2">
        <v>1329</v>
      </c>
      <c r="G867" t="s">
        <v>33</v>
      </c>
      <c r="H867">
        <v>29</v>
      </c>
      <c r="I867">
        <v>4</v>
      </c>
      <c r="J867" t="str">
        <f t="shared" si="27"/>
        <v>Master</v>
      </c>
      <c r="K867" t="s">
        <v>34</v>
      </c>
      <c r="L867">
        <v>3</v>
      </c>
      <c r="M867" t="s">
        <v>40</v>
      </c>
      <c r="N867" s="2">
        <v>61</v>
      </c>
      <c r="O867">
        <v>3</v>
      </c>
      <c r="P867">
        <v>2</v>
      </c>
      <c r="Q867" t="s">
        <v>36</v>
      </c>
      <c r="R867">
        <v>1</v>
      </c>
      <c r="S867" t="s">
        <v>46</v>
      </c>
      <c r="T867" s="2">
        <v>4115</v>
      </c>
      <c r="U867" s="2">
        <v>13192</v>
      </c>
      <c r="V867">
        <v>8</v>
      </c>
      <c r="W867" t="s">
        <v>38</v>
      </c>
      <c r="X867">
        <v>19</v>
      </c>
      <c r="Y867">
        <v>3</v>
      </c>
      <c r="Z867">
        <v>3</v>
      </c>
      <c r="AA867">
        <v>80</v>
      </c>
      <c r="AB867">
        <v>3</v>
      </c>
      <c r="AC867">
        <v>8</v>
      </c>
      <c r="AD867">
        <v>3</v>
      </c>
      <c r="AE867">
        <v>3</v>
      </c>
      <c r="AF867">
        <v>4</v>
      </c>
      <c r="AG867">
        <v>3</v>
      </c>
      <c r="AH867">
        <v>0</v>
      </c>
      <c r="AI867">
        <v>3</v>
      </c>
    </row>
    <row r="868" spans="1:35" x14ac:dyDescent="0.25">
      <c r="A868">
        <v>40</v>
      </c>
      <c r="B868" t="str">
        <f t="shared" si="26"/>
        <v>35-44</v>
      </c>
      <c r="C868" s="1" t="s">
        <v>38</v>
      </c>
      <c r="D868" s="17">
        <f>IF(Table1[[#This Row],[Attrition]]="Yes",1,0)</f>
        <v>0</v>
      </c>
      <c r="E868" t="s">
        <v>58</v>
      </c>
      <c r="F868" s="2">
        <v>1184</v>
      </c>
      <c r="G868" t="s">
        <v>33</v>
      </c>
      <c r="H868">
        <v>2</v>
      </c>
      <c r="I868">
        <v>4</v>
      </c>
      <c r="J868" t="str">
        <f t="shared" si="27"/>
        <v>Master</v>
      </c>
      <c r="K868" t="s">
        <v>45</v>
      </c>
      <c r="L868">
        <v>2</v>
      </c>
      <c r="M868" t="s">
        <v>40</v>
      </c>
      <c r="N868" s="2">
        <v>62</v>
      </c>
      <c r="O868">
        <v>3</v>
      </c>
      <c r="P868">
        <v>2</v>
      </c>
      <c r="Q868" t="s">
        <v>36</v>
      </c>
      <c r="R868">
        <v>2</v>
      </c>
      <c r="S868" t="s">
        <v>42</v>
      </c>
      <c r="T868" s="2">
        <v>4327</v>
      </c>
      <c r="U868" s="2">
        <v>25440</v>
      </c>
      <c r="V868">
        <v>5</v>
      </c>
      <c r="W868" t="s">
        <v>38</v>
      </c>
      <c r="X868">
        <v>12</v>
      </c>
      <c r="Y868">
        <v>3</v>
      </c>
      <c r="Z868">
        <v>4</v>
      </c>
      <c r="AA868">
        <v>80</v>
      </c>
      <c r="AB868">
        <v>3</v>
      </c>
      <c r="AC868">
        <v>5</v>
      </c>
      <c r="AD868">
        <v>2</v>
      </c>
      <c r="AE868">
        <v>3</v>
      </c>
      <c r="AF868">
        <v>0</v>
      </c>
      <c r="AG868">
        <v>0</v>
      </c>
      <c r="AH868">
        <v>0</v>
      </c>
      <c r="AI868">
        <v>0</v>
      </c>
    </row>
    <row r="869" spans="1:35" x14ac:dyDescent="0.25">
      <c r="A869">
        <v>50</v>
      </c>
      <c r="B869" t="str">
        <f t="shared" si="26"/>
        <v>45-54</v>
      </c>
      <c r="C869" s="1" t="s">
        <v>38</v>
      </c>
      <c r="D869" s="17">
        <f>IF(Table1[[#This Row],[Attrition]]="Yes",1,0)</f>
        <v>0</v>
      </c>
      <c r="E869" t="s">
        <v>58</v>
      </c>
      <c r="F869" s="2">
        <v>1421</v>
      </c>
      <c r="G869" t="s">
        <v>39</v>
      </c>
      <c r="H869">
        <v>2</v>
      </c>
      <c r="I869">
        <v>3</v>
      </c>
      <c r="J869" t="str">
        <f t="shared" si="27"/>
        <v>Bachelor</v>
      </c>
      <c r="K869" t="s">
        <v>45</v>
      </c>
      <c r="L869">
        <v>4</v>
      </c>
      <c r="M869" t="s">
        <v>35</v>
      </c>
      <c r="N869" s="2">
        <v>30</v>
      </c>
      <c r="O869">
        <v>3</v>
      </c>
      <c r="P869">
        <v>4</v>
      </c>
      <c r="Q869" t="s">
        <v>50</v>
      </c>
      <c r="R869">
        <v>1</v>
      </c>
      <c r="S869" t="s">
        <v>42</v>
      </c>
      <c r="T869" s="2">
        <v>17856</v>
      </c>
      <c r="U869" s="2">
        <v>9490</v>
      </c>
      <c r="V869">
        <v>2</v>
      </c>
      <c r="W869" t="s">
        <v>38</v>
      </c>
      <c r="X869">
        <v>22</v>
      </c>
      <c r="Y869">
        <v>4</v>
      </c>
      <c r="Z869">
        <v>3</v>
      </c>
      <c r="AA869">
        <v>80</v>
      </c>
      <c r="AB869">
        <v>1</v>
      </c>
      <c r="AC869">
        <v>32</v>
      </c>
      <c r="AD869">
        <v>3</v>
      </c>
      <c r="AE869">
        <v>3</v>
      </c>
      <c r="AF869">
        <v>2</v>
      </c>
      <c r="AG869">
        <v>2</v>
      </c>
      <c r="AH869">
        <v>2</v>
      </c>
      <c r="AI869">
        <v>2</v>
      </c>
    </row>
    <row r="870" spans="1:35" x14ac:dyDescent="0.25">
      <c r="A870">
        <v>28</v>
      </c>
      <c r="B870" t="str">
        <f t="shared" si="26"/>
        <v>25-34</v>
      </c>
      <c r="C870" s="1" t="s">
        <v>38</v>
      </c>
      <c r="D870" s="17">
        <f>IF(Table1[[#This Row],[Attrition]]="Yes",1,0)</f>
        <v>0</v>
      </c>
      <c r="E870" t="s">
        <v>57</v>
      </c>
      <c r="F870" s="2">
        <v>1179</v>
      </c>
      <c r="G870" t="s">
        <v>39</v>
      </c>
      <c r="H870">
        <v>19</v>
      </c>
      <c r="I870">
        <v>4</v>
      </c>
      <c r="J870" t="str">
        <f t="shared" si="27"/>
        <v>Master</v>
      </c>
      <c r="K870" t="s">
        <v>45</v>
      </c>
      <c r="L870">
        <v>4</v>
      </c>
      <c r="M870" t="s">
        <v>40</v>
      </c>
      <c r="N870" s="2">
        <v>78</v>
      </c>
      <c r="O870">
        <v>2</v>
      </c>
      <c r="P870">
        <v>1</v>
      </c>
      <c r="Q870" t="s">
        <v>44</v>
      </c>
      <c r="R870">
        <v>1</v>
      </c>
      <c r="S870" t="s">
        <v>42</v>
      </c>
      <c r="T870" s="2">
        <v>3196</v>
      </c>
      <c r="U870" s="2">
        <v>12449</v>
      </c>
      <c r="V870">
        <v>1</v>
      </c>
      <c r="W870" t="s">
        <v>38</v>
      </c>
      <c r="X870">
        <v>12</v>
      </c>
      <c r="Y870">
        <v>3</v>
      </c>
      <c r="Z870">
        <v>3</v>
      </c>
      <c r="AA870">
        <v>80</v>
      </c>
      <c r="AB870">
        <v>3</v>
      </c>
      <c r="AC870">
        <v>6</v>
      </c>
      <c r="AD870">
        <v>2</v>
      </c>
      <c r="AE870">
        <v>3</v>
      </c>
      <c r="AF870">
        <v>6</v>
      </c>
      <c r="AG870">
        <v>5</v>
      </c>
      <c r="AH870">
        <v>3</v>
      </c>
      <c r="AI870">
        <v>3</v>
      </c>
    </row>
    <row r="871" spans="1:35" x14ac:dyDescent="0.25">
      <c r="A871">
        <v>46</v>
      </c>
      <c r="B871" t="str">
        <f t="shared" si="26"/>
        <v>45-54</v>
      </c>
      <c r="C871" s="1" t="s">
        <v>38</v>
      </c>
      <c r="D871" s="17">
        <f>IF(Table1[[#This Row],[Attrition]]="Yes",1,0)</f>
        <v>0</v>
      </c>
      <c r="E871" t="s">
        <v>57</v>
      </c>
      <c r="F871" s="2">
        <v>1450</v>
      </c>
      <c r="G871" t="s">
        <v>39</v>
      </c>
      <c r="H871">
        <v>15</v>
      </c>
      <c r="I871">
        <v>2</v>
      </c>
      <c r="J871" t="str">
        <f t="shared" si="27"/>
        <v>College</v>
      </c>
      <c r="K871" t="s">
        <v>34</v>
      </c>
      <c r="L871">
        <v>4</v>
      </c>
      <c r="M871" t="s">
        <v>40</v>
      </c>
      <c r="N871" s="2">
        <v>52</v>
      </c>
      <c r="O871">
        <v>3</v>
      </c>
      <c r="P871">
        <v>5</v>
      </c>
      <c r="Q871" t="s">
        <v>52</v>
      </c>
      <c r="R871">
        <v>2</v>
      </c>
      <c r="S871" t="s">
        <v>42</v>
      </c>
      <c r="T871" s="2">
        <v>19081</v>
      </c>
      <c r="U871" s="2">
        <v>10849</v>
      </c>
      <c r="V871">
        <v>5</v>
      </c>
      <c r="W871" t="s">
        <v>38</v>
      </c>
      <c r="X871">
        <v>11</v>
      </c>
      <c r="Y871">
        <v>3</v>
      </c>
      <c r="Z871">
        <v>1</v>
      </c>
      <c r="AA871">
        <v>80</v>
      </c>
      <c r="AB871">
        <v>1</v>
      </c>
      <c r="AC871">
        <v>25</v>
      </c>
      <c r="AD871">
        <v>2</v>
      </c>
      <c r="AE871">
        <v>3</v>
      </c>
      <c r="AF871">
        <v>4</v>
      </c>
      <c r="AG871">
        <v>2</v>
      </c>
      <c r="AH871">
        <v>0</v>
      </c>
      <c r="AI871">
        <v>3</v>
      </c>
    </row>
    <row r="872" spans="1:35" x14ac:dyDescent="0.25">
      <c r="A872">
        <v>35</v>
      </c>
      <c r="B872" t="str">
        <f t="shared" si="26"/>
        <v>35-44</v>
      </c>
      <c r="C872" s="1" t="s">
        <v>38</v>
      </c>
      <c r="D872" s="17">
        <f>IF(Table1[[#This Row],[Attrition]]="Yes",1,0)</f>
        <v>0</v>
      </c>
      <c r="E872" t="s">
        <v>57</v>
      </c>
      <c r="F872" s="2">
        <v>1361</v>
      </c>
      <c r="G872" t="s">
        <v>33</v>
      </c>
      <c r="H872">
        <v>17</v>
      </c>
      <c r="I872">
        <v>4</v>
      </c>
      <c r="J872" t="str">
        <f t="shared" si="27"/>
        <v>Master</v>
      </c>
      <c r="K872" t="s">
        <v>34</v>
      </c>
      <c r="L872">
        <v>3</v>
      </c>
      <c r="M872" t="s">
        <v>40</v>
      </c>
      <c r="N872" s="2">
        <v>94</v>
      </c>
      <c r="O872">
        <v>3</v>
      </c>
      <c r="P872">
        <v>2</v>
      </c>
      <c r="Q872" t="s">
        <v>36</v>
      </c>
      <c r="R872">
        <v>1</v>
      </c>
      <c r="S872" t="s">
        <v>42</v>
      </c>
      <c r="T872" s="2">
        <v>8966</v>
      </c>
      <c r="U872" s="2">
        <v>21026</v>
      </c>
      <c r="V872">
        <v>3</v>
      </c>
      <c r="W872" t="s">
        <v>32</v>
      </c>
      <c r="X872">
        <v>15</v>
      </c>
      <c r="Y872">
        <v>3</v>
      </c>
      <c r="Z872">
        <v>4</v>
      </c>
      <c r="AA872">
        <v>80</v>
      </c>
      <c r="AB872">
        <v>3</v>
      </c>
      <c r="AC872">
        <v>15</v>
      </c>
      <c r="AD872">
        <v>2</v>
      </c>
      <c r="AE872">
        <v>3</v>
      </c>
      <c r="AF872">
        <v>7</v>
      </c>
      <c r="AG872">
        <v>7</v>
      </c>
      <c r="AH872">
        <v>1</v>
      </c>
      <c r="AI872">
        <v>7</v>
      </c>
    </row>
    <row r="873" spans="1:35" x14ac:dyDescent="0.25">
      <c r="A873">
        <v>24</v>
      </c>
      <c r="B873" t="str">
        <f t="shared" si="26"/>
        <v>18-24</v>
      </c>
      <c r="C873" s="1" t="s">
        <v>32</v>
      </c>
      <c r="D873" s="17">
        <f>IF(Table1[[#This Row],[Attrition]]="Yes",1,0)</f>
        <v>1</v>
      </c>
      <c r="E873" t="s">
        <v>57</v>
      </c>
      <c r="F873" s="2">
        <v>984</v>
      </c>
      <c r="G873" t="s">
        <v>39</v>
      </c>
      <c r="H873">
        <v>17</v>
      </c>
      <c r="I873">
        <v>2</v>
      </c>
      <c r="J873" t="str">
        <f t="shared" si="27"/>
        <v>College</v>
      </c>
      <c r="K873" t="s">
        <v>34</v>
      </c>
      <c r="L873">
        <v>4</v>
      </c>
      <c r="M873" t="s">
        <v>35</v>
      </c>
      <c r="N873" s="2">
        <v>97</v>
      </c>
      <c r="O873">
        <v>3</v>
      </c>
      <c r="P873">
        <v>1</v>
      </c>
      <c r="Q873" t="s">
        <v>44</v>
      </c>
      <c r="R873">
        <v>2</v>
      </c>
      <c r="S873" t="s">
        <v>42</v>
      </c>
      <c r="T873" s="2">
        <v>2210</v>
      </c>
      <c r="U873" s="2">
        <v>3372</v>
      </c>
      <c r="V873">
        <v>1</v>
      </c>
      <c r="W873" t="s">
        <v>38</v>
      </c>
      <c r="X873">
        <v>13</v>
      </c>
      <c r="Y873">
        <v>3</v>
      </c>
      <c r="Z873">
        <v>1</v>
      </c>
      <c r="AA873">
        <v>80</v>
      </c>
      <c r="AB873">
        <v>1</v>
      </c>
      <c r="AC873">
        <v>1</v>
      </c>
      <c r="AD873">
        <v>3</v>
      </c>
      <c r="AE873">
        <v>1</v>
      </c>
      <c r="AF873">
        <v>1</v>
      </c>
      <c r="AG873">
        <v>0</v>
      </c>
      <c r="AH873">
        <v>0</v>
      </c>
      <c r="AI873">
        <v>0</v>
      </c>
    </row>
    <row r="874" spans="1:35" x14ac:dyDescent="0.25">
      <c r="A874">
        <v>33</v>
      </c>
      <c r="B874" t="str">
        <f t="shared" si="26"/>
        <v>25-34</v>
      </c>
      <c r="C874" s="1" t="s">
        <v>38</v>
      </c>
      <c r="D874" s="17">
        <f>IF(Table1[[#This Row],[Attrition]]="Yes",1,0)</f>
        <v>0</v>
      </c>
      <c r="E874" t="s">
        <v>58</v>
      </c>
      <c r="F874" s="2">
        <v>1146</v>
      </c>
      <c r="G874" t="s">
        <v>33</v>
      </c>
      <c r="H874">
        <v>25</v>
      </c>
      <c r="I874">
        <v>3</v>
      </c>
      <c r="J874" t="str">
        <f t="shared" si="27"/>
        <v>Bachelor</v>
      </c>
      <c r="K874" t="s">
        <v>45</v>
      </c>
      <c r="L874">
        <v>2</v>
      </c>
      <c r="M874" t="s">
        <v>35</v>
      </c>
      <c r="N874" s="2">
        <v>82</v>
      </c>
      <c r="O874">
        <v>3</v>
      </c>
      <c r="P874">
        <v>2</v>
      </c>
      <c r="Q874" t="s">
        <v>36</v>
      </c>
      <c r="R874">
        <v>3</v>
      </c>
      <c r="S874" t="s">
        <v>42</v>
      </c>
      <c r="T874" s="2">
        <v>4539</v>
      </c>
      <c r="U874" s="2">
        <v>4905</v>
      </c>
      <c r="V874">
        <v>1</v>
      </c>
      <c r="W874" t="s">
        <v>38</v>
      </c>
      <c r="X874">
        <v>12</v>
      </c>
      <c r="Y874">
        <v>3</v>
      </c>
      <c r="Z874">
        <v>1</v>
      </c>
      <c r="AA874">
        <v>80</v>
      </c>
      <c r="AB874">
        <v>1</v>
      </c>
      <c r="AC874">
        <v>10</v>
      </c>
      <c r="AD874">
        <v>3</v>
      </c>
      <c r="AE874">
        <v>2</v>
      </c>
      <c r="AF874">
        <v>10</v>
      </c>
      <c r="AG874">
        <v>7</v>
      </c>
      <c r="AH874">
        <v>0</v>
      </c>
      <c r="AI874">
        <v>1</v>
      </c>
    </row>
    <row r="875" spans="1:35" x14ac:dyDescent="0.25">
      <c r="A875">
        <v>36</v>
      </c>
      <c r="B875" t="str">
        <f t="shared" si="26"/>
        <v>35-44</v>
      </c>
      <c r="C875" s="1" t="s">
        <v>38</v>
      </c>
      <c r="D875" s="17">
        <f>IF(Table1[[#This Row],[Attrition]]="Yes",1,0)</f>
        <v>0</v>
      </c>
      <c r="E875" t="s">
        <v>57</v>
      </c>
      <c r="F875" s="2">
        <v>917</v>
      </c>
      <c r="G875" t="s">
        <v>39</v>
      </c>
      <c r="H875">
        <v>6</v>
      </c>
      <c r="I875">
        <v>4</v>
      </c>
      <c r="J875" t="str">
        <f t="shared" si="27"/>
        <v>Master</v>
      </c>
      <c r="K875" t="s">
        <v>34</v>
      </c>
      <c r="L875">
        <v>3</v>
      </c>
      <c r="M875" t="s">
        <v>40</v>
      </c>
      <c r="N875" s="2">
        <v>60</v>
      </c>
      <c r="O875">
        <v>1</v>
      </c>
      <c r="P875">
        <v>1</v>
      </c>
      <c r="Q875" t="s">
        <v>44</v>
      </c>
      <c r="R875">
        <v>3</v>
      </c>
      <c r="S875" t="s">
        <v>46</v>
      </c>
      <c r="T875" s="2">
        <v>2741</v>
      </c>
      <c r="U875" s="2">
        <v>6865</v>
      </c>
      <c r="V875">
        <v>1</v>
      </c>
      <c r="W875" t="s">
        <v>38</v>
      </c>
      <c r="X875">
        <v>14</v>
      </c>
      <c r="Y875">
        <v>3</v>
      </c>
      <c r="Z875">
        <v>3</v>
      </c>
      <c r="AA875">
        <v>80</v>
      </c>
      <c r="AB875">
        <v>1</v>
      </c>
      <c r="AC875">
        <v>7</v>
      </c>
      <c r="AD875">
        <v>4</v>
      </c>
      <c r="AE875">
        <v>3</v>
      </c>
      <c r="AF875">
        <v>7</v>
      </c>
      <c r="AG875">
        <v>7</v>
      </c>
      <c r="AH875">
        <v>1</v>
      </c>
      <c r="AI875">
        <v>7</v>
      </c>
    </row>
    <row r="876" spans="1:35" x14ac:dyDescent="0.25">
      <c r="A876">
        <v>30</v>
      </c>
      <c r="B876" t="str">
        <f t="shared" si="26"/>
        <v>25-34</v>
      </c>
      <c r="C876" s="1" t="s">
        <v>38</v>
      </c>
      <c r="D876" s="17">
        <f>IF(Table1[[#This Row],[Attrition]]="Yes",1,0)</f>
        <v>0</v>
      </c>
      <c r="E876" t="s">
        <v>57</v>
      </c>
      <c r="F876" s="2">
        <v>853</v>
      </c>
      <c r="G876" t="s">
        <v>39</v>
      </c>
      <c r="H876">
        <v>7</v>
      </c>
      <c r="I876">
        <v>4</v>
      </c>
      <c r="J876" t="str">
        <f t="shared" si="27"/>
        <v>Master</v>
      </c>
      <c r="K876" t="s">
        <v>34</v>
      </c>
      <c r="L876">
        <v>3</v>
      </c>
      <c r="M876" t="s">
        <v>40</v>
      </c>
      <c r="N876" s="2">
        <v>49</v>
      </c>
      <c r="O876">
        <v>3</v>
      </c>
      <c r="P876">
        <v>2</v>
      </c>
      <c r="Q876" t="s">
        <v>44</v>
      </c>
      <c r="R876">
        <v>3</v>
      </c>
      <c r="S876" t="s">
        <v>46</v>
      </c>
      <c r="T876" s="2">
        <v>3491</v>
      </c>
      <c r="U876" s="2">
        <v>11309</v>
      </c>
      <c r="V876">
        <v>1</v>
      </c>
      <c r="W876" t="s">
        <v>38</v>
      </c>
      <c r="X876">
        <v>13</v>
      </c>
      <c r="Y876">
        <v>3</v>
      </c>
      <c r="Z876">
        <v>1</v>
      </c>
      <c r="AA876">
        <v>80</v>
      </c>
      <c r="AB876">
        <v>3</v>
      </c>
      <c r="AC876">
        <v>10</v>
      </c>
      <c r="AD876">
        <v>4</v>
      </c>
      <c r="AE876">
        <v>2</v>
      </c>
      <c r="AF876">
        <v>10</v>
      </c>
      <c r="AG876">
        <v>7</v>
      </c>
      <c r="AH876">
        <v>8</v>
      </c>
      <c r="AI876">
        <v>9</v>
      </c>
    </row>
    <row r="877" spans="1:35" x14ac:dyDescent="0.25">
      <c r="A877">
        <v>44</v>
      </c>
      <c r="B877" t="str">
        <f t="shared" si="26"/>
        <v>35-44</v>
      </c>
      <c r="C877" s="1" t="s">
        <v>38</v>
      </c>
      <c r="D877" s="17">
        <f>IF(Table1[[#This Row],[Attrition]]="Yes",1,0)</f>
        <v>0</v>
      </c>
      <c r="E877" t="s">
        <v>57</v>
      </c>
      <c r="F877" s="2">
        <v>200</v>
      </c>
      <c r="G877" t="s">
        <v>39</v>
      </c>
      <c r="H877">
        <v>29</v>
      </c>
      <c r="I877">
        <v>4</v>
      </c>
      <c r="J877" t="str">
        <f t="shared" si="27"/>
        <v>Master</v>
      </c>
      <c r="K877" t="s">
        <v>43</v>
      </c>
      <c r="L877">
        <v>4</v>
      </c>
      <c r="M877" t="s">
        <v>40</v>
      </c>
      <c r="N877" s="2">
        <v>32</v>
      </c>
      <c r="O877">
        <v>3</v>
      </c>
      <c r="P877">
        <v>2</v>
      </c>
      <c r="Q877" t="s">
        <v>41</v>
      </c>
      <c r="R877">
        <v>4</v>
      </c>
      <c r="S877" t="s">
        <v>37</v>
      </c>
      <c r="T877" s="2">
        <v>4541</v>
      </c>
      <c r="U877" s="2">
        <v>7744</v>
      </c>
      <c r="V877">
        <v>1</v>
      </c>
      <c r="W877" t="s">
        <v>38</v>
      </c>
      <c r="X877">
        <v>25</v>
      </c>
      <c r="Y877">
        <v>4</v>
      </c>
      <c r="Z877">
        <v>2</v>
      </c>
      <c r="AA877">
        <v>80</v>
      </c>
      <c r="AB877">
        <v>0</v>
      </c>
      <c r="AC877">
        <v>20</v>
      </c>
      <c r="AD877">
        <v>3</v>
      </c>
      <c r="AE877">
        <v>3</v>
      </c>
      <c r="AF877">
        <v>20</v>
      </c>
      <c r="AG877">
        <v>11</v>
      </c>
      <c r="AH877">
        <v>13</v>
      </c>
      <c r="AI877">
        <v>17</v>
      </c>
    </row>
    <row r="878" spans="1:35" x14ac:dyDescent="0.25">
      <c r="A878">
        <v>20</v>
      </c>
      <c r="B878" t="str">
        <f t="shared" si="26"/>
        <v>18-24</v>
      </c>
      <c r="C878" s="1" t="s">
        <v>38</v>
      </c>
      <c r="D878" s="17">
        <f>IF(Table1[[#This Row],[Attrition]]="Yes",1,0)</f>
        <v>0</v>
      </c>
      <c r="E878" t="s">
        <v>57</v>
      </c>
      <c r="F878" s="2">
        <v>654</v>
      </c>
      <c r="G878" t="s">
        <v>33</v>
      </c>
      <c r="H878">
        <v>21</v>
      </c>
      <c r="I878">
        <v>3</v>
      </c>
      <c r="J878" t="str">
        <f t="shared" si="27"/>
        <v>Bachelor</v>
      </c>
      <c r="K878" t="s">
        <v>53</v>
      </c>
      <c r="L878">
        <v>3</v>
      </c>
      <c r="M878" t="s">
        <v>40</v>
      </c>
      <c r="N878" s="2">
        <v>43</v>
      </c>
      <c r="O878">
        <v>4</v>
      </c>
      <c r="P878">
        <v>1</v>
      </c>
      <c r="Q878" t="s">
        <v>51</v>
      </c>
      <c r="R878">
        <v>4</v>
      </c>
      <c r="S878" t="s">
        <v>37</v>
      </c>
      <c r="T878" s="2">
        <v>2678</v>
      </c>
      <c r="U878" s="2">
        <v>5050</v>
      </c>
      <c r="V878">
        <v>1</v>
      </c>
      <c r="W878" t="s">
        <v>38</v>
      </c>
      <c r="X878">
        <v>17</v>
      </c>
      <c r="Y878">
        <v>3</v>
      </c>
      <c r="Z878">
        <v>4</v>
      </c>
      <c r="AA878">
        <v>80</v>
      </c>
      <c r="AB878">
        <v>0</v>
      </c>
      <c r="AC878">
        <v>2</v>
      </c>
      <c r="AD878">
        <v>2</v>
      </c>
      <c r="AE878">
        <v>3</v>
      </c>
      <c r="AF878">
        <v>2</v>
      </c>
      <c r="AG878">
        <v>1</v>
      </c>
      <c r="AH878">
        <v>2</v>
      </c>
      <c r="AI878">
        <v>2</v>
      </c>
    </row>
    <row r="879" spans="1:35" x14ac:dyDescent="0.25">
      <c r="A879">
        <v>46</v>
      </c>
      <c r="B879" t="str">
        <f t="shared" si="26"/>
        <v>45-54</v>
      </c>
      <c r="C879" s="1" t="s">
        <v>38</v>
      </c>
      <c r="D879" s="17">
        <f>IF(Table1[[#This Row],[Attrition]]="Yes",1,0)</f>
        <v>0</v>
      </c>
      <c r="E879" t="s">
        <v>57</v>
      </c>
      <c r="F879" s="2">
        <v>150</v>
      </c>
      <c r="G879" t="s">
        <v>39</v>
      </c>
      <c r="H879">
        <v>2</v>
      </c>
      <c r="I879">
        <v>4</v>
      </c>
      <c r="J879" t="str">
        <f t="shared" si="27"/>
        <v>Master</v>
      </c>
      <c r="K879" t="s">
        <v>54</v>
      </c>
      <c r="L879">
        <v>4</v>
      </c>
      <c r="M879" t="s">
        <v>40</v>
      </c>
      <c r="N879" s="2">
        <v>60</v>
      </c>
      <c r="O879">
        <v>3</v>
      </c>
      <c r="P879">
        <v>2</v>
      </c>
      <c r="Q879" t="s">
        <v>47</v>
      </c>
      <c r="R879">
        <v>4</v>
      </c>
      <c r="S879" t="s">
        <v>46</v>
      </c>
      <c r="T879" s="2">
        <v>7379</v>
      </c>
      <c r="U879" s="2">
        <v>17433</v>
      </c>
      <c r="V879">
        <v>2</v>
      </c>
      <c r="W879" t="s">
        <v>38</v>
      </c>
      <c r="X879">
        <v>11</v>
      </c>
      <c r="Y879">
        <v>3</v>
      </c>
      <c r="Z879">
        <v>3</v>
      </c>
      <c r="AA879">
        <v>80</v>
      </c>
      <c r="AB879">
        <v>1</v>
      </c>
      <c r="AC879">
        <v>12</v>
      </c>
      <c r="AD879">
        <v>3</v>
      </c>
      <c r="AE879">
        <v>2</v>
      </c>
      <c r="AF879">
        <v>6</v>
      </c>
      <c r="AG879">
        <v>3</v>
      </c>
      <c r="AH879">
        <v>1</v>
      </c>
      <c r="AI879">
        <v>4</v>
      </c>
    </row>
    <row r="880" spans="1:35" x14ac:dyDescent="0.25">
      <c r="A880">
        <v>42</v>
      </c>
      <c r="B880" t="str">
        <f t="shared" si="26"/>
        <v>35-44</v>
      </c>
      <c r="C880" s="1" t="s">
        <v>38</v>
      </c>
      <c r="D880" s="17">
        <f>IF(Table1[[#This Row],[Attrition]]="Yes",1,0)</f>
        <v>0</v>
      </c>
      <c r="E880" t="s">
        <v>49</v>
      </c>
      <c r="F880" s="2">
        <v>179</v>
      </c>
      <c r="G880" t="s">
        <v>55</v>
      </c>
      <c r="H880">
        <v>2</v>
      </c>
      <c r="I880">
        <v>5</v>
      </c>
      <c r="J880" t="str">
        <f t="shared" si="27"/>
        <v>Doctor</v>
      </c>
      <c r="K880" t="s">
        <v>45</v>
      </c>
      <c r="L880">
        <v>4</v>
      </c>
      <c r="M880" t="s">
        <v>40</v>
      </c>
      <c r="N880" s="2">
        <v>79</v>
      </c>
      <c r="O880">
        <v>4</v>
      </c>
      <c r="P880">
        <v>2</v>
      </c>
      <c r="Q880" t="s">
        <v>55</v>
      </c>
      <c r="R880">
        <v>1</v>
      </c>
      <c r="S880" t="s">
        <v>42</v>
      </c>
      <c r="T880" s="2">
        <v>6272</v>
      </c>
      <c r="U880" s="2">
        <v>12858</v>
      </c>
      <c r="V880">
        <v>7</v>
      </c>
      <c r="W880" t="s">
        <v>38</v>
      </c>
      <c r="X880">
        <v>16</v>
      </c>
      <c r="Y880">
        <v>3</v>
      </c>
      <c r="Z880">
        <v>1</v>
      </c>
      <c r="AA880">
        <v>80</v>
      </c>
      <c r="AB880">
        <v>1</v>
      </c>
      <c r="AC880">
        <v>10</v>
      </c>
      <c r="AD880">
        <v>3</v>
      </c>
      <c r="AE880">
        <v>4</v>
      </c>
      <c r="AF880">
        <v>4</v>
      </c>
      <c r="AG880">
        <v>3</v>
      </c>
      <c r="AH880">
        <v>0</v>
      </c>
      <c r="AI880">
        <v>3</v>
      </c>
    </row>
    <row r="881" spans="1:35" x14ac:dyDescent="0.25">
      <c r="A881">
        <v>60</v>
      </c>
      <c r="B881" t="str">
        <f t="shared" si="26"/>
        <v>55-64</v>
      </c>
      <c r="C881" s="1" t="s">
        <v>38</v>
      </c>
      <c r="D881" s="17">
        <f>IF(Table1[[#This Row],[Attrition]]="Yes",1,0)</f>
        <v>0</v>
      </c>
      <c r="E881" t="s">
        <v>57</v>
      </c>
      <c r="F881" s="2">
        <v>696</v>
      </c>
      <c r="G881" t="s">
        <v>33</v>
      </c>
      <c r="H881">
        <v>7</v>
      </c>
      <c r="I881">
        <v>4</v>
      </c>
      <c r="J881" t="str">
        <f t="shared" si="27"/>
        <v>Master</v>
      </c>
      <c r="K881" t="s">
        <v>53</v>
      </c>
      <c r="L881">
        <v>2</v>
      </c>
      <c r="M881" t="s">
        <v>40</v>
      </c>
      <c r="N881" s="2">
        <v>52</v>
      </c>
      <c r="O881">
        <v>4</v>
      </c>
      <c r="P881">
        <v>2</v>
      </c>
      <c r="Q881" t="s">
        <v>36</v>
      </c>
      <c r="R881">
        <v>4</v>
      </c>
      <c r="S881" t="s">
        <v>46</v>
      </c>
      <c r="T881" s="2">
        <v>5220</v>
      </c>
      <c r="U881" s="2">
        <v>10893</v>
      </c>
      <c r="V881">
        <v>0</v>
      </c>
      <c r="W881" t="s">
        <v>32</v>
      </c>
      <c r="X881">
        <v>18</v>
      </c>
      <c r="Y881">
        <v>3</v>
      </c>
      <c r="Z881">
        <v>2</v>
      </c>
      <c r="AA881">
        <v>80</v>
      </c>
      <c r="AB881">
        <v>1</v>
      </c>
      <c r="AC881">
        <v>12</v>
      </c>
      <c r="AD881">
        <v>3</v>
      </c>
      <c r="AE881">
        <v>3</v>
      </c>
      <c r="AF881">
        <v>11</v>
      </c>
      <c r="AG881">
        <v>7</v>
      </c>
      <c r="AH881">
        <v>1</v>
      </c>
      <c r="AI881">
        <v>9</v>
      </c>
    </row>
    <row r="882" spans="1:35" x14ac:dyDescent="0.25">
      <c r="A882">
        <v>32</v>
      </c>
      <c r="B882" t="str">
        <f t="shared" si="26"/>
        <v>25-34</v>
      </c>
      <c r="C882" s="1" t="s">
        <v>38</v>
      </c>
      <c r="D882" s="17">
        <f>IF(Table1[[#This Row],[Attrition]]="Yes",1,0)</f>
        <v>0</v>
      </c>
      <c r="E882" t="s">
        <v>58</v>
      </c>
      <c r="F882" s="2">
        <v>116</v>
      </c>
      <c r="G882" t="s">
        <v>39</v>
      </c>
      <c r="H882">
        <v>13</v>
      </c>
      <c r="I882">
        <v>3</v>
      </c>
      <c r="J882" t="str">
        <f t="shared" si="27"/>
        <v>Bachelor</v>
      </c>
      <c r="K882" t="s">
        <v>43</v>
      </c>
      <c r="L882">
        <v>3</v>
      </c>
      <c r="M882" t="s">
        <v>35</v>
      </c>
      <c r="N882" s="2">
        <v>77</v>
      </c>
      <c r="O882">
        <v>2</v>
      </c>
      <c r="P882">
        <v>1</v>
      </c>
      <c r="Q882" t="s">
        <v>44</v>
      </c>
      <c r="R882">
        <v>2</v>
      </c>
      <c r="S882" t="s">
        <v>42</v>
      </c>
      <c r="T882" s="2">
        <v>2743</v>
      </c>
      <c r="U882" s="2">
        <v>7331</v>
      </c>
      <c r="V882">
        <v>1</v>
      </c>
      <c r="W882" t="s">
        <v>38</v>
      </c>
      <c r="X882">
        <v>20</v>
      </c>
      <c r="Y882">
        <v>4</v>
      </c>
      <c r="Z882">
        <v>3</v>
      </c>
      <c r="AA882">
        <v>80</v>
      </c>
      <c r="AB882">
        <v>1</v>
      </c>
      <c r="AC882">
        <v>2</v>
      </c>
      <c r="AD882">
        <v>2</v>
      </c>
      <c r="AE882">
        <v>3</v>
      </c>
      <c r="AF882">
        <v>2</v>
      </c>
      <c r="AG882">
        <v>2</v>
      </c>
      <c r="AH882">
        <v>2</v>
      </c>
      <c r="AI882">
        <v>2</v>
      </c>
    </row>
    <row r="883" spans="1:35" x14ac:dyDescent="0.25">
      <c r="A883">
        <v>32</v>
      </c>
      <c r="B883" t="str">
        <f t="shared" si="26"/>
        <v>25-34</v>
      </c>
      <c r="C883" s="1" t="s">
        <v>38</v>
      </c>
      <c r="D883" s="17">
        <f>IF(Table1[[#This Row],[Attrition]]="Yes",1,0)</f>
        <v>0</v>
      </c>
      <c r="E883" t="s">
        <v>58</v>
      </c>
      <c r="F883" s="2">
        <v>1316</v>
      </c>
      <c r="G883" t="s">
        <v>39</v>
      </c>
      <c r="H883">
        <v>2</v>
      </c>
      <c r="I883">
        <v>2</v>
      </c>
      <c r="J883" t="str">
        <f t="shared" si="27"/>
        <v>College</v>
      </c>
      <c r="K883" t="s">
        <v>34</v>
      </c>
      <c r="L883">
        <v>4</v>
      </c>
      <c r="M883" t="s">
        <v>35</v>
      </c>
      <c r="N883" s="2">
        <v>38</v>
      </c>
      <c r="O883">
        <v>3</v>
      </c>
      <c r="P883">
        <v>2</v>
      </c>
      <c r="Q883" t="s">
        <v>41</v>
      </c>
      <c r="R883">
        <v>3</v>
      </c>
      <c r="S883" t="s">
        <v>37</v>
      </c>
      <c r="T883" s="2">
        <v>4998</v>
      </c>
      <c r="U883" s="2">
        <v>2338</v>
      </c>
      <c r="V883">
        <v>4</v>
      </c>
      <c r="W883" t="s">
        <v>32</v>
      </c>
      <c r="X883">
        <v>14</v>
      </c>
      <c r="Y883">
        <v>3</v>
      </c>
      <c r="Z883">
        <v>4</v>
      </c>
      <c r="AA883">
        <v>80</v>
      </c>
      <c r="AB883">
        <v>0</v>
      </c>
      <c r="AC883">
        <v>10</v>
      </c>
      <c r="AD883">
        <v>2</v>
      </c>
      <c r="AE883">
        <v>3</v>
      </c>
      <c r="AF883">
        <v>8</v>
      </c>
      <c r="AG883">
        <v>7</v>
      </c>
      <c r="AH883">
        <v>0</v>
      </c>
      <c r="AI883">
        <v>7</v>
      </c>
    </row>
    <row r="884" spans="1:35" x14ac:dyDescent="0.25">
      <c r="A884">
        <v>36</v>
      </c>
      <c r="B884" t="str">
        <f t="shared" si="26"/>
        <v>35-44</v>
      </c>
      <c r="C884" s="1" t="s">
        <v>38</v>
      </c>
      <c r="D884" s="17">
        <f>IF(Table1[[#This Row],[Attrition]]="Yes",1,0)</f>
        <v>0</v>
      </c>
      <c r="E884" t="s">
        <v>57</v>
      </c>
      <c r="F884" s="2">
        <v>363</v>
      </c>
      <c r="G884" t="s">
        <v>39</v>
      </c>
      <c r="H884">
        <v>1</v>
      </c>
      <c r="I884">
        <v>3</v>
      </c>
      <c r="J884" t="str">
        <f t="shared" si="27"/>
        <v>Bachelor</v>
      </c>
      <c r="K884" t="s">
        <v>54</v>
      </c>
      <c r="L884">
        <v>3</v>
      </c>
      <c r="M884" t="s">
        <v>35</v>
      </c>
      <c r="N884" s="2">
        <v>77</v>
      </c>
      <c r="O884">
        <v>1</v>
      </c>
      <c r="P884">
        <v>3</v>
      </c>
      <c r="Q884" t="s">
        <v>47</v>
      </c>
      <c r="R884">
        <v>1</v>
      </c>
      <c r="S884" t="s">
        <v>46</v>
      </c>
      <c r="T884" s="2">
        <v>10252</v>
      </c>
      <c r="U884" s="2">
        <v>4235</v>
      </c>
      <c r="V884">
        <v>2</v>
      </c>
      <c r="W884" t="s">
        <v>32</v>
      </c>
      <c r="X884">
        <v>21</v>
      </c>
      <c r="Y884">
        <v>4</v>
      </c>
      <c r="Z884">
        <v>3</v>
      </c>
      <c r="AA884">
        <v>80</v>
      </c>
      <c r="AB884">
        <v>1</v>
      </c>
      <c r="AC884">
        <v>17</v>
      </c>
      <c r="AD884">
        <v>2</v>
      </c>
      <c r="AE884">
        <v>3</v>
      </c>
      <c r="AF884">
        <v>7</v>
      </c>
      <c r="AG884">
        <v>7</v>
      </c>
      <c r="AH884">
        <v>7</v>
      </c>
      <c r="AI884">
        <v>7</v>
      </c>
    </row>
    <row r="885" spans="1:35" x14ac:dyDescent="0.25">
      <c r="A885">
        <v>33</v>
      </c>
      <c r="B885" t="str">
        <f t="shared" si="26"/>
        <v>25-34</v>
      </c>
      <c r="C885" s="1" t="s">
        <v>38</v>
      </c>
      <c r="D885" s="17">
        <f>IF(Table1[[#This Row],[Attrition]]="Yes",1,0)</f>
        <v>0</v>
      </c>
      <c r="E885" t="s">
        <v>57</v>
      </c>
      <c r="F885" s="2">
        <v>117</v>
      </c>
      <c r="G885" t="s">
        <v>39</v>
      </c>
      <c r="H885">
        <v>9</v>
      </c>
      <c r="I885">
        <v>3</v>
      </c>
      <c r="J885" t="str">
        <f t="shared" si="27"/>
        <v>Bachelor</v>
      </c>
      <c r="K885" t="s">
        <v>45</v>
      </c>
      <c r="L885">
        <v>1</v>
      </c>
      <c r="M885" t="s">
        <v>40</v>
      </c>
      <c r="N885" s="2">
        <v>60</v>
      </c>
      <c r="O885">
        <v>3</v>
      </c>
      <c r="P885">
        <v>1</v>
      </c>
      <c r="Q885" t="s">
        <v>41</v>
      </c>
      <c r="R885">
        <v>4</v>
      </c>
      <c r="S885" t="s">
        <v>42</v>
      </c>
      <c r="T885" s="2">
        <v>2781</v>
      </c>
      <c r="U885" s="2">
        <v>6311</v>
      </c>
      <c r="V885">
        <v>0</v>
      </c>
      <c r="W885" t="s">
        <v>38</v>
      </c>
      <c r="X885">
        <v>13</v>
      </c>
      <c r="Y885">
        <v>3</v>
      </c>
      <c r="Z885">
        <v>2</v>
      </c>
      <c r="AA885">
        <v>80</v>
      </c>
      <c r="AB885">
        <v>1</v>
      </c>
      <c r="AC885">
        <v>15</v>
      </c>
      <c r="AD885">
        <v>5</v>
      </c>
      <c r="AE885">
        <v>3</v>
      </c>
      <c r="AF885">
        <v>14</v>
      </c>
      <c r="AG885">
        <v>10</v>
      </c>
      <c r="AH885">
        <v>4</v>
      </c>
      <c r="AI885">
        <v>10</v>
      </c>
    </row>
    <row r="886" spans="1:35" x14ac:dyDescent="0.25">
      <c r="A886">
        <v>40</v>
      </c>
      <c r="B886" t="str">
        <f t="shared" si="26"/>
        <v>35-44</v>
      </c>
      <c r="C886" s="1" t="s">
        <v>38</v>
      </c>
      <c r="D886" s="17">
        <f>IF(Table1[[#This Row],[Attrition]]="Yes",1,0)</f>
        <v>0</v>
      </c>
      <c r="E886" t="s">
        <v>57</v>
      </c>
      <c r="F886" s="2">
        <v>107</v>
      </c>
      <c r="G886" t="s">
        <v>33</v>
      </c>
      <c r="H886">
        <v>10</v>
      </c>
      <c r="I886">
        <v>3</v>
      </c>
      <c r="J886" t="str">
        <f t="shared" si="27"/>
        <v>Bachelor</v>
      </c>
      <c r="K886" t="s">
        <v>54</v>
      </c>
      <c r="L886">
        <v>2</v>
      </c>
      <c r="M886" t="s">
        <v>35</v>
      </c>
      <c r="N886" s="2">
        <v>84</v>
      </c>
      <c r="O886">
        <v>2</v>
      </c>
      <c r="P886">
        <v>2</v>
      </c>
      <c r="Q886" t="s">
        <v>36</v>
      </c>
      <c r="R886">
        <v>2</v>
      </c>
      <c r="S886" t="s">
        <v>46</v>
      </c>
      <c r="T886" s="2">
        <v>6852</v>
      </c>
      <c r="U886" s="2">
        <v>11591</v>
      </c>
      <c r="V886">
        <v>7</v>
      </c>
      <c r="W886" t="s">
        <v>38</v>
      </c>
      <c r="X886">
        <v>12</v>
      </c>
      <c r="Y886">
        <v>3</v>
      </c>
      <c r="Z886">
        <v>2</v>
      </c>
      <c r="AA886">
        <v>80</v>
      </c>
      <c r="AB886">
        <v>1</v>
      </c>
      <c r="AC886">
        <v>7</v>
      </c>
      <c r="AD886">
        <v>2</v>
      </c>
      <c r="AE886">
        <v>4</v>
      </c>
      <c r="AF886">
        <v>5</v>
      </c>
      <c r="AG886">
        <v>1</v>
      </c>
      <c r="AH886">
        <v>1</v>
      </c>
      <c r="AI886">
        <v>3</v>
      </c>
    </row>
    <row r="887" spans="1:35" x14ac:dyDescent="0.25">
      <c r="A887">
        <v>25</v>
      </c>
      <c r="B887" t="str">
        <f t="shared" si="26"/>
        <v>25-34</v>
      </c>
      <c r="C887" s="1" t="s">
        <v>38</v>
      </c>
      <c r="D887" s="17">
        <f>IF(Table1[[#This Row],[Attrition]]="Yes",1,0)</f>
        <v>0</v>
      </c>
      <c r="E887" t="s">
        <v>57</v>
      </c>
      <c r="F887" s="2">
        <v>1356</v>
      </c>
      <c r="G887" t="s">
        <v>33</v>
      </c>
      <c r="H887">
        <v>10</v>
      </c>
      <c r="I887">
        <v>4</v>
      </c>
      <c r="J887" t="str">
        <f t="shared" si="27"/>
        <v>Master</v>
      </c>
      <c r="K887" t="s">
        <v>34</v>
      </c>
      <c r="L887">
        <v>3</v>
      </c>
      <c r="M887" t="s">
        <v>40</v>
      </c>
      <c r="N887" s="2">
        <v>57</v>
      </c>
      <c r="O887">
        <v>3</v>
      </c>
      <c r="P887">
        <v>2</v>
      </c>
      <c r="Q887" t="s">
        <v>36</v>
      </c>
      <c r="R887">
        <v>4</v>
      </c>
      <c r="S887" t="s">
        <v>37</v>
      </c>
      <c r="T887" s="2">
        <v>4950</v>
      </c>
      <c r="U887" s="2">
        <v>20623</v>
      </c>
      <c r="V887">
        <v>0</v>
      </c>
      <c r="W887" t="s">
        <v>38</v>
      </c>
      <c r="X887">
        <v>14</v>
      </c>
      <c r="Y887">
        <v>3</v>
      </c>
      <c r="Z887">
        <v>2</v>
      </c>
      <c r="AA887">
        <v>80</v>
      </c>
      <c r="AB887">
        <v>0</v>
      </c>
      <c r="AC887">
        <v>5</v>
      </c>
      <c r="AD887">
        <v>4</v>
      </c>
      <c r="AE887">
        <v>3</v>
      </c>
      <c r="AF887">
        <v>4</v>
      </c>
      <c r="AG887">
        <v>3</v>
      </c>
      <c r="AH887">
        <v>1</v>
      </c>
      <c r="AI887">
        <v>1</v>
      </c>
    </row>
    <row r="888" spans="1:35" x14ac:dyDescent="0.25">
      <c r="A888">
        <v>30</v>
      </c>
      <c r="B888" t="str">
        <f t="shared" si="26"/>
        <v>25-34</v>
      </c>
      <c r="C888" s="1" t="s">
        <v>38</v>
      </c>
      <c r="D888" s="17">
        <f>IF(Table1[[#This Row],[Attrition]]="Yes",1,0)</f>
        <v>0</v>
      </c>
      <c r="E888" t="s">
        <v>57</v>
      </c>
      <c r="F888" s="2">
        <v>1465</v>
      </c>
      <c r="G888" t="s">
        <v>39</v>
      </c>
      <c r="H888">
        <v>1</v>
      </c>
      <c r="I888">
        <v>3</v>
      </c>
      <c r="J888" t="str">
        <f t="shared" si="27"/>
        <v>Bachelor</v>
      </c>
      <c r="K888" t="s">
        <v>45</v>
      </c>
      <c r="L888">
        <v>4</v>
      </c>
      <c r="M888" t="s">
        <v>40</v>
      </c>
      <c r="N888" s="2">
        <v>63</v>
      </c>
      <c r="O888">
        <v>3</v>
      </c>
      <c r="P888">
        <v>1</v>
      </c>
      <c r="Q888" t="s">
        <v>41</v>
      </c>
      <c r="R888">
        <v>2</v>
      </c>
      <c r="S888" t="s">
        <v>42</v>
      </c>
      <c r="T888" s="2">
        <v>3579</v>
      </c>
      <c r="U888" s="2">
        <v>9369</v>
      </c>
      <c r="V888">
        <v>0</v>
      </c>
      <c r="W888" t="s">
        <v>32</v>
      </c>
      <c r="X888">
        <v>21</v>
      </c>
      <c r="Y888">
        <v>4</v>
      </c>
      <c r="Z888">
        <v>1</v>
      </c>
      <c r="AA888">
        <v>80</v>
      </c>
      <c r="AB888">
        <v>1</v>
      </c>
      <c r="AC888">
        <v>12</v>
      </c>
      <c r="AD888">
        <v>2</v>
      </c>
      <c r="AE888">
        <v>3</v>
      </c>
      <c r="AF888">
        <v>11</v>
      </c>
      <c r="AG888">
        <v>9</v>
      </c>
      <c r="AH888">
        <v>5</v>
      </c>
      <c r="AI888">
        <v>7</v>
      </c>
    </row>
    <row r="889" spans="1:35" x14ac:dyDescent="0.25">
      <c r="A889">
        <v>42</v>
      </c>
      <c r="B889" t="str">
        <f t="shared" si="26"/>
        <v>35-44</v>
      </c>
      <c r="C889" s="1" t="s">
        <v>38</v>
      </c>
      <c r="D889" s="17">
        <f>IF(Table1[[#This Row],[Attrition]]="Yes",1,0)</f>
        <v>0</v>
      </c>
      <c r="E889" t="s">
        <v>58</v>
      </c>
      <c r="F889" s="2">
        <v>458</v>
      </c>
      <c r="G889" t="s">
        <v>39</v>
      </c>
      <c r="H889">
        <v>26</v>
      </c>
      <c r="I889">
        <v>5</v>
      </c>
      <c r="J889" t="str">
        <f t="shared" si="27"/>
        <v>Doctor</v>
      </c>
      <c r="K889" t="s">
        <v>45</v>
      </c>
      <c r="L889">
        <v>1</v>
      </c>
      <c r="M889" t="s">
        <v>35</v>
      </c>
      <c r="N889" s="2">
        <v>60</v>
      </c>
      <c r="O889">
        <v>3</v>
      </c>
      <c r="P889">
        <v>3</v>
      </c>
      <c r="Q889" t="s">
        <v>52</v>
      </c>
      <c r="R889">
        <v>1</v>
      </c>
      <c r="S889" t="s">
        <v>42</v>
      </c>
      <c r="T889" s="2">
        <v>13191</v>
      </c>
      <c r="U889" s="2">
        <v>23281</v>
      </c>
      <c r="V889">
        <v>3</v>
      </c>
      <c r="W889" t="s">
        <v>32</v>
      </c>
      <c r="X889">
        <v>17</v>
      </c>
      <c r="Y889">
        <v>3</v>
      </c>
      <c r="Z889">
        <v>3</v>
      </c>
      <c r="AA889">
        <v>80</v>
      </c>
      <c r="AB889">
        <v>0</v>
      </c>
      <c r="AC889">
        <v>20</v>
      </c>
      <c r="AD889">
        <v>6</v>
      </c>
      <c r="AE889">
        <v>3</v>
      </c>
      <c r="AF889">
        <v>1</v>
      </c>
      <c r="AG889">
        <v>0</v>
      </c>
      <c r="AH889">
        <v>0</v>
      </c>
      <c r="AI889">
        <v>0</v>
      </c>
    </row>
    <row r="890" spans="1:35" x14ac:dyDescent="0.25">
      <c r="A890">
        <v>35</v>
      </c>
      <c r="B890" t="str">
        <f t="shared" si="26"/>
        <v>35-44</v>
      </c>
      <c r="C890" s="1" t="s">
        <v>38</v>
      </c>
      <c r="D890" s="17">
        <f>IF(Table1[[#This Row],[Attrition]]="Yes",1,0)</f>
        <v>0</v>
      </c>
      <c r="E890" t="s">
        <v>49</v>
      </c>
      <c r="F890" s="2">
        <v>1212</v>
      </c>
      <c r="G890" t="s">
        <v>33</v>
      </c>
      <c r="H890">
        <v>8</v>
      </c>
      <c r="I890">
        <v>2</v>
      </c>
      <c r="J890" t="str">
        <f t="shared" si="27"/>
        <v>College</v>
      </c>
      <c r="K890" t="s">
        <v>53</v>
      </c>
      <c r="L890">
        <v>3</v>
      </c>
      <c r="M890" t="s">
        <v>35</v>
      </c>
      <c r="N890" s="2">
        <v>78</v>
      </c>
      <c r="O890">
        <v>2</v>
      </c>
      <c r="P890">
        <v>3</v>
      </c>
      <c r="Q890" t="s">
        <v>36</v>
      </c>
      <c r="R890">
        <v>4</v>
      </c>
      <c r="S890" t="s">
        <v>42</v>
      </c>
      <c r="T890" s="2">
        <v>10377</v>
      </c>
      <c r="U890" s="2">
        <v>13755</v>
      </c>
      <c r="V890">
        <v>4</v>
      </c>
      <c r="W890" t="s">
        <v>32</v>
      </c>
      <c r="X890">
        <v>11</v>
      </c>
      <c r="Y890">
        <v>3</v>
      </c>
      <c r="Z890">
        <v>2</v>
      </c>
      <c r="AA890">
        <v>80</v>
      </c>
      <c r="AB890">
        <v>1</v>
      </c>
      <c r="AC890">
        <v>16</v>
      </c>
      <c r="AD890">
        <v>6</v>
      </c>
      <c r="AE890">
        <v>2</v>
      </c>
      <c r="AF890">
        <v>13</v>
      </c>
      <c r="AG890">
        <v>2</v>
      </c>
      <c r="AH890">
        <v>4</v>
      </c>
      <c r="AI890">
        <v>12</v>
      </c>
    </row>
    <row r="891" spans="1:35" x14ac:dyDescent="0.25">
      <c r="A891">
        <v>27</v>
      </c>
      <c r="B891" t="str">
        <f t="shared" si="26"/>
        <v>25-34</v>
      </c>
      <c r="C891" s="1" t="s">
        <v>38</v>
      </c>
      <c r="D891" s="17">
        <f>IF(Table1[[#This Row],[Attrition]]="Yes",1,0)</f>
        <v>0</v>
      </c>
      <c r="E891" t="s">
        <v>57</v>
      </c>
      <c r="F891" s="2">
        <v>1103</v>
      </c>
      <c r="G891" t="s">
        <v>39</v>
      </c>
      <c r="H891">
        <v>14</v>
      </c>
      <c r="I891">
        <v>3</v>
      </c>
      <c r="J891" t="str">
        <f t="shared" si="27"/>
        <v>Bachelor</v>
      </c>
      <c r="K891" t="s">
        <v>34</v>
      </c>
      <c r="L891">
        <v>1</v>
      </c>
      <c r="M891" t="s">
        <v>40</v>
      </c>
      <c r="N891" s="2">
        <v>42</v>
      </c>
      <c r="O891">
        <v>3</v>
      </c>
      <c r="P891">
        <v>1</v>
      </c>
      <c r="Q891" t="s">
        <v>41</v>
      </c>
      <c r="R891">
        <v>1</v>
      </c>
      <c r="S891" t="s">
        <v>42</v>
      </c>
      <c r="T891" s="2">
        <v>2235</v>
      </c>
      <c r="U891" s="2">
        <v>14377</v>
      </c>
      <c r="V891">
        <v>1</v>
      </c>
      <c r="W891" t="s">
        <v>32</v>
      </c>
      <c r="X891">
        <v>14</v>
      </c>
      <c r="Y891">
        <v>3</v>
      </c>
      <c r="Z891">
        <v>4</v>
      </c>
      <c r="AA891">
        <v>80</v>
      </c>
      <c r="AB891">
        <v>2</v>
      </c>
      <c r="AC891">
        <v>9</v>
      </c>
      <c r="AD891">
        <v>3</v>
      </c>
      <c r="AE891">
        <v>2</v>
      </c>
      <c r="AF891">
        <v>9</v>
      </c>
      <c r="AG891">
        <v>7</v>
      </c>
      <c r="AH891">
        <v>6</v>
      </c>
      <c r="AI891">
        <v>8</v>
      </c>
    </row>
    <row r="892" spans="1:35" x14ac:dyDescent="0.25">
      <c r="A892">
        <v>54</v>
      </c>
      <c r="B892" t="str">
        <f t="shared" si="26"/>
        <v>45-54</v>
      </c>
      <c r="C892" s="1" t="s">
        <v>38</v>
      </c>
      <c r="D892" s="17">
        <f>IF(Table1[[#This Row],[Attrition]]="Yes",1,0)</f>
        <v>0</v>
      </c>
      <c r="E892" t="s">
        <v>58</v>
      </c>
      <c r="F892" s="2">
        <v>966</v>
      </c>
      <c r="G892" t="s">
        <v>39</v>
      </c>
      <c r="H892">
        <v>1</v>
      </c>
      <c r="I892">
        <v>4</v>
      </c>
      <c r="J892" t="str">
        <f t="shared" si="27"/>
        <v>Master</v>
      </c>
      <c r="K892" t="s">
        <v>34</v>
      </c>
      <c r="L892">
        <v>4</v>
      </c>
      <c r="M892" t="s">
        <v>35</v>
      </c>
      <c r="N892" s="2">
        <v>53</v>
      </c>
      <c r="O892">
        <v>3</v>
      </c>
      <c r="P892">
        <v>3</v>
      </c>
      <c r="Q892" t="s">
        <v>47</v>
      </c>
      <c r="R892">
        <v>3</v>
      </c>
      <c r="S892" t="s">
        <v>46</v>
      </c>
      <c r="T892" s="2">
        <v>10502</v>
      </c>
      <c r="U892" s="2">
        <v>9659</v>
      </c>
      <c r="V892">
        <v>7</v>
      </c>
      <c r="W892" t="s">
        <v>38</v>
      </c>
      <c r="X892">
        <v>17</v>
      </c>
      <c r="Y892">
        <v>3</v>
      </c>
      <c r="Z892">
        <v>1</v>
      </c>
      <c r="AA892">
        <v>80</v>
      </c>
      <c r="AB892">
        <v>1</v>
      </c>
      <c r="AC892">
        <v>33</v>
      </c>
      <c r="AD892">
        <v>2</v>
      </c>
      <c r="AE892">
        <v>1</v>
      </c>
      <c r="AF892">
        <v>5</v>
      </c>
      <c r="AG892">
        <v>4</v>
      </c>
      <c r="AH892">
        <v>1</v>
      </c>
      <c r="AI892">
        <v>4</v>
      </c>
    </row>
    <row r="893" spans="1:35" x14ac:dyDescent="0.25">
      <c r="A893">
        <v>44</v>
      </c>
      <c r="B893" t="str">
        <f t="shared" si="26"/>
        <v>35-44</v>
      </c>
      <c r="C893" s="1" t="s">
        <v>38</v>
      </c>
      <c r="D893" s="17">
        <f>IF(Table1[[#This Row],[Attrition]]="Yes",1,0)</f>
        <v>0</v>
      </c>
      <c r="E893" t="s">
        <v>57</v>
      </c>
      <c r="F893" s="2">
        <v>1117</v>
      </c>
      <c r="G893" t="s">
        <v>39</v>
      </c>
      <c r="H893">
        <v>2</v>
      </c>
      <c r="I893">
        <v>1</v>
      </c>
      <c r="J893" t="str">
        <f t="shared" si="27"/>
        <v>Below College</v>
      </c>
      <c r="K893" t="s">
        <v>34</v>
      </c>
      <c r="L893">
        <v>1</v>
      </c>
      <c r="M893" t="s">
        <v>35</v>
      </c>
      <c r="N893" s="2">
        <v>72</v>
      </c>
      <c r="O893">
        <v>4</v>
      </c>
      <c r="P893">
        <v>1</v>
      </c>
      <c r="Q893" t="s">
        <v>41</v>
      </c>
      <c r="R893">
        <v>4</v>
      </c>
      <c r="S893" t="s">
        <v>42</v>
      </c>
      <c r="T893" s="2">
        <v>2011</v>
      </c>
      <c r="U893" s="2">
        <v>19982</v>
      </c>
      <c r="V893">
        <v>1</v>
      </c>
      <c r="W893" t="s">
        <v>38</v>
      </c>
      <c r="X893">
        <v>13</v>
      </c>
      <c r="Y893">
        <v>3</v>
      </c>
      <c r="Z893">
        <v>4</v>
      </c>
      <c r="AA893">
        <v>80</v>
      </c>
      <c r="AB893">
        <v>1</v>
      </c>
      <c r="AC893">
        <v>10</v>
      </c>
      <c r="AD893">
        <v>5</v>
      </c>
      <c r="AE893">
        <v>3</v>
      </c>
      <c r="AF893">
        <v>10</v>
      </c>
      <c r="AG893">
        <v>5</v>
      </c>
      <c r="AH893">
        <v>7</v>
      </c>
      <c r="AI893">
        <v>7</v>
      </c>
    </row>
    <row r="894" spans="1:35" x14ac:dyDescent="0.25">
      <c r="A894">
        <v>19</v>
      </c>
      <c r="B894" t="str">
        <f t="shared" si="26"/>
        <v>18-24</v>
      </c>
      <c r="C894" s="1" t="s">
        <v>32</v>
      </c>
      <c r="D894" s="17">
        <f>IF(Table1[[#This Row],[Attrition]]="Yes",1,0)</f>
        <v>1</v>
      </c>
      <c r="E894" t="s">
        <v>49</v>
      </c>
      <c r="F894" s="2">
        <v>504</v>
      </c>
      <c r="G894" t="s">
        <v>39</v>
      </c>
      <c r="H894">
        <v>10</v>
      </c>
      <c r="I894">
        <v>3</v>
      </c>
      <c r="J894" t="str">
        <f t="shared" si="27"/>
        <v>Bachelor</v>
      </c>
      <c r="K894" t="s">
        <v>45</v>
      </c>
      <c r="L894">
        <v>1</v>
      </c>
      <c r="M894" t="s">
        <v>35</v>
      </c>
      <c r="N894" s="2">
        <v>96</v>
      </c>
      <c r="O894">
        <v>2</v>
      </c>
      <c r="P894">
        <v>1</v>
      </c>
      <c r="Q894" t="s">
        <v>41</v>
      </c>
      <c r="R894">
        <v>2</v>
      </c>
      <c r="S894" t="s">
        <v>37</v>
      </c>
      <c r="T894" s="2">
        <v>1859</v>
      </c>
      <c r="U894" s="2">
        <v>6148</v>
      </c>
      <c r="V894">
        <v>1</v>
      </c>
      <c r="W894" t="s">
        <v>32</v>
      </c>
      <c r="X894">
        <v>25</v>
      </c>
      <c r="Y894">
        <v>4</v>
      </c>
      <c r="Z894">
        <v>2</v>
      </c>
      <c r="AA894">
        <v>80</v>
      </c>
      <c r="AB894">
        <v>0</v>
      </c>
      <c r="AC894">
        <v>1</v>
      </c>
      <c r="AD894">
        <v>2</v>
      </c>
      <c r="AE894">
        <v>4</v>
      </c>
      <c r="AF894">
        <v>1</v>
      </c>
      <c r="AG894">
        <v>1</v>
      </c>
      <c r="AH894">
        <v>0</v>
      </c>
      <c r="AI894">
        <v>0</v>
      </c>
    </row>
    <row r="895" spans="1:35" x14ac:dyDescent="0.25">
      <c r="A895">
        <v>29</v>
      </c>
      <c r="B895" t="str">
        <f t="shared" si="26"/>
        <v>25-34</v>
      </c>
      <c r="C895" s="1" t="s">
        <v>38</v>
      </c>
      <c r="D895" s="17">
        <f>IF(Table1[[#This Row],[Attrition]]="Yes",1,0)</f>
        <v>0</v>
      </c>
      <c r="E895" t="s">
        <v>57</v>
      </c>
      <c r="F895" s="2">
        <v>1010</v>
      </c>
      <c r="G895" t="s">
        <v>39</v>
      </c>
      <c r="H895">
        <v>1</v>
      </c>
      <c r="I895">
        <v>3</v>
      </c>
      <c r="J895" t="str">
        <f t="shared" si="27"/>
        <v>Bachelor</v>
      </c>
      <c r="K895" t="s">
        <v>34</v>
      </c>
      <c r="L895">
        <v>1</v>
      </c>
      <c r="M895" t="s">
        <v>35</v>
      </c>
      <c r="N895" s="2">
        <v>97</v>
      </c>
      <c r="O895">
        <v>3</v>
      </c>
      <c r="P895">
        <v>1</v>
      </c>
      <c r="Q895" t="s">
        <v>41</v>
      </c>
      <c r="R895">
        <v>4</v>
      </c>
      <c r="S895" t="s">
        <v>46</v>
      </c>
      <c r="T895" s="2">
        <v>3760</v>
      </c>
      <c r="U895" s="2">
        <v>5598</v>
      </c>
      <c r="V895">
        <v>1</v>
      </c>
      <c r="W895" t="s">
        <v>38</v>
      </c>
      <c r="X895">
        <v>15</v>
      </c>
      <c r="Y895">
        <v>3</v>
      </c>
      <c r="Z895">
        <v>1</v>
      </c>
      <c r="AA895">
        <v>80</v>
      </c>
      <c r="AB895">
        <v>3</v>
      </c>
      <c r="AC895">
        <v>3</v>
      </c>
      <c r="AD895">
        <v>5</v>
      </c>
      <c r="AE895">
        <v>3</v>
      </c>
      <c r="AF895">
        <v>3</v>
      </c>
      <c r="AG895">
        <v>2</v>
      </c>
      <c r="AH895">
        <v>1</v>
      </c>
      <c r="AI895">
        <v>2</v>
      </c>
    </row>
    <row r="896" spans="1:35" x14ac:dyDescent="0.25">
      <c r="A896">
        <v>54</v>
      </c>
      <c r="B896" t="str">
        <f t="shared" si="26"/>
        <v>45-54</v>
      </c>
      <c r="C896" s="1" t="s">
        <v>38</v>
      </c>
      <c r="D896" s="17">
        <f>IF(Table1[[#This Row],[Attrition]]="Yes",1,0)</f>
        <v>0</v>
      </c>
      <c r="E896" t="s">
        <v>57</v>
      </c>
      <c r="F896" s="2">
        <v>685</v>
      </c>
      <c r="G896" t="s">
        <v>39</v>
      </c>
      <c r="H896">
        <v>3</v>
      </c>
      <c r="I896">
        <v>3</v>
      </c>
      <c r="J896" t="str">
        <f t="shared" si="27"/>
        <v>Bachelor</v>
      </c>
      <c r="K896" t="s">
        <v>34</v>
      </c>
      <c r="L896">
        <v>4</v>
      </c>
      <c r="M896" t="s">
        <v>40</v>
      </c>
      <c r="N896" s="2">
        <v>85</v>
      </c>
      <c r="O896">
        <v>3</v>
      </c>
      <c r="P896">
        <v>4</v>
      </c>
      <c r="Q896" t="s">
        <v>52</v>
      </c>
      <c r="R896">
        <v>4</v>
      </c>
      <c r="S896" t="s">
        <v>42</v>
      </c>
      <c r="T896" s="2">
        <v>17779</v>
      </c>
      <c r="U896" s="2">
        <v>23474</v>
      </c>
      <c r="V896">
        <v>3</v>
      </c>
      <c r="W896" t="s">
        <v>38</v>
      </c>
      <c r="X896">
        <v>14</v>
      </c>
      <c r="Y896">
        <v>3</v>
      </c>
      <c r="Z896">
        <v>1</v>
      </c>
      <c r="AA896">
        <v>80</v>
      </c>
      <c r="AB896">
        <v>0</v>
      </c>
      <c r="AC896">
        <v>36</v>
      </c>
      <c r="AD896">
        <v>2</v>
      </c>
      <c r="AE896">
        <v>3</v>
      </c>
      <c r="AF896">
        <v>10</v>
      </c>
      <c r="AG896">
        <v>9</v>
      </c>
      <c r="AH896">
        <v>0</v>
      </c>
      <c r="AI896">
        <v>9</v>
      </c>
    </row>
    <row r="897" spans="1:35" x14ac:dyDescent="0.25">
      <c r="A897">
        <v>31</v>
      </c>
      <c r="B897" t="str">
        <f t="shared" si="26"/>
        <v>25-34</v>
      </c>
      <c r="C897" s="1" t="s">
        <v>38</v>
      </c>
      <c r="D897" s="17">
        <f>IF(Table1[[#This Row],[Attrition]]="Yes",1,0)</f>
        <v>0</v>
      </c>
      <c r="E897" t="s">
        <v>57</v>
      </c>
      <c r="F897" s="2">
        <v>1332</v>
      </c>
      <c r="G897" t="s">
        <v>39</v>
      </c>
      <c r="H897">
        <v>11</v>
      </c>
      <c r="I897">
        <v>2</v>
      </c>
      <c r="J897" t="str">
        <f t="shared" si="27"/>
        <v>College</v>
      </c>
      <c r="K897" t="s">
        <v>45</v>
      </c>
      <c r="L897">
        <v>3</v>
      </c>
      <c r="M897" t="s">
        <v>40</v>
      </c>
      <c r="N897" s="2">
        <v>80</v>
      </c>
      <c r="O897">
        <v>3</v>
      </c>
      <c r="P897">
        <v>2</v>
      </c>
      <c r="Q897" t="s">
        <v>48</v>
      </c>
      <c r="R897">
        <v>1</v>
      </c>
      <c r="S897" t="s">
        <v>42</v>
      </c>
      <c r="T897" s="2">
        <v>6833</v>
      </c>
      <c r="U897" s="2">
        <v>17089</v>
      </c>
      <c r="V897">
        <v>1</v>
      </c>
      <c r="W897" t="s">
        <v>32</v>
      </c>
      <c r="X897">
        <v>12</v>
      </c>
      <c r="Y897">
        <v>3</v>
      </c>
      <c r="Z897">
        <v>4</v>
      </c>
      <c r="AA897">
        <v>80</v>
      </c>
      <c r="AB897">
        <v>0</v>
      </c>
      <c r="AC897">
        <v>6</v>
      </c>
      <c r="AD897">
        <v>2</v>
      </c>
      <c r="AE897">
        <v>2</v>
      </c>
      <c r="AF897">
        <v>6</v>
      </c>
      <c r="AG897">
        <v>5</v>
      </c>
      <c r="AH897">
        <v>0</v>
      </c>
      <c r="AI897">
        <v>1</v>
      </c>
    </row>
    <row r="898" spans="1:35" x14ac:dyDescent="0.25">
      <c r="A898">
        <v>31</v>
      </c>
      <c r="B898" t="str">
        <f t="shared" ref="B898:B961" si="28">IF(A898="","",IF(A898&lt;25,"18-24",
 IF(A898&lt;35,"25-34",
 IF(A898&lt;45,"35-44",
 IF(A898&lt;55,"45-54",
 IF(A898&lt;65,"55-64","65+"))))))</f>
        <v>25-34</v>
      </c>
      <c r="C898" s="1" t="s">
        <v>38</v>
      </c>
      <c r="D898" s="17">
        <f>IF(Table1[[#This Row],[Attrition]]="Yes",1,0)</f>
        <v>0</v>
      </c>
      <c r="E898" t="s">
        <v>57</v>
      </c>
      <c r="F898" s="2">
        <v>1062</v>
      </c>
      <c r="G898" t="s">
        <v>39</v>
      </c>
      <c r="H898">
        <v>24</v>
      </c>
      <c r="I898">
        <v>3</v>
      </c>
      <c r="J898" t="str">
        <f t="shared" ref="J898:J961" si="29">CHOOSE(I898,"Below College","College","Bachelor","Master","Doctor")</f>
        <v>Bachelor</v>
      </c>
      <c r="K898" t="s">
        <v>45</v>
      </c>
      <c r="L898">
        <v>3</v>
      </c>
      <c r="M898" t="s">
        <v>35</v>
      </c>
      <c r="N898" s="2">
        <v>96</v>
      </c>
      <c r="O898">
        <v>2</v>
      </c>
      <c r="P898">
        <v>2</v>
      </c>
      <c r="Q898" t="s">
        <v>48</v>
      </c>
      <c r="R898">
        <v>1</v>
      </c>
      <c r="S898" t="s">
        <v>37</v>
      </c>
      <c r="T898" s="2">
        <v>6812</v>
      </c>
      <c r="U898" s="2">
        <v>17198</v>
      </c>
      <c r="V898">
        <v>1</v>
      </c>
      <c r="W898" t="s">
        <v>38</v>
      </c>
      <c r="X898">
        <v>19</v>
      </c>
      <c r="Y898">
        <v>3</v>
      </c>
      <c r="Z898">
        <v>2</v>
      </c>
      <c r="AA898">
        <v>80</v>
      </c>
      <c r="AB898">
        <v>0</v>
      </c>
      <c r="AC898">
        <v>10</v>
      </c>
      <c r="AD898">
        <v>2</v>
      </c>
      <c r="AE898">
        <v>3</v>
      </c>
      <c r="AF898">
        <v>10</v>
      </c>
      <c r="AG898">
        <v>9</v>
      </c>
      <c r="AH898">
        <v>1</v>
      </c>
      <c r="AI898">
        <v>8</v>
      </c>
    </row>
    <row r="899" spans="1:35" x14ac:dyDescent="0.25">
      <c r="A899">
        <v>59</v>
      </c>
      <c r="B899" t="str">
        <f t="shared" si="28"/>
        <v>55-64</v>
      </c>
      <c r="C899" s="1" t="s">
        <v>38</v>
      </c>
      <c r="D899" s="17">
        <f>IF(Table1[[#This Row],[Attrition]]="Yes",1,0)</f>
        <v>0</v>
      </c>
      <c r="E899" t="s">
        <v>57</v>
      </c>
      <c r="F899" s="2">
        <v>326</v>
      </c>
      <c r="G899" t="s">
        <v>33</v>
      </c>
      <c r="H899">
        <v>3</v>
      </c>
      <c r="I899">
        <v>3</v>
      </c>
      <c r="J899" t="str">
        <f t="shared" si="29"/>
        <v>Bachelor</v>
      </c>
      <c r="K899" t="s">
        <v>34</v>
      </c>
      <c r="L899">
        <v>3</v>
      </c>
      <c r="M899" t="s">
        <v>35</v>
      </c>
      <c r="N899" s="2">
        <v>48</v>
      </c>
      <c r="O899">
        <v>2</v>
      </c>
      <c r="P899">
        <v>2</v>
      </c>
      <c r="Q899" t="s">
        <v>36</v>
      </c>
      <c r="R899">
        <v>4</v>
      </c>
      <c r="S899" t="s">
        <v>37</v>
      </c>
      <c r="T899" s="2">
        <v>5171</v>
      </c>
      <c r="U899" s="2">
        <v>16490</v>
      </c>
      <c r="V899">
        <v>5</v>
      </c>
      <c r="W899" t="s">
        <v>38</v>
      </c>
      <c r="X899">
        <v>17</v>
      </c>
      <c r="Y899">
        <v>3</v>
      </c>
      <c r="Z899">
        <v>4</v>
      </c>
      <c r="AA899">
        <v>80</v>
      </c>
      <c r="AB899">
        <v>0</v>
      </c>
      <c r="AC899">
        <v>13</v>
      </c>
      <c r="AD899">
        <v>2</v>
      </c>
      <c r="AE899">
        <v>3</v>
      </c>
      <c r="AF899">
        <v>6</v>
      </c>
      <c r="AG899">
        <v>1</v>
      </c>
      <c r="AH899">
        <v>0</v>
      </c>
      <c r="AI899">
        <v>5</v>
      </c>
    </row>
    <row r="900" spans="1:35" x14ac:dyDescent="0.25">
      <c r="A900">
        <v>43</v>
      </c>
      <c r="B900" t="str">
        <f t="shared" si="28"/>
        <v>35-44</v>
      </c>
      <c r="C900" s="1" t="s">
        <v>38</v>
      </c>
      <c r="D900" s="17">
        <f>IF(Table1[[#This Row],[Attrition]]="Yes",1,0)</f>
        <v>0</v>
      </c>
      <c r="E900" t="s">
        <v>57</v>
      </c>
      <c r="F900" s="2">
        <v>920</v>
      </c>
      <c r="G900" t="s">
        <v>39</v>
      </c>
      <c r="H900">
        <v>3</v>
      </c>
      <c r="I900">
        <v>3</v>
      </c>
      <c r="J900" t="str">
        <f t="shared" si="29"/>
        <v>Bachelor</v>
      </c>
      <c r="K900" t="s">
        <v>34</v>
      </c>
      <c r="L900">
        <v>3</v>
      </c>
      <c r="M900" t="s">
        <v>40</v>
      </c>
      <c r="N900" s="2">
        <v>96</v>
      </c>
      <c r="O900">
        <v>1</v>
      </c>
      <c r="P900">
        <v>5</v>
      </c>
      <c r="Q900" t="s">
        <v>52</v>
      </c>
      <c r="R900">
        <v>4</v>
      </c>
      <c r="S900" t="s">
        <v>42</v>
      </c>
      <c r="T900" s="2">
        <v>19740</v>
      </c>
      <c r="U900" s="2">
        <v>18625</v>
      </c>
      <c r="V900">
        <v>3</v>
      </c>
      <c r="W900" t="s">
        <v>38</v>
      </c>
      <c r="X900">
        <v>14</v>
      </c>
      <c r="Y900">
        <v>3</v>
      </c>
      <c r="Z900">
        <v>2</v>
      </c>
      <c r="AA900">
        <v>80</v>
      </c>
      <c r="AB900">
        <v>1</v>
      </c>
      <c r="AC900">
        <v>25</v>
      </c>
      <c r="AD900">
        <v>2</v>
      </c>
      <c r="AE900">
        <v>3</v>
      </c>
      <c r="AF900">
        <v>8</v>
      </c>
      <c r="AG900">
        <v>7</v>
      </c>
      <c r="AH900">
        <v>0</v>
      </c>
      <c r="AI900">
        <v>7</v>
      </c>
    </row>
    <row r="901" spans="1:35" x14ac:dyDescent="0.25">
      <c r="A901">
        <v>49</v>
      </c>
      <c r="B901" t="str">
        <f t="shared" si="28"/>
        <v>45-54</v>
      </c>
      <c r="C901" s="1" t="s">
        <v>38</v>
      </c>
      <c r="D901" s="17">
        <f>IF(Table1[[#This Row],[Attrition]]="Yes",1,0)</f>
        <v>0</v>
      </c>
      <c r="E901" t="s">
        <v>57</v>
      </c>
      <c r="F901" s="2">
        <v>1098</v>
      </c>
      <c r="G901" t="s">
        <v>39</v>
      </c>
      <c r="H901">
        <v>4</v>
      </c>
      <c r="I901">
        <v>2</v>
      </c>
      <c r="J901" t="str">
        <f t="shared" si="29"/>
        <v>College</v>
      </c>
      <c r="K901" t="s">
        <v>45</v>
      </c>
      <c r="L901">
        <v>1</v>
      </c>
      <c r="M901" t="s">
        <v>40</v>
      </c>
      <c r="N901" s="2">
        <v>85</v>
      </c>
      <c r="O901">
        <v>2</v>
      </c>
      <c r="P901">
        <v>5</v>
      </c>
      <c r="Q901" t="s">
        <v>50</v>
      </c>
      <c r="R901">
        <v>3</v>
      </c>
      <c r="S901" t="s">
        <v>42</v>
      </c>
      <c r="T901" s="2">
        <v>18711</v>
      </c>
      <c r="U901" s="2">
        <v>12124</v>
      </c>
      <c r="V901">
        <v>2</v>
      </c>
      <c r="W901" t="s">
        <v>38</v>
      </c>
      <c r="X901">
        <v>13</v>
      </c>
      <c r="Y901">
        <v>3</v>
      </c>
      <c r="Z901">
        <v>3</v>
      </c>
      <c r="AA901">
        <v>80</v>
      </c>
      <c r="AB901">
        <v>1</v>
      </c>
      <c r="AC901">
        <v>23</v>
      </c>
      <c r="AD901">
        <v>2</v>
      </c>
      <c r="AE901">
        <v>4</v>
      </c>
      <c r="AF901">
        <v>1</v>
      </c>
      <c r="AG901">
        <v>0</v>
      </c>
      <c r="AH901">
        <v>0</v>
      </c>
      <c r="AI901">
        <v>0</v>
      </c>
    </row>
    <row r="902" spans="1:35" x14ac:dyDescent="0.25">
      <c r="A902">
        <v>36</v>
      </c>
      <c r="B902" t="str">
        <f t="shared" si="28"/>
        <v>35-44</v>
      </c>
      <c r="C902" s="1" t="s">
        <v>38</v>
      </c>
      <c r="D902" s="17">
        <f>IF(Table1[[#This Row],[Attrition]]="Yes",1,0)</f>
        <v>0</v>
      </c>
      <c r="E902" t="s">
        <v>58</v>
      </c>
      <c r="F902" s="2">
        <v>469</v>
      </c>
      <c r="G902" t="s">
        <v>39</v>
      </c>
      <c r="H902">
        <v>3</v>
      </c>
      <c r="I902">
        <v>3</v>
      </c>
      <c r="J902" t="str">
        <f t="shared" si="29"/>
        <v>Bachelor</v>
      </c>
      <c r="K902" t="s">
        <v>54</v>
      </c>
      <c r="L902">
        <v>3</v>
      </c>
      <c r="M902" t="s">
        <v>40</v>
      </c>
      <c r="N902" s="2">
        <v>46</v>
      </c>
      <c r="O902">
        <v>3</v>
      </c>
      <c r="P902">
        <v>1</v>
      </c>
      <c r="Q902" t="s">
        <v>41</v>
      </c>
      <c r="R902">
        <v>2</v>
      </c>
      <c r="S902" t="s">
        <v>42</v>
      </c>
      <c r="T902" s="2">
        <v>3692</v>
      </c>
      <c r="U902" s="2">
        <v>9256</v>
      </c>
      <c r="V902">
        <v>1</v>
      </c>
      <c r="W902" t="s">
        <v>38</v>
      </c>
      <c r="X902">
        <v>12</v>
      </c>
      <c r="Y902">
        <v>3</v>
      </c>
      <c r="Z902">
        <v>3</v>
      </c>
      <c r="AA902">
        <v>80</v>
      </c>
      <c r="AB902">
        <v>0</v>
      </c>
      <c r="AC902">
        <v>12</v>
      </c>
      <c r="AD902">
        <v>2</v>
      </c>
      <c r="AE902">
        <v>2</v>
      </c>
      <c r="AF902">
        <v>11</v>
      </c>
      <c r="AG902">
        <v>10</v>
      </c>
      <c r="AH902">
        <v>0</v>
      </c>
      <c r="AI902">
        <v>7</v>
      </c>
    </row>
    <row r="903" spans="1:35" x14ac:dyDescent="0.25">
      <c r="A903">
        <v>48</v>
      </c>
      <c r="B903" t="str">
        <f t="shared" si="28"/>
        <v>45-54</v>
      </c>
      <c r="C903" s="1" t="s">
        <v>38</v>
      </c>
      <c r="D903" s="17">
        <f>IF(Table1[[#This Row],[Attrition]]="Yes",1,0)</f>
        <v>0</v>
      </c>
      <c r="E903" t="s">
        <v>57</v>
      </c>
      <c r="F903" s="2">
        <v>969</v>
      </c>
      <c r="G903" t="s">
        <v>39</v>
      </c>
      <c r="H903">
        <v>2</v>
      </c>
      <c r="I903">
        <v>2</v>
      </c>
      <c r="J903" t="str">
        <f t="shared" si="29"/>
        <v>College</v>
      </c>
      <c r="K903" t="s">
        <v>54</v>
      </c>
      <c r="L903">
        <v>4</v>
      </c>
      <c r="M903" t="s">
        <v>40</v>
      </c>
      <c r="N903" s="2">
        <v>76</v>
      </c>
      <c r="O903">
        <v>4</v>
      </c>
      <c r="P903">
        <v>1</v>
      </c>
      <c r="Q903" t="s">
        <v>44</v>
      </c>
      <c r="R903">
        <v>2</v>
      </c>
      <c r="S903" t="s">
        <v>37</v>
      </c>
      <c r="T903" s="2">
        <v>2559</v>
      </c>
      <c r="U903" s="2">
        <v>16620</v>
      </c>
      <c r="V903">
        <v>5</v>
      </c>
      <c r="W903" t="s">
        <v>38</v>
      </c>
      <c r="X903">
        <v>11</v>
      </c>
      <c r="Y903">
        <v>3</v>
      </c>
      <c r="Z903">
        <v>3</v>
      </c>
      <c r="AA903">
        <v>80</v>
      </c>
      <c r="AB903">
        <v>0</v>
      </c>
      <c r="AC903">
        <v>7</v>
      </c>
      <c r="AD903">
        <v>4</v>
      </c>
      <c r="AE903">
        <v>2</v>
      </c>
      <c r="AF903">
        <v>1</v>
      </c>
      <c r="AG903">
        <v>0</v>
      </c>
      <c r="AH903">
        <v>0</v>
      </c>
      <c r="AI903">
        <v>0</v>
      </c>
    </row>
    <row r="904" spans="1:35" x14ac:dyDescent="0.25">
      <c r="A904">
        <v>27</v>
      </c>
      <c r="B904" t="str">
        <f t="shared" si="28"/>
        <v>25-34</v>
      </c>
      <c r="C904" s="1" t="s">
        <v>38</v>
      </c>
      <c r="D904" s="17">
        <f>IF(Table1[[#This Row],[Attrition]]="Yes",1,0)</f>
        <v>0</v>
      </c>
      <c r="E904" t="s">
        <v>57</v>
      </c>
      <c r="F904" s="2">
        <v>1167</v>
      </c>
      <c r="G904" t="s">
        <v>39</v>
      </c>
      <c r="H904">
        <v>4</v>
      </c>
      <c r="I904">
        <v>2</v>
      </c>
      <c r="J904" t="str">
        <f t="shared" si="29"/>
        <v>College</v>
      </c>
      <c r="K904" t="s">
        <v>34</v>
      </c>
      <c r="L904">
        <v>1</v>
      </c>
      <c r="M904" t="s">
        <v>40</v>
      </c>
      <c r="N904" s="2">
        <v>76</v>
      </c>
      <c r="O904">
        <v>3</v>
      </c>
      <c r="P904">
        <v>1</v>
      </c>
      <c r="Q904" t="s">
        <v>41</v>
      </c>
      <c r="R904">
        <v>3</v>
      </c>
      <c r="S904" t="s">
        <v>46</v>
      </c>
      <c r="T904" s="2">
        <v>2517</v>
      </c>
      <c r="U904" s="2">
        <v>3208</v>
      </c>
      <c r="V904">
        <v>1</v>
      </c>
      <c r="W904" t="s">
        <v>38</v>
      </c>
      <c r="X904">
        <v>11</v>
      </c>
      <c r="Y904">
        <v>3</v>
      </c>
      <c r="Z904">
        <v>2</v>
      </c>
      <c r="AA904">
        <v>80</v>
      </c>
      <c r="AB904">
        <v>3</v>
      </c>
      <c r="AC904">
        <v>5</v>
      </c>
      <c r="AD904">
        <v>2</v>
      </c>
      <c r="AE904">
        <v>3</v>
      </c>
      <c r="AF904">
        <v>5</v>
      </c>
      <c r="AG904">
        <v>3</v>
      </c>
      <c r="AH904">
        <v>0</v>
      </c>
      <c r="AI904">
        <v>3</v>
      </c>
    </row>
    <row r="905" spans="1:35" x14ac:dyDescent="0.25">
      <c r="A905">
        <v>29</v>
      </c>
      <c r="B905" t="str">
        <f t="shared" si="28"/>
        <v>25-34</v>
      </c>
      <c r="C905" s="1" t="s">
        <v>38</v>
      </c>
      <c r="D905" s="17">
        <f>IF(Table1[[#This Row],[Attrition]]="Yes",1,0)</f>
        <v>0</v>
      </c>
      <c r="E905" t="s">
        <v>57</v>
      </c>
      <c r="F905" s="2">
        <v>1329</v>
      </c>
      <c r="G905" t="s">
        <v>39</v>
      </c>
      <c r="H905">
        <v>7</v>
      </c>
      <c r="I905">
        <v>3</v>
      </c>
      <c r="J905" t="str">
        <f t="shared" si="29"/>
        <v>Bachelor</v>
      </c>
      <c r="K905" t="s">
        <v>34</v>
      </c>
      <c r="L905">
        <v>3</v>
      </c>
      <c r="M905" t="s">
        <v>40</v>
      </c>
      <c r="N905" s="2">
        <v>82</v>
      </c>
      <c r="O905">
        <v>3</v>
      </c>
      <c r="P905">
        <v>2</v>
      </c>
      <c r="Q905" t="s">
        <v>48</v>
      </c>
      <c r="R905">
        <v>4</v>
      </c>
      <c r="S905" t="s">
        <v>46</v>
      </c>
      <c r="T905" s="2">
        <v>6623</v>
      </c>
      <c r="U905" s="2">
        <v>4204</v>
      </c>
      <c r="V905">
        <v>1</v>
      </c>
      <c r="W905" t="s">
        <v>32</v>
      </c>
      <c r="X905">
        <v>11</v>
      </c>
      <c r="Y905">
        <v>3</v>
      </c>
      <c r="Z905">
        <v>2</v>
      </c>
      <c r="AA905">
        <v>80</v>
      </c>
      <c r="AB905">
        <v>2</v>
      </c>
      <c r="AC905">
        <v>6</v>
      </c>
      <c r="AD905">
        <v>2</v>
      </c>
      <c r="AE905">
        <v>3</v>
      </c>
      <c r="AF905">
        <v>6</v>
      </c>
      <c r="AG905">
        <v>0</v>
      </c>
      <c r="AH905">
        <v>1</v>
      </c>
      <c r="AI905">
        <v>0</v>
      </c>
    </row>
    <row r="906" spans="1:35" x14ac:dyDescent="0.25">
      <c r="A906">
        <v>48</v>
      </c>
      <c r="B906" t="str">
        <f t="shared" si="28"/>
        <v>45-54</v>
      </c>
      <c r="C906" s="1" t="s">
        <v>38</v>
      </c>
      <c r="D906" s="17">
        <f>IF(Table1[[#This Row],[Attrition]]="Yes",1,0)</f>
        <v>0</v>
      </c>
      <c r="E906" t="s">
        <v>57</v>
      </c>
      <c r="F906" s="2">
        <v>715</v>
      </c>
      <c r="G906" t="s">
        <v>39</v>
      </c>
      <c r="H906">
        <v>1</v>
      </c>
      <c r="I906">
        <v>3</v>
      </c>
      <c r="J906" t="str">
        <f t="shared" si="29"/>
        <v>Bachelor</v>
      </c>
      <c r="K906" t="s">
        <v>34</v>
      </c>
      <c r="L906">
        <v>4</v>
      </c>
      <c r="M906" t="s">
        <v>40</v>
      </c>
      <c r="N906" s="2">
        <v>76</v>
      </c>
      <c r="O906">
        <v>2</v>
      </c>
      <c r="P906">
        <v>5</v>
      </c>
      <c r="Q906" t="s">
        <v>52</v>
      </c>
      <c r="R906">
        <v>4</v>
      </c>
      <c r="S906" t="s">
        <v>37</v>
      </c>
      <c r="T906" s="2">
        <v>18265</v>
      </c>
      <c r="U906" s="2">
        <v>8733</v>
      </c>
      <c r="V906">
        <v>6</v>
      </c>
      <c r="W906" t="s">
        <v>38</v>
      </c>
      <c r="X906">
        <v>12</v>
      </c>
      <c r="Y906">
        <v>3</v>
      </c>
      <c r="Z906">
        <v>3</v>
      </c>
      <c r="AA906">
        <v>80</v>
      </c>
      <c r="AB906">
        <v>0</v>
      </c>
      <c r="AC906">
        <v>25</v>
      </c>
      <c r="AD906">
        <v>3</v>
      </c>
      <c r="AE906">
        <v>4</v>
      </c>
      <c r="AF906">
        <v>1</v>
      </c>
      <c r="AG906">
        <v>0</v>
      </c>
      <c r="AH906">
        <v>0</v>
      </c>
      <c r="AI906">
        <v>0</v>
      </c>
    </row>
    <row r="907" spans="1:35" x14ac:dyDescent="0.25">
      <c r="A907">
        <v>29</v>
      </c>
      <c r="B907" t="str">
        <f t="shared" si="28"/>
        <v>25-34</v>
      </c>
      <c r="C907" s="1" t="s">
        <v>38</v>
      </c>
      <c r="D907" s="17">
        <f>IF(Table1[[#This Row],[Attrition]]="Yes",1,0)</f>
        <v>0</v>
      </c>
      <c r="E907" t="s">
        <v>57</v>
      </c>
      <c r="F907" s="2">
        <v>694</v>
      </c>
      <c r="G907" t="s">
        <v>39</v>
      </c>
      <c r="H907">
        <v>1</v>
      </c>
      <c r="I907">
        <v>3</v>
      </c>
      <c r="J907" t="str">
        <f t="shared" si="29"/>
        <v>Bachelor</v>
      </c>
      <c r="K907" t="s">
        <v>34</v>
      </c>
      <c r="L907">
        <v>4</v>
      </c>
      <c r="M907" t="s">
        <v>35</v>
      </c>
      <c r="N907" s="2">
        <v>87</v>
      </c>
      <c r="O907">
        <v>2</v>
      </c>
      <c r="P907">
        <v>4</v>
      </c>
      <c r="Q907" t="s">
        <v>52</v>
      </c>
      <c r="R907">
        <v>4</v>
      </c>
      <c r="S907" t="s">
        <v>46</v>
      </c>
      <c r="T907" s="2">
        <v>16124</v>
      </c>
      <c r="U907" s="2">
        <v>3423</v>
      </c>
      <c r="V907">
        <v>3</v>
      </c>
      <c r="W907" t="s">
        <v>38</v>
      </c>
      <c r="X907">
        <v>14</v>
      </c>
      <c r="Y907">
        <v>3</v>
      </c>
      <c r="Z907">
        <v>2</v>
      </c>
      <c r="AA907">
        <v>80</v>
      </c>
      <c r="AB907">
        <v>2</v>
      </c>
      <c r="AC907">
        <v>9</v>
      </c>
      <c r="AD907">
        <v>2</v>
      </c>
      <c r="AE907">
        <v>2</v>
      </c>
      <c r="AF907">
        <v>7</v>
      </c>
      <c r="AG907">
        <v>7</v>
      </c>
      <c r="AH907">
        <v>1</v>
      </c>
      <c r="AI907">
        <v>7</v>
      </c>
    </row>
    <row r="908" spans="1:35" x14ac:dyDescent="0.25">
      <c r="A908">
        <v>34</v>
      </c>
      <c r="B908" t="str">
        <f t="shared" si="28"/>
        <v>25-34</v>
      </c>
      <c r="C908" s="1" t="s">
        <v>38</v>
      </c>
      <c r="D908" s="17">
        <f>IF(Table1[[#This Row],[Attrition]]="Yes",1,0)</f>
        <v>0</v>
      </c>
      <c r="E908" t="s">
        <v>57</v>
      </c>
      <c r="F908" s="2">
        <v>1320</v>
      </c>
      <c r="G908" t="s">
        <v>39</v>
      </c>
      <c r="H908">
        <v>20</v>
      </c>
      <c r="I908">
        <v>3</v>
      </c>
      <c r="J908" t="str">
        <f t="shared" si="29"/>
        <v>Bachelor</v>
      </c>
      <c r="K908" t="s">
        <v>54</v>
      </c>
      <c r="L908">
        <v>3</v>
      </c>
      <c r="M908" t="s">
        <v>35</v>
      </c>
      <c r="N908" s="2">
        <v>89</v>
      </c>
      <c r="O908">
        <v>4</v>
      </c>
      <c r="P908">
        <v>1</v>
      </c>
      <c r="Q908" t="s">
        <v>41</v>
      </c>
      <c r="R908">
        <v>3</v>
      </c>
      <c r="S908" t="s">
        <v>42</v>
      </c>
      <c r="T908" s="2">
        <v>2585</v>
      </c>
      <c r="U908" s="2">
        <v>21643</v>
      </c>
      <c r="V908">
        <v>0</v>
      </c>
      <c r="W908" t="s">
        <v>38</v>
      </c>
      <c r="X908">
        <v>17</v>
      </c>
      <c r="Y908">
        <v>3</v>
      </c>
      <c r="Z908">
        <v>4</v>
      </c>
      <c r="AA908">
        <v>80</v>
      </c>
      <c r="AB908">
        <v>0</v>
      </c>
      <c r="AC908">
        <v>2</v>
      </c>
      <c r="AD908">
        <v>5</v>
      </c>
      <c r="AE908">
        <v>2</v>
      </c>
      <c r="AF908">
        <v>1</v>
      </c>
      <c r="AG908">
        <v>0</v>
      </c>
      <c r="AH908">
        <v>0</v>
      </c>
      <c r="AI908">
        <v>0</v>
      </c>
    </row>
    <row r="909" spans="1:35" x14ac:dyDescent="0.25">
      <c r="A909">
        <v>44</v>
      </c>
      <c r="B909" t="str">
        <f t="shared" si="28"/>
        <v>35-44</v>
      </c>
      <c r="C909" s="1" t="s">
        <v>38</v>
      </c>
      <c r="D909" s="17">
        <f>IF(Table1[[#This Row],[Attrition]]="Yes",1,0)</f>
        <v>0</v>
      </c>
      <c r="E909" t="s">
        <v>57</v>
      </c>
      <c r="F909" s="2">
        <v>1099</v>
      </c>
      <c r="G909" t="s">
        <v>33</v>
      </c>
      <c r="H909">
        <v>5</v>
      </c>
      <c r="I909">
        <v>3</v>
      </c>
      <c r="J909" t="str">
        <f t="shared" si="29"/>
        <v>Bachelor</v>
      </c>
      <c r="K909" t="s">
        <v>53</v>
      </c>
      <c r="L909">
        <v>2</v>
      </c>
      <c r="M909" t="s">
        <v>40</v>
      </c>
      <c r="N909" s="2">
        <v>88</v>
      </c>
      <c r="O909">
        <v>3</v>
      </c>
      <c r="P909">
        <v>5</v>
      </c>
      <c r="Q909" t="s">
        <v>50</v>
      </c>
      <c r="R909">
        <v>2</v>
      </c>
      <c r="S909" t="s">
        <v>42</v>
      </c>
      <c r="T909" s="2">
        <v>18213</v>
      </c>
      <c r="U909" s="2">
        <v>8751</v>
      </c>
      <c r="V909">
        <v>7</v>
      </c>
      <c r="W909" t="s">
        <v>38</v>
      </c>
      <c r="X909">
        <v>11</v>
      </c>
      <c r="Y909">
        <v>3</v>
      </c>
      <c r="Z909">
        <v>3</v>
      </c>
      <c r="AA909">
        <v>80</v>
      </c>
      <c r="AB909">
        <v>1</v>
      </c>
      <c r="AC909">
        <v>26</v>
      </c>
      <c r="AD909">
        <v>5</v>
      </c>
      <c r="AE909">
        <v>3</v>
      </c>
      <c r="AF909">
        <v>22</v>
      </c>
      <c r="AG909">
        <v>9</v>
      </c>
      <c r="AH909">
        <v>3</v>
      </c>
      <c r="AI909">
        <v>10</v>
      </c>
    </row>
    <row r="910" spans="1:35" x14ac:dyDescent="0.25">
      <c r="A910">
        <v>33</v>
      </c>
      <c r="B910" t="str">
        <f t="shared" si="28"/>
        <v>25-34</v>
      </c>
      <c r="C910" s="1" t="s">
        <v>38</v>
      </c>
      <c r="D910" s="17">
        <f>IF(Table1[[#This Row],[Attrition]]="Yes",1,0)</f>
        <v>0</v>
      </c>
      <c r="E910" t="s">
        <v>57</v>
      </c>
      <c r="F910" s="2">
        <v>536</v>
      </c>
      <c r="G910" t="s">
        <v>33</v>
      </c>
      <c r="H910">
        <v>10</v>
      </c>
      <c r="I910">
        <v>5</v>
      </c>
      <c r="J910" t="str">
        <f t="shared" si="29"/>
        <v>Doctor</v>
      </c>
      <c r="K910" t="s">
        <v>53</v>
      </c>
      <c r="L910">
        <v>4</v>
      </c>
      <c r="M910" t="s">
        <v>40</v>
      </c>
      <c r="N910" s="2">
        <v>82</v>
      </c>
      <c r="O910">
        <v>4</v>
      </c>
      <c r="P910">
        <v>3</v>
      </c>
      <c r="Q910" t="s">
        <v>36</v>
      </c>
      <c r="R910">
        <v>3</v>
      </c>
      <c r="S910" t="s">
        <v>46</v>
      </c>
      <c r="T910" s="2">
        <v>8380</v>
      </c>
      <c r="U910" s="2">
        <v>21708</v>
      </c>
      <c r="V910">
        <v>0</v>
      </c>
      <c r="W910" t="s">
        <v>32</v>
      </c>
      <c r="X910">
        <v>14</v>
      </c>
      <c r="Y910">
        <v>3</v>
      </c>
      <c r="Z910">
        <v>4</v>
      </c>
      <c r="AA910">
        <v>80</v>
      </c>
      <c r="AB910">
        <v>2</v>
      </c>
      <c r="AC910">
        <v>10</v>
      </c>
      <c r="AD910">
        <v>3</v>
      </c>
      <c r="AE910">
        <v>3</v>
      </c>
      <c r="AF910">
        <v>9</v>
      </c>
      <c r="AG910">
        <v>8</v>
      </c>
      <c r="AH910">
        <v>0</v>
      </c>
      <c r="AI910">
        <v>8</v>
      </c>
    </row>
    <row r="911" spans="1:35" x14ac:dyDescent="0.25">
      <c r="A911">
        <v>19</v>
      </c>
      <c r="B911" t="str">
        <f t="shared" si="28"/>
        <v>18-24</v>
      </c>
      <c r="C911" s="1" t="s">
        <v>38</v>
      </c>
      <c r="D911" s="17">
        <f>IF(Table1[[#This Row],[Attrition]]="Yes",1,0)</f>
        <v>0</v>
      </c>
      <c r="E911" t="s">
        <v>57</v>
      </c>
      <c r="F911" s="2">
        <v>265</v>
      </c>
      <c r="G911" t="s">
        <v>39</v>
      </c>
      <c r="H911">
        <v>25</v>
      </c>
      <c r="I911">
        <v>3</v>
      </c>
      <c r="J911" t="str">
        <f t="shared" si="29"/>
        <v>Bachelor</v>
      </c>
      <c r="K911" t="s">
        <v>34</v>
      </c>
      <c r="L911">
        <v>2</v>
      </c>
      <c r="M911" t="s">
        <v>35</v>
      </c>
      <c r="N911" s="2">
        <v>57</v>
      </c>
      <c r="O911">
        <v>4</v>
      </c>
      <c r="P911">
        <v>1</v>
      </c>
      <c r="Q911" t="s">
        <v>41</v>
      </c>
      <c r="R911">
        <v>4</v>
      </c>
      <c r="S911" t="s">
        <v>37</v>
      </c>
      <c r="T911" s="2">
        <v>2994</v>
      </c>
      <c r="U911" s="2">
        <v>21221</v>
      </c>
      <c r="V911">
        <v>1</v>
      </c>
      <c r="W911" t="s">
        <v>32</v>
      </c>
      <c r="X911">
        <v>12</v>
      </c>
      <c r="Y911">
        <v>3</v>
      </c>
      <c r="Z911">
        <v>4</v>
      </c>
      <c r="AA911">
        <v>80</v>
      </c>
      <c r="AB911">
        <v>0</v>
      </c>
      <c r="AC911">
        <v>1</v>
      </c>
      <c r="AD911">
        <v>2</v>
      </c>
      <c r="AE911">
        <v>3</v>
      </c>
      <c r="AF911">
        <v>1</v>
      </c>
      <c r="AG911">
        <v>0</v>
      </c>
      <c r="AH911">
        <v>0</v>
      </c>
      <c r="AI911">
        <v>1</v>
      </c>
    </row>
    <row r="912" spans="1:35" x14ac:dyDescent="0.25">
      <c r="A912">
        <v>23</v>
      </c>
      <c r="B912" t="str">
        <f t="shared" si="28"/>
        <v>18-24</v>
      </c>
      <c r="C912" s="1" t="s">
        <v>38</v>
      </c>
      <c r="D912" s="17">
        <f>IF(Table1[[#This Row],[Attrition]]="Yes",1,0)</f>
        <v>0</v>
      </c>
      <c r="E912" t="s">
        <v>57</v>
      </c>
      <c r="F912" s="2">
        <v>373</v>
      </c>
      <c r="G912" t="s">
        <v>39</v>
      </c>
      <c r="H912">
        <v>1</v>
      </c>
      <c r="I912">
        <v>2</v>
      </c>
      <c r="J912" t="str">
        <f t="shared" si="29"/>
        <v>College</v>
      </c>
      <c r="K912" t="s">
        <v>34</v>
      </c>
      <c r="L912">
        <v>4</v>
      </c>
      <c r="M912" t="s">
        <v>40</v>
      </c>
      <c r="N912" s="2">
        <v>47</v>
      </c>
      <c r="O912">
        <v>3</v>
      </c>
      <c r="P912">
        <v>1</v>
      </c>
      <c r="Q912" t="s">
        <v>41</v>
      </c>
      <c r="R912">
        <v>3</v>
      </c>
      <c r="S912" t="s">
        <v>42</v>
      </c>
      <c r="T912" s="2">
        <v>1223</v>
      </c>
      <c r="U912" s="2">
        <v>16901</v>
      </c>
      <c r="V912">
        <v>1</v>
      </c>
      <c r="W912" t="s">
        <v>38</v>
      </c>
      <c r="X912">
        <v>22</v>
      </c>
      <c r="Y912">
        <v>4</v>
      </c>
      <c r="Z912">
        <v>4</v>
      </c>
      <c r="AA912">
        <v>80</v>
      </c>
      <c r="AB912">
        <v>1</v>
      </c>
      <c r="AC912">
        <v>1</v>
      </c>
      <c r="AD912">
        <v>2</v>
      </c>
      <c r="AE912">
        <v>3</v>
      </c>
      <c r="AF912">
        <v>1</v>
      </c>
      <c r="AG912">
        <v>0</v>
      </c>
      <c r="AH912">
        <v>0</v>
      </c>
      <c r="AI912">
        <v>1</v>
      </c>
    </row>
    <row r="913" spans="1:35" x14ac:dyDescent="0.25">
      <c r="A913">
        <v>25</v>
      </c>
      <c r="B913" t="str">
        <f t="shared" si="28"/>
        <v>25-34</v>
      </c>
      <c r="C913" s="1" t="s">
        <v>32</v>
      </c>
      <c r="D913" s="17">
        <f>IF(Table1[[#This Row],[Attrition]]="Yes",1,0)</f>
        <v>1</v>
      </c>
      <c r="E913" t="s">
        <v>58</v>
      </c>
      <c r="F913" s="2">
        <v>599</v>
      </c>
      <c r="G913" t="s">
        <v>33</v>
      </c>
      <c r="H913">
        <v>24</v>
      </c>
      <c r="I913">
        <v>1</v>
      </c>
      <c r="J913" t="str">
        <f t="shared" si="29"/>
        <v>Below College</v>
      </c>
      <c r="K913" t="s">
        <v>34</v>
      </c>
      <c r="L913">
        <v>3</v>
      </c>
      <c r="M913" t="s">
        <v>40</v>
      </c>
      <c r="N913" s="2">
        <v>73</v>
      </c>
      <c r="O913">
        <v>1</v>
      </c>
      <c r="P913">
        <v>1</v>
      </c>
      <c r="Q913" t="s">
        <v>51</v>
      </c>
      <c r="R913">
        <v>4</v>
      </c>
      <c r="S913" t="s">
        <v>37</v>
      </c>
      <c r="T913" s="2">
        <v>1118</v>
      </c>
      <c r="U913" s="2">
        <v>8040</v>
      </c>
      <c r="V913">
        <v>1</v>
      </c>
      <c r="W913" t="s">
        <v>32</v>
      </c>
      <c r="X913">
        <v>14</v>
      </c>
      <c r="Y913">
        <v>3</v>
      </c>
      <c r="Z913">
        <v>4</v>
      </c>
      <c r="AA913">
        <v>80</v>
      </c>
      <c r="AB913">
        <v>0</v>
      </c>
      <c r="AC913">
        <v>1</v>
      </c>
      <c r="AD913">
        <v>4</v>
      </c>
      <c r="AE913">
        <v>3</v>
      </c>
      <c r="AF913">
        <v>1</v>
      </c>
      <c r="AG913">
        <v>0</v>
      </c>
      <c r="AH913">
        <v>1</v>
      </c>
      <c r="AI913">
        <v>0</v>
      </c>
    </row>
    <row r="914" spans="1:35" x14ac:dyDescent="0.25">
      <c r="A914">
        <v>26</v>
      </c>
      <c r="B914" t="str">
        <f t="shared" si="28"/>
        <v>25-34</v>
      </c>
      <c r="C914" s="1" t="s">
        <v>38</v>
      </c>
      <c r="D914" s="17">
        <f>IF(Table1[[#This Row],[Attrition]]="Yes",1,0)</f>
        <v>0</v>
      </c>
      <c r="E914" t="s">
        <v>57</v>
      </c>
      <c r="F914" s="2">
        <v>583</v>
      </c>
      <c r="G914" t="s">
        <v>39</v>
      </c>
      <c r="H914">
        <v>4</v>
      </c>
      <c r="I914">
        <v>2</v>
      </c>
      <c r="J914" t="str">
        <f t="shared" si="29"/>
        <v>College</v>
      </c>
      <c r="K914" t="s">
        <v>34</v>
      </c>
      <c r="L914">
        <v>3</v>
      </c>
      <c r="M914" t="s">
        <v>40</v>
      </c>
      <c r="N914" s="2">
        <v>53</v>
      </c>
      <c r="O914">
        <v>3</v>
      </c>
      <c r="P914">
        <v>1</v>
      </c>
      <c r="Q914" t="s">
        <v>41</v>
      </c>
      <c r="R914">
        <v>4</v>
      </c>
      <c r="S914" t="s">
        <v>37</v>
      </c>
      <c r="T914" s="2">
        <v>2875</v>
      </c>
      <c r="U914" s="2">
        <v>9973</v>
      </c>
      <c r="V914">
        <v>1</v>
      </c>
      <c r="W914" t="s">
        <v>32</v>
      </c>
      <c r="X914">
        <v>20</v>
      </c>
      <c r="Y914">
        <v>4</v>
      </c>
      <c r="Z914">
        <v>2</v>
      </c>
      <c r="AA914">
        <v>80</v>
      </c>
      <c r="AB914">
        <v>0</v>
      </c>
      <c r="AC914">
        <v>8</v>
      </c>
      <c r="AD914">
        <v>2</v>
      </c>
      <c r="AE914">
        <v>2</v>
      </c>
      <c r="AF914">
        <v>8</v>
      </c>
      <c r="AG914">
        <v>5</v>
      </c>
      <c r="AH914">
        <v>2</v>
      </c>
      <c r="AI914">
        <v>2</v>
      </c>
    </row>
    <row r="915" spans="1:35" x14ac:dyDescent="0.25">
      <c r="A915">
        <v>45</v>
      </c>
      <c r="B915" t="str">
        <f t="shared" si="28"/>
        <v>45-54</v>
      </c>
      <c r="C915" s="1" t="s">
        <v>32</v>
      </c>
      <c r="D915" s="17">
        <f>IF(Table1[[#This Row],[Attrition]]="Yes",1,0)</f>
        <v>1</v>
      </c>
      <c r="E915" t="s">
        <v>57</v>
      </c>
      <c r="F915" s="2">
        <v>1449</v>
      </c>
      <c r="G915" t="s">
        <v>33</v>
      </c>
      <c r="H915">
        <v>2</v>
      </c>
      <c r="I915">
        <v>3</v>
      </c>
      <c r="J915" t="str">
        <f t="shared" si="29"/>
        <v>Bachelor</v>
      </c>
      <c r="K915" t="s">
        <v>53</v>
      </c>
      <c r="L915">
        <v>1</v>
      </c>
      <c r="M915" t="s">
        <v>35</v>
      </c>
      <c r="N915" s="2">
        <v>94</v>
      </c>
      <c r="O915">
        <v>1</v>
      </c>
      <c r="P915">
        <v>5</v>
      </c>
      <c r="Q915" t="s">
        <v>50</v>
      </c>
      <c r="R915">
        <v>2</v>
      </c>
      <c r="S915" t="s">
        <v>37</v>
      </c>
      <c r="T915" s="2">
        <v>18824</v>
      </c>
      <c r="U915" s="2">
        <v>2493</v>
      </c>
      <c r="V915">
        <v>2</v>
      </c>
      <c r="W915" t="s">
        <v>32</v>
      </c>
      <c r="X915">
        <v>16</v>
      </c>
      <c r="Y915">
        <v>3</v>
      </c>
      <c r="Z915">
        <v>1</v>
      </c>
      <c r="AA915">
        <v>80</v>
      </c>
      <c r="AB915">
        <v>0</v>
      </c>
      <c r="AC915">
        <v>26</v>
      </c>
      <c r="AD915">
        <v>2</v>
      </c>
      <c r="AE915">
        <v>3</v>
      </c>
      <c r="AF915">
        <v>24</v>
      </c>
      <c r="AG915">
        <v>10</v>
      </c>
      <c r="AH915">
        <v>1</v>
      </c>
      <c r="AI915">
        <v>11</v>
      </c>
    </row>
    <row r="916" spans="1:35" x14ac:dyDescent="0.25">
      <c r="A916">
        <v>55</v>
      </c>
      <c r="B916" t="str">
        <f t="shared" si="28"/>
        <v>55-64</v>
      </c>
      <c r="C916" s="1" t="s">
        <v>38</v>
      </c>
      <c r="D916" s="17">
        <f>IF(Table1[[#This Row],[Attrition]]="Yes",1,0)</f>
        <v>0</v>
      </c>
      <c r="E916" t="s">
        <v>49</v>
      </c>
      <c r="F916" s="2">
        <v>177</v>
      </c>
      <c r="G916" t="s">
        <v>39</v>
      </c>
      <c r="H916">
        <v>8</v>
      </c>
      <c r="I916">
        <v>1</v>
      </c>
      <c r="J916" t="str">
        <f t="shared" si="29"/>
        <v>Below College</v>
      </c>
      <c r="K916" t="s">
        <v>45</v>
      </c>
      <c r="L916">
        <v>4</v>
      </c>
      <c r="M916" t="s">
        <v>40</v>
      </c>
      <c r="N916" s="2">
        <v>37</v>
      </c>
      <c r="O916">
        <v>2</v>
      </c>
      <c r="P916">
        <v>4</v>
      </c>
      <c r="Q916" t="s">
        <v>48</v>
      </c>
      <c r="R916">
        <v>2</v>
      </c>
      <c r="S916" t="s">
        <v>46</v>
      </c>
      <c r="T916" s="2">
        <v>13577</v>
      </c>
      <c r="U916" s="2">
        <v>25592</v>
      </c>
      <c r="V916">
        <v>1</v>
      </c>
      <c r="W916" t="s">
        <v>32</v>
      </c>
      <c r="X916">
        <v>15</v>
      </c>
      <c r="Y916">
        <v>3</v>
      </c>
      <c r="Z916">
        <v>4</v>
      </c>
      <c r="AA916">
        <v>80</v>
      </c>
      <c r="AB916">
        <v>1</v>
      </c>
      <c r="AC916">
        <v>34</v>
      </c>
      <c r="AD916">
        <v>3</v>
      </c>
      <c r="AE916">
        <v>3</v>
      </c>
      <c r="AF916">
        <v>33</v>
      </c>
      <c r="AG916">
        <v>9</v>
      </c>
      <c r="AH916">
        <v>15</v>
      </c>
      <c r="AI916">
        <v>0</v>
      </c>
    </row>
    <row r="917" spans="1:35" x14ac:dyDescent="0.25">
      <c r="A917">
        <v>21</v>
      </c>
      <c r="B917" t="str">
        <f t="shared" si="28"/>
        <v>18-24</v>
      </c>
      <c r="C917" s="1" t="s">
        <v>32</v>
      </c>
      <c r="D917" s="17">
        <f>IF(Table1[[#This Row],[Attrition]]="Yes",1,0)</f>
        <v>1</v>
      </c>
      <c r="E917" t="s">
        <v>58</v>
      </c>
      <c r="F917" s="2">
        <v>251</v>
      </c>
      <c r="G917" t="s">
        <v>39</v>
      </c>
      <c r="H917">
        <v>10</v>
      </c>
      <c r="I917">
        <v>2</v>
      </c>
      <c r="J917" t="str">
        <f t="shared" si="29"/>
        <v>College</v>
      </c>
      <c r="K917" t="s">
        <v>34</v>
      </c>
      <c r="L917">
        <v>1</v>
      </c>
      <c r="M917" t="s">
        <v>35</v>
      </c>
      <c r="N917" s="2">
        <v>45</v>
      </c>
      <c r="O917">
        <v>2</v>
      </c>
      <c r="P917">
        <v>1</v>
      </c>
      <c r="Q917" t="s">
        <v>44</v>
      </c>
      <c r="R917">
        <v>3</v>
      </c>
      <c r="S917" t="s">
        <v>37</v>
      </c>
      <c r="T917" s="2">
        <v>2625</v>
      </c>
      <c r="U917" s="2">
        <v>25308</v>
      </c>
      <c r="V917">
        <v>1</v>
      </c>
      <c r="W917" t="s">
        <v>38</v>
      </c>
      <c r="X917">
        <v>20</v>
      </c>
      <c r="Y917">
        <v>4</v>
      </c>
      <c r="Z917">
        <v>3</v>
      </c>
      <c r="AA917">
        <v>80</v>
      </c>
      <c r="AB917">
        <v>0</v>
      </c>
      <c r="AC917">
        <v>2</v>
      </c>
      <c r="AD917">
        <v>2</v>
      </c>
      <c r="AE917">
        <v>1</v>
      </c>
      <c r="AF917">
        <v>2</v>
      </c>
      <c r="AG917">
        <v>2</v>
      </c>
      <c r="AH917">
        <v>2</v>
      </c>
      <c r="AI917">
        <v>2</v>
      </c>
    </row>
    <row r="918" spans="1:35" x14ac:dyDescent="0.25">
      <c r="A918">
        <v>46</v>
      </c>
      <c r="B918" t="str">
        <f t="shared" si="28"/>
        <v>45-54</v>
      </c>
      <c r="C918" s="1" t="s">
        <v>38</v>
      </c>
      <c r="D918" s="17">
        <f>IF(Table1[[#This Row],[Attrition]]="Yes",1,0)</f>
        <v>0</v>
      </c>
      <c r="E918" t="s">
        <v>57</v>
      </c>
      <c r="F918" s="2">
        <v>168</v>
      </c>
      <c r="G918" t="s">
        <v>33</v>
      </c>
      <c r="H918">
        <v>4</v>
      </c>
      <c r="I918">
        <v>2</v>
      </c>
      <c r="J918" t="str">
        <f t="shared" si="29"/>
        <v>College</v>
      </c>
      <c r="K918" t="s">
        <v>53</v>
      </c>
      <c r="L918">
        <v>4</v>
      </c>
      <c r="M918" t="s">
        <v>35</v>
      </c>
      <c r="N918" s="2">
        <v>33</v>
      </c>
      <c r="O918">
        <v>2</v>
      </c>
      <c r="P918">
        <v>5</v>
      </c>
      <c r="Q918" t="s">
        <v>50</v>
      </c>
      <c r="R918">
        <v>2</v>
      </c>
      <c r="S918" t="s">
        <v>42</v>
      </c>
      <c r="T918" s="2">
        <v>18789</v>
      </c>
      <c r="U918" s="2">
        <v>9946</v>
      </c>
      <c r="V918">
        <v>2</v>
      </c>
      <c r="W918" t="s">
        <v>38</v>
      </c>
      <c r="X918">
        <v>14</v>
      </c>
      <c r="Y918">
        <v>3</v>
      </c>
      <c r="Z918">
        <v>3</v>
      </c>
      <c r="AA918">
        <v>80</v>
      </c>
      <c r="AB918">
        <v>1</v>
      </c>
      <c r="AC918">
        <v>26</v>
      </c>
      <c r="AD918">
        <v>2</v>
      </c>
      <c r="AE918">
        <v>3</v>
      </c>
      <c r="AF918">
        <v>11</v>
      </c>
      <c r="AG918">
        <v>4</v>
      </c>
      <c r="AH918">
        <v>0</v>
      </c>
      <c r="AI918">
        <v>8</v>
      </c>
    </row>
    <row r="919" spans="1:35" x14ac:dyDescent="0.25">
      <c r="A919">
        <v>34</v>
      </c>
      <c r="B919" t="str">
        <f t="shared" si="28"/>
        <v>25-34</v>
      </c>
      <c r="C919" s="1" t="s">
        <v>38</v>
      </c>
      <c r="D919" s="17">
        <f>IF(Table1[[#This Row],[Attrition]]="Yes",1,0)</f>
        <v>0</v>
      </c>
      <c r="E919" t="s">
        <v>57</v>
      </c>
      <c r="F919" s="2">
        <v>131</v>
      </c>
      <c r="G919" t="s">
        <v>33</v>
      </c>
      <c r="H919">
        <v>2</v>
      </c>
      <c r="I919">
        <v>3</v>
      </c>
      <c r="J919" t="str">
        <f t="shared" si="29"/>
        <v>Bachelor</v>
      </c>
      <c r="K919" t="s">
        <v>53</v>
      </c>
      <c r="L919">
        <v>3</v>
      </c>
      <c r="M919" t="s">
        <v>35</v>
      </c>
      <c r="N919" s="2">
        <v>86</v>
      </c>
      <c r="O919">
        <v>3</v>
      </c>
      <c r="P919">
        <v>2</v>
      </c>
      <c r="Q919" t="s">
        <v>36</v>
      </c>
      <c r="R919">
        <v>1</v>
      </c>
      <c r="S919" t="s">
        <v>37</v>
      </c>
      <c r="T919" s="2">
        <v>4538</v>
      </c>
      <c r="U919" s="2">
        <v>6039</v>
      </c>
      <c r="V919">
        <v>0</v>
      </c>
      <c r="W919" t="s">
        <v>32</v>
      </c>
      <c r="X919">
        <v>12</v>
      </c>
      <c r="Y919">
        <v>3</v>
      </c>
      <c r="Z919">
        <v>4</v>
      </c>
      <c r="AA919">
        <v>80</v>
      </c>
      <c r="AB919">
        <v>0</v>
      </c>
      <c r="AC919">
        <v>4</v>
      </c>
      <c r="AD919">
        <v>3</v>
      </c>
      <c r="AE919">
        <v>3</v>
      </c>
      <c r="AF919">
        <v>3</v>
      </c>
      <c r="AG919">
        <v>2</v>
      </c>
      <c r="AH919">
        <v>0</v>
      </c>
      <c r="AI919">
        <v>2</v>
      </c>
    </row>
    <row r="920" spans="1:35" x14ac:dyDescent="0.25">
      <c r="A920">
        <v>51</v>
      </c>
      <c r="B920" t="str">
        <f t="shared" si="28"/>
        <v>45-54</v>
      </c>
      <c r="C920" s="1" t="s">
        <v>38</v>
      </c>
      <c r="D920" s="17">
        <f>IF(Table1[[#This Row],[Attrition]]="Yes",1,0)</f>
        <v>0</v>
      </c>
      <c r="E920" t="s">
        <v>58</v>
      </c>
      <c r="F920" s="2">
        <v>237</v>
      </c>
      <c r="G920" t="s">
        <v>33</v>
      </c>
      <c r="H920">
        <v>9</v>
      </c>
      <c r="I920">
        <v>3</v>
      </c>
      <c r="J920" t="str">
        <f t="shared" si="29"/>
        <v>Bachelor</v>
      </c>
      <c r="K920" t="s">
        <v>34</v>
      </c>
      <c r="L920">
        <v>4</v>
      </c>
      <c r="M920" t="s">
        <v>40</v>
      </c>
      <c r="N920" s="2">
        <v>83</v>
      </c>
      <c r="O920">
        <v>3</v>
      </c>
      <c r="P920">
        <v>5</v>
      </c>
      <c r="Q920" t="s">
        <v>50</v>
      </c>
      <c r="R920">
        <v>2</v>
      </c>
      <c r="S920" t="s">
        <v>46</v>
      </c>
      <c r="T920" s="2">
        <v>19847</v>
      </c>
      <c r="U920" s="2">
        <v>19196</v>
      </c>
      <c r="V920">
        <v>4</v>
      </c>
      <c r="W920" t="s">
        <v>32</v>
      </c>
      <c r="X920">
        <v>24</v>
      </c>
      <c r="Y920">
        <v>4</v>
      </c>
      <c r="Z920">
        <v>1</v>
      </c>
      <c r="AA920">
        <v>80</v>
      </c>
      <c r="AB920">
        <v>1</v>
      </c>
      <c r="AC920">
        <v>31</v>
      </c>
      <c r="AD920">
        <v>5</v>
      </c>
      <c r="AE920">
        <v>2</v>
      </c>
      <c r="AF920">
        <v>29</v>
      </c>
      <c r="AG920">
        <v>10</v>
      </c>
      <c r="AH920">
        <v>11</v>
      </c>
      <c r="AI920">
        <v>10</v>
      </c>
    </row>
    <row r="921" spans="1:35" x14ac:dyDescent="0.25">
      <c r="A921">
        <v>59</v>
      </c>
      <c r="B921" t="str">
        <f t="shared" si="28"/>
        <v>55-64</v>
      </c>
      <c r="C921" s="1" t="s">
        <v>38</v>
      </c>
      <c r="D921" s="17">
        <f>IF(Table1[[#This Row],[Attrition]]="Yes",1,0)</f>
        <v>0</v>
      </c>
      <c r="E921" t="s">
        <v>57</v>
      </c>
      <c r="F921" s="2">
        <v>1429</v>
      </c>
      <c r="G921" t="s">
        <v>39</v>
      </c>
      <c r="H921">
        <v>18</v>
      </c>
      <c r="I921">
        <v>4</v>
      </c>
      <c r="J921" t="str">
        <f t="shared" si="29"/>
        <v>Master</v>
      </c>
      <c r="K921" t="s">
        <v>45</v>
      </c>
      <c r="L921">
        <v>4</v>
      </c>
      <c r="M921" t="s">
        <v>40</v>
      </c>
      <c r="N921" s="2">
        <v>67</v>
      </c>
      <c r="O921">
        <v>3</v>
      </c>
      <c r="P921">
        <v>3</v>
      </c>
      <c r="Q921" t="s">
        <v>47</v>
      </c>
      <c r="R921">
        <v>4</v>
      </c>
      <c r="S921" t="s">
        <v>37</v>
      </c>
      <c r="T921" s="2">
        <v>10512</v>
      </c>
      <c r="U921" s="2">
        <v>20002</v>
      </c>
      <c r="V921">
        <v>6</v>
      </c>
      <c r="W921" t="s">
        <v>38</v>
      </c>
      <c r="X921">
        <v>12</v>
      </c>
      <c r="Y921">
        <v>3</v>
      </c>
      <c r="Z921">
        <v>4</v>
      </c>
      <c r="AA921">
        <v>80</v>
      </c>
      <c r="AB921">
        <v>0</v>
      </c>
      <c r="AC921">
        <v>25</v>
      </c>
      <c r="AD921">
        <v>6</v>
      </c>
      <c r="AE921">
        <v>2</v>
      </c>
      <c r="AF921">
        <v>9</v>
      </c>
      <c r="AG921">
        <v>7</v>
      </c>
      <c r="AH921">
        <v>5</v>
      </c>
      <c r="AI921">
        <v>4</v>
      </c>
    </row>
    <row r="922" spans="1:35" x14ac:dyDescent="0.25">
      <c r="A922">
        <v>34</v>
      </c>
      <c r="B922" t="str">
        <f t="shared" si="28"/>
        <v>25-34</v>
      </c>
      <c r="C922" s="1" t="s">
        <v>38</v>
      </c>
      <c r="D922" s="17">
        <f>IF(Table1[[#This Row],[Attrition]]="Yes",1,0)</f>
        <v>0</v>
      </c>
      <c r="E922" t="s">
        <v>58</v>
      </c>
      <c r="F922" s="2">
        <v>135</v>
      </c>
      <c r="G922" t="s">
        <v>39</v>
      </c>
      <c r="H922">
        <v>19</v>
      </c>
      <c r="I922">
        <v>3</v>
      </c>
      <c r="J922" t="str">
        <f t="shared" si="29"/>
        <v>Bachelor</v>
      </c>
      <c r="K922" t="s">
        <v>45</v>
      </c>
      <c r="L922">
        <v>3</v>
      </c>
      <c r="M922" t="s">
        <v>35</v>
      </c>
      <c r="N922" s="2">
        <v>46</v>
      </c>
      <c r="O922">
        <v>3</v>
      </c>
      <c r="P922">
        <v>2</v>
      </c>
      <c r="Q922" t="s">
        <v>44</v>
      </c>
      <c r="R922">
        <v>2</v>
      </c>
      <c r="S922" t="s">
        <v>46</v>
      </c>
      <c r="T922" s="2">
        <v>4444</v>
      </c>
      <c r="U922" s="2">
        <v>22534</v>
      </c>
      <c r="V922">
        <v>4</v>
      </c>
      <c r="W922" t="s">
        <v>38</v>
      </c>
      <c r="X922">
        <v>13</v>
      </c>
      <c r="Y922">
        <v>3</v>
      </c>
      <c r="Z922">
        <v>3</v>
      </c>
      <c r="AA922">
        <v>80</v>
      </c>
      <c r="AB922">
        <v>2</v>
      </c>
      <c r="AC922">
        <v>15</v>
      </c>
      <c r="AD922">
        <v>2</v>
      </c>
      <c r="AE922">
        <v>4</v>
      </c>
      <c r="AF922">
        <v>11</v>
      </c>
      <c r="AG922">
        <v>8</v>
      </c>
      <c r="AH922">
        <v>5</v>
      </c>
      <c r="AI922">
        <v>10</v>
      </c>
    </row>
    <row r="923" spans="1:35" x14ac:dyDescent="0.25">
      <c r="A923">
        <v>28</v>
      </c>
      <c r="B923" t="str">
        <f t="shared" si="28"/>
        <v>25-34</v>
      </c>
      <c r="C923" s="1" t="s">
        <v>38</v>
      </c>
      <c r="D923" s="17">
        <f>IF(Table1[[#This Row],[Attrition]]="Yes",1,0)</f>
        <v>0</v>
      </c>
      <c r="E923" t="s">
        <v>58</v>
      </c>
      <c r="F923" s="2">
        <v>791</v>
      </c>
      <c r="G923" t="s">
        <v>39</v>
      </c>
      <c r="H923">
        <v>1</v>
      </c>
      <c r="I923">
        <v>4</v>
      </c>
      <c r="J923" t="str">
        <f t="shared" si="29"/>
        <v>Master</v>
      </c>
      <c r="K923" t="s">
        <v>45</v>
      </c>
      <c r="L923">
        <v>4</v>
      </c>
      <c r="M923" t="s">
        <v>40</v>
      </c>
      <c r="N923" s="2">
        <v>44</v>
      </c>
      <c r="O923">
        <v>3</v>
      </c>
      <c r="P923">
        <v>1</v>
      </c>
      <c r="Q923" t="s">
        <v>44</v>
      </c>
      <c r="R923">
        <v>3</v>
      </c>
      <c r="S923" t="s">
        <v>37</v>
      </c>
      <c r="T923" s="2">
        <v>2154</v>
      </c>
      <c r="U923" s="2">
        <v>6842</v>
      </c>
      <c r="V923">
        <v>0</v>
      </c>
      <c r="W923" t="s">
        <v>32</v>
      </c>
      <c r="X923">
        <v>11</v>
      </c>
      <c r="Y923">
        <v>3</v>
      </c>
      <c r="Z923">
        <v>3</v>
      </c>
      <c r="AA923">
        <v>80</v>
      </c>
      <c r="AB923">
        <v>0</v>
      </c>
      <c r="AC923">
        <v>5</v>
      </c>
      <c r="AD923">
        <v>2</v>
      </c>
      <c r="AE923">
        <v>2</v>
      </c>
      <c r="AF923">
        <v>4</v>
      </c>
      <c r="AG923">
        <v>2</v>
      </c>
      <c r="AH923">
        <v>0</v>
      </c>
      <c r="AI923">
        <v>2</v>
      </c>
    </row>
    <row r="924" spans="1:35" x14ac:dyDescent="0.25">
      <c r="A924">
        <v>44</v>
      </c>
      <c r="B924" t="str">
        <f t="shared" si="28"/>
        <v>35-44</v>
      </c>
      <c r="C924" s="1" t="s">
        <v>38</v>
      </c>
      <c r="D924" s="17">
        <f>IF(Table1[[#This Row],[Attrition]]="Yes",1,0)</f>
        <v>0</v>
      </c>
      <c r="E924" t="s">
        <v>57</v>
      </c>
      <c r="F924" s="2">
        <v>1199</v>
      </c>
      <c r="G924" t="s">
        <v>39</v>
      </c>
      <c r="H924">
        <v>4</v>
      </c>
      <c r="I924">
        <v>2</v>
      </c>
      <c r="J924" t="str">
        <f t="shared" si="29"/>
        <v>College</v>
      </c>
      <c r="K924" t="s">
        <v>34</v>
      </c>
      <c r="L924">
        <v>3</v>
      </c>
      <c r="M924" t="s">
        <v>40</v>
      </c>
      <c r="N924" s="2">
        <v>92</v>
      </c>
      <c r="O924">
        <v>4</v>
      </c>
      <c r="P924">
        <v>5</v>
      </c>
      <c r="Q924" t="s">
        <v>50</v>
      </c>
      <c r="R924">
        <v>1</v>
      </c>
      <c r="S924" t="s">
        <v>46</v>
      </c>
      <c r="T924" s="2">
        <v>19190</v>
      </c>
      <c r="U924" s="2">
        <v>17477</v>
      </c>
      <c r="V924">
        <v>1</v>
      </c>
      <c r="W924" t="s">
        <v>38</v>
      </c>
      <c r="X924">
        <v>14</v>
      </c>
      <c r="Y924">
        <v>3</v>
      </c>
      <c r="Z924">
        <v>4</v>
      </c>
      <c r="AA924">
        <v>80</v>
      </c>
      <c r="AB924">
        <v>2</v>
      </c>
      <c r="AC924">
        <v>26</v>
      </c>
      <c r="AD924">
        <v>4</v>
      </c>
      <c r="AE924">
        <v>2</v>
      </c>
      <c r="AF924">
        <v>25</v>
      </c>
      <c r="AG924">
        <v>9</v>
      </c>
      <c r="AH924">
        <v>14</v>
      </c>
      <c r="AI924">
        <v>13</v>
      </c>
    </row>
    <row r="925" spans="1:35" x14ac:dyDescent="0.25">
      <c r="A925">
        <v>34</v>
      </c>
      <c r="B925" t="str">
        <f t="shared" si="28"/>
        <v>25-34</v>
      </c>
      <c r="C925" s="1" t="s">
        <v>38</v>
      </c>
      <c r="D925" s="17">
        <f>IF(Table1[[#This Row],[Attrition]]="Yes",1,0)</f>
        <v>0</v>
      </c>
      <c r="E925" t="s">
        <v>58</v>
      </c>
      <c r="F925" s="2">
        <v>648</v>
      </c>
      <c r="G925" t="s">
        <v>55</v>
      </c>
      <c r="H925">
        <v>11</v>
      </c>
      <c r="I925">
        <v>3</v>
      </c>
      <c r="J925" t="str">
        <f t="shared" si="29"/>
        <v>Bachelor</v>
      </c>
      <c r="K925" t="s">
        <v>34</v>
      </c>
      <c r="L925">
        <v>3</v>
      </c>
      <c r="M925" t="s">
        <v>40</v>
      </c>
      <c r="N925" s="2">
        <v>56</v>
      </c>
      <c r="O925">
        <v>2</v>
      </c>
      <c r="P925">
        <v>2</v>
      </c>
      <c r="Q925" t="s">
        <v>55</v>
      </c>
      <c r="R925">
        <v>2</v>
      </c>
      <c r="S925" t="s">
        <v>42</v>
      </c>
      <c r="T925" s="2">
        <v>4490</v>
      </c>
      <c r="U925" s="2">
        <v>21833</v>
      </c>
      <c r="V925">
        <v>4</v>
      </c>
      <c r="W925" t="s">
        <v>38</v>
      </c>
      <c r="X925">
        <v>11</v>
      </c>
      <c r="Y925">
        <v>3</v>
      </c>
      <c r="Z925">
        <v>4</v>
      </c>
      <c r="AA925">
        <v>80</v>
      </c>
      <c r="AB925">
        <v>2</v>
      </c>
      <c r="AC925">
        <v>14</v>
      </c>
      <c r="AD925">
        <v>5</v>
      </c>
      <c r="AE925">
        <v>4</v>
      </c>
      <c r="AF925">
        <v>10</v>
      </c>
      <c r="AG925">
        <v>9</v>
      </c>
      <c r="AH925">
        <v>1</v>
      </c>
      <c r="AI925">
        <v>8</v>
      </c>
    </row>
    <row r="926" spans="1:35" x14ac:dyDescent="0.25">
      <c r="A926">
        <v>35</v>
      </c>
      <c r="B926" t="str">
        <f t="shared" si="28"/>
        <v>35-44</v>
      </c>
      <c r="C926" s="1" t="s">
        <v>38</v>
      </c>
      <c r="D926" s="17">
        <f>IF(Table1[[#This Row],[Attrition]]="Yes",1,0)</f>
        <v>0</v>
      </c>
      <c r="E926" t="s">
        <v>57</v>
      </c>
      <c r="F926" s="2">
        <v>735</v>
      </c>
      <c r="G926" t="s">
        <v>39</v>
      </c>
      <c r="H926">
        <v>6</v>
      </c>
      <c r="I926">
        <v>1</v>
      </c>
      <c r="J926" t="str">
        <f t="shared" si="29"/>
        <v>Below College</v>
      </c>
      <c r="K926" t="s">
        <v>34</v>
      </c>
      <c r="L926">
        <v>3</v>
      </c>
      <c r="M926" t="s">
        <v>40</v>
      </c>
      <c r="N926" s="2">
        <v>66</v>
      </c>
      <c r="O926">
        <v>3</v>
      </c>
      <c r="P926">
        <v>1</v>
      </c>
      <c r="Q926" t="s">
        <v>41</v>
      </c>
      <c r="R926">
        <v>3</v>
      </c>
      <c r="S926" t="s">
        <v>42</v>
      </c>
      <c r="T926" s="2">
        <v>3506</v>
      </c>
      <c r="U926" s="2">
        <v>6020</v>
      </c>
      <c r="V926">
        <v>0</v>
      </c>
      <c r="W926" t="s">
        <v>32</v>
      </c>
      <c r="X926">
        <v>14</v>
      </c>
      <c r="Y926">
        <v>3</v>
      </c>
      <c r="Z926">
        <v>4</v>
      </c>
      <c r="AA926">
        <v>80</v>
      </c>
      <c r="AB926">
        <v>0</v>
      </c>
      <c r="AC926">
        <v>4</v>
      </c>
      <c r="AD926">
        <v>3</v>
      </c>
      <c r="AE926">
        <v>3</v>
      </c>
      <c r="AF926">
        <v>3</v>
      </c>
      <c r="AG926">
        <v>2</v>
      </c>
      <c r="AH926">
        <v>2</v>
      </c>
      <c r="AI926">
        <v>2</v>
      </c>
    </row>
    <row r="927" spans="1:35" x14ac:dyDescent="0.25">
      <c r="A927">
        <v>42</v>
      </c>
      <c r="B927" t="str">
        <f t="shared" si="28"/>
        <v>35-44</v>
      </c>
      <c r="C927" s="1" t="s">
        <v>38</v>
      </c>
      <c r="D927" s="17">
        <f>IF(Table1[[#This Row],[Attrition]]="Yes",1,0)</f>
        <v>0</v>
      </c>
      <c r="E927" t="s">
        <v>57</v>
      </c>
      <c r="F927" s="2">
        <v>603</v>
      </c>
      <c r="G927" t="s">
        <v>39</v>
      </c>
      <c r="H927">
        <v>7</v>
      </c>
      <c r="I927">
        <v>4</v>
      </c>
      <c r="J927" t="str">
        <f t="shared" si="29"/>
        <v>Master</v>
      </c>
      <c r="K927" t="s">
        <v>45</v>
      </c>
      <c r="L927">
        <v>2</v>
      </c>
      <c r="M927" t="s">
        <v>35</v>
      </c>
      <c r="N927" s="2">
        <v>78</v>
      </c>
      <c r="O927">
        <v>4</v>
      </c>
      <c r="P927">
        <v>2</v>
      </c>
      <c r="Q927" t="s">
        <v>41</v>
      </c>
      <c r="R927">
        <v>2</v>
      </c>
      <c r="S927" t="s">
        <v>42</v>
      </c>
      <c r="T927" s="2">
        <v>2372</v>
      </c>
      <c r="U927" s="2">
        <v>5628</v>
      </c>
      <c r="V927">
        <v>6</v>
      </c>
      <c r="W927" t="s">
        <v>32</v>
      </c>
      <c r="X927">
        <v>16</v>
      </c>
      <c r="Y927">
        <v>3</v>
      </c>
      <c r="Z927">
        <v>4</v>
      </c>
      <c r="AA927">
        <v>80</v>
      </c>
      <c r="AB927">
        <v>0</v>
      </c>
      <c r="AC927">
        <v>18</v>
      </c>
      <c r="AD927">
        <v>2</v>
      </c>
      <c r="AE927">
        <v>3</v>
      </c>
      <c r="AF927">
        <v>1</v>
      </c>
      <c r="AG927">
        <v>0</v>
      </c>
      <c r="AH927">
        <v>0</v>
      </c>
      <c r="AI927">
        <v>0</v>
      </c>
    </row>
    <row r="928" spans="1:35" x14ac:dyDescent="0.25">
      <c r="A928">
        <v>43</v>
      </c>
      <c r="B928" t="str">
        <f t="shared" si="28"/>
        <v>35-44</v>
      </c>
      <c r="C928" s="1" t="s">
        <v>38</v>
      </c>
      <c r="D928" s="17">
        <f>IF(Table1[[#This Row],[Attrition]]="Yes",1,0)</f>
        <v>0</v>
      </c>
      <c r="E928" t="s">
        <v>57</v>
      </c>
      <c r="F928" s="2">
        <v>531</v>
      </c>
      <c r="G928" t="s">
        <v>33</v>
      </c>
      <c r="H928">
        <v>4</v>
      </c>
      <c r="I928">
        <v>4</v>
      </c>
      <c r="J928" t="str">
        <f t="shared" si="29"/>
        <v>Master</v>
      </c>
      <c r="K928" t="s">
        <v>53</v>
      </c>
      <c r="L928">
        <v>4</v>
      </c>
      <c r="M928" t="s">
        <v>35</v>
      </c>
      <c r="N928" s="2">
        <v>56</v>
      </c>
      <c r="O928">
        <v>2</v>
      </c>
      <c r="P928">
        <v>3</v>
      </c>
      <c r="Q928" t="s">
        <v>36</v>
      </c>
      <c r="R928">
        <v>4</v>
      </c>
      <c r="S928" t="s">
        <v>37</v>
      </c>
      <c r="T928" s="2">
        <v>10231</v>
      </c>
      <c r="U928" s="2">
        <v>20364</v>
      </c>
      <c r="V928">
        <v>3</v>
      </c>
      <c r="W928" t="s">
        <v>38</v>
      </c>
      <c r="X928">
        <v>14</v>
      </c>
      <c r="Y928">
        <v>3</v>
      </c>
      <c r="Z928">
        <v>4</v>
      </c>
      <c r="AA928">
        <v>80</v>
      </c>
      <c r="AB928">
        <v>0</v>
      </c>
      <c r="AC928">
        <v>23</v>
      </c>
      <c r="AD928">
        <v>3</v>
      </c>
      <c r="AE928">
        <v>4</v>
      </c>
      <c r="AF928">
        <v>21</v>
      </c>
      <c r="AG928">
        <v>7</v>
      </c>
      <c r="AH928">
        <v>15</v>
      </c>
      <c r="AI928">
        <v>17</v>
      </c>
    </row>
    <row r="929" spans="1:35" x14ac:dyDescent="0.25">
      <c r="A929">
        <v>36</v>
      </c>
      <c r="B929" t="str">
        <f t="shared" si="28"/>
        <v>35-44</v>
      </c>
      <c r="C929" s="1" t="s">
        <v>38</v>
      </c>
      <c r="D929" s="17">
        <f>IF(Table1[[#This Row],[Attrition]]="Yes",1,0)</f>
        <v>0</v>
      </c>
      <c r="E929" t="s">
        <v>57</v>
      </c>
      <c r="F929" s="2">
        <v>429</v>
      </c>
      <c r="G929" t="s">
        <v>39</v>
      </c>
      <c r="H929">
        <v>2</v>
      </c>
      <c r="I929">
        <v>4</v>
      </c>
      <c r="J929" t="str">
        <f t="shared" si="29"/>
        <v>Master</v>
      </c>
      <c r="K929" t="s">
        <v>34</v>
      </c>
      <c r="L929">
        <v>3</v>
      </c>
      <c r="M929" t="s">
        <v>35</v>
      </c>
      <c r="N929" s="2">
        <v>53</v>
      </c>
      <c r="O929">
        <v>3</v>
      </c>
      <c r="P929">
        <v>2</v>
      </c>
      <c r="Q929" t="s">
        <v>47</v>
      </c>
      <c r="R929">
        <v>2</v>
      </c>
      <c r="S929" t="s">
        <v>37</v>
      </c>
      <c r="T929" s="2">
        <v>5410</v>
      </c>
      <c r="U929" s="2">
        <v>2323</v>
      </c>
      <c r="V929">
        <v>9</v>
      </c>
      <c r="W929" t="s">
        <v>32</v>
      </c>
      <c r="X929">
        <v>11</v>
      </c>
      <c r="Y929">
        <v>3</v>
      </c>
      <c r="Z929">
        <v>4</v>
      </c>
      <c r="AA929">
        <v>80</v>
      </c>
      <c r="AB929">
        <v>0</v>
      </c>
      <c r="AC929">
        <v>18</v>
      </c>
      <c r="AD929">
        <v>2</v>
      </c>
      <c r="AE929">
        <v>3</v>
      </c>
      <c r="AF929">
        <v>16</v>
      </c>
      <c r="AG929">
        <v>14</v>
      </c>
      <c r="AH929">
        <v>5</v>
      </c>
      <c r="AI929">
        <v>12</v>
      </c>
    </row>
    <row r="930" spans="1:35" x14ac:dyDescent="0.25">
      <c r="A930">
        <v>44</v>
      </c>
      <c r="B930" t="str">
        <f t="shared" si="28"/>
        <v>35-44</v>
      </c>
      <c r="C930" s="1" t="s">
        <v>32</v>
      </c>
      <c r="D930" s="17">
        <f>IF(Table1[[#This Row],[Attrition]]="Yes",1,0)</f>
        <v>1</v>
      </c>
      <c r="E930" t="s">
        <v>57</v>
      </c>
      <c r="F930" s="2">
        <v>621</v>
      </c>
      <c r="G930" t="s">
        <v>39</v>
      </c>
      <c r="H930">
        <v>15</v>
      </c>
      <c r="I930">
        <v>3</v>
      </c>
      <c r="J930" t="str">
        <f t="shared" si="29"/>
        <v>Bachelor</v>
      </c>
      <c r="K930" t="s">
        <v>45</v>
      </c>
      <c r="L930">
        <v>1</v>
      </c>
      <c r="M930" t="s">
        <v>35</v>
      </c>
      <c r="N930" s="2">
        <v>73</v>
      </c>
      <c r="O930">
        <v>3</v>
      </c>
      <c r="P930">
        <v>3</v>
      </c>
      <c r="Q930" t="s">
        <v>48</v>
      </c>
      <c r="R930">
        <v>4</v>
      </c>
      <c r="S930" t="s">
        <v>42</v>
      </c>
      <c r="T930" s="2">
        <v>7978</v>
      </c>
      <c r="U930" s="2">
        <v>14075</v>
      </c>
      <c r="V930">
        <v>1</v>
      </c>
      <c r="W930" t="s">
        <v>38</v>
      </c>
      <c r="X930">
        <v>11</v>
      </c>
      <c r="Y930">
        <v>3</v>
      </c>
      <c r="Z930">
        <v>4</v>
      </c>
      <c r="AA930">
        <v>80</v>
      </c>
      <c r="AB930">
        <v>1</v>
      </c>
      <c r="AC930">
        <v>10</v>
      </c>
      <c r="AD930">
        <v>2</v>
      </c>
      <c r="AE930">
        <v>3</v>
      </c>
      <c r="AF930">
        <v>10</v>
      </c>
      <c r="AG930">
        <v>7</v>
      </c>
      <c r="AH930">
        <v>0</v>
      </c>
      <c r="AI930">
        <v>5</v>
      </c>
    </row>
    <row r="931" spans="1:35" x14ac:dyDescent="0.25">
      <c r="A931">
        <v>28</v>
      </c>
      <c r="B931" t="str">
        <f t="shared" si="28"/>
        <v>25-34</v>
      </c>
      <c r="C931" s="1" t="s">
        <v>38</v>
      </c>
      <c r="D931" s="17">
        <f>IF(Table1[[#This Row],[Attrition]]="Yes",1,0)</f>
        <v>0</v>
      </c>
      <c r="E931" t="s">
        <v>58</v>
      </c>
      <c r="F931" s="2">
        <v>193</v>
      </c>
      <c r="G931" t="s">
        <v>39</v>
      </c>
      <c r="H931">
        <v>2</v>
      </c>
      <c r="I931">
        <v>3</v>
      </c>
      <c r="J931" t="str">
        <f t="shared" si="29"/>
        <v>Bachelor</v>
      </c>
      <c r="K931" t="s">
        <v>34</v>
      </c>
      <c r="L931">
        <v>4</v>
      </c>
      <c r="M931" t="s">
        <v>40</v>
      </c>
      <c r="N931" s="2">
        <v>52</v>
      </c>
      <c r="O931">
        <v>2</v>
      </c>
      <c r="P931">
        <v>1</v>
      </c>
      <c r="Q931" t="s">
        <v>44</v>
      </c>
      <c r="R931">
        <v>4</v>
      </c>
      <c r="S931" t="s">
        <v>42</v>
      </c>
      <c r="T931" s="2">
        <v>3867</v>
      </c>
      <c r="U931" s="2">
        <v>14222</v>
      </c>
      <c r="V931">
        <v>1</v>
      </c>
      <c r="W931" t="s">
        <v>32</v>
      </c>
      <c r="X931">
        <v>12</v>
      </c>
      <c r="Y931">
        <v>3</v>
      </c>
      <c r="Z931">
        <v>2</v>
      </c>
      <c r="AA931">
        <v>80</v>
      </c>
      <c r="AB931">
        <v>1</v>
      </c>
      <c r="AC931">
        <v>2</v>
      </c>
      <c r="AD931">
        <v>2</v>
      </c>
      <c r="AE931">
        <v>3</v>
      </c>
      <c r="AF931">
        <v>2</v>
      </c>
      <c r="AG931">
        <v>2</v>
      </c>
      <c r="AH931">
        <v>2</v>
      </c>
      <c r="AI931">
        <v>2</v>
      </c>
    </row>
    <row r="932" spans="1:35" x14ac:dyDescent="0.25">
      <c r="A932">
        <v>51</v>
      </c>
      <c r="B932" t="str">
        <f t="shared" si="28"/>
        <v>45-54</v>
      </c>
      <c r="C932" s="1" t="s">
        <v>38</v>
      </c>
      <c r="D932" s="17">
        <f>IF(Table1[[#This Row],[Attrition]]="Yes",1,0)</f>
        <v>0</v>
      </c>
      <c r="E932" t="s">
        <v>58</v>
      </c>
      <c r="F932" s="2">
        <v>968</v>
      </c>
      <c r="G932" t="s">
        <v>39</v>
      </c>
      <c r="H932">
        <v>6</v>
      </c>
      <c r="I932">
        <v>2</v>
      </c>
      <c r="J932" t="str">
        <f t="shared" si="29"/>
        <v>College</v>
      </c>
      <c r="K932" t="s">
        <v>45</v>
      </c>
      <c r="L932">
        <v>2</v>
      </c>
      <c r="M932" t="s">
        <v>35</v>
      </c>
      <c r="N932" s="2">
        <v>40</v>
      </c>
      <c r="O932">
        <v>2</v>
      </c>
      <c r="P932">
        <v>1</v>
      </c>
      <c r="Q932" t="s">
        <v>44</v>
      </c>
      <c r="R932">
        <v>3</v>
      </c>
      <c r="S932" t="s">
        <v>37</v>
      </c>
      <c r="T932" s="2">
        <v>2838</v>
      </c>
      <c r="U932" s="2">
        <v>4257</v>
      </c>
      <c r="V932">
        <v>0</v>
      </c>
      <c r="W932" t="s">
        <v>38</v>
      </c>
      <c r="X932">
        <v>14</v>
      </c>
      <c r="Y932">
        <v>3</v>
      </c>
      <c r="Z932">
        <v>2</v>
      </c>
      <c r="AA932">
        <v>80</v>
      </c>
      <c r="AB932">
        <v>0</v>
      </c>
      <c r="AC932">
        <v>8</v>
      </c>
      <c r="AD932">
        <v>6</v>
      </c>
      <c r="AE932">
        <v>2</v>
      </c>
      <c r="AF932">
        <v>7</v>
      </c>
      <c r="AG932">
        <v>0</v>
      </c>
      <c r="AH932">
        <v>7</v>
      </c>
      <c r="AI932">
        <v>7</v>
      </c>
    </row>
    <row r="933" spans="1:35" x14ac:dyDescent="0.25">
      <c r="A933">
        <v>30</v>
      </c>
      <c r="B933" t="str">
        <f t="shared" si="28"/>
        <v>25-34</v>
      </c>
      <c r="C933" s="1" t="s">
        <v>38</v>
      </c>
      <c r="D933" s="17">
        <f>IF(Table1[[#This Row],[Attrition]]="Yes",1,0)</f>
        <v>0</v>
      </c>
      <c r="E933" t="s">
        <v>49</v>
      </c>
      <c r="F933" s="2">
        <v>879</v>
      </c>
      <c r="G933" t="s">
        <v>39</v>
      </c>
      <c r="H933">
        <v>9</v>
      </c>
      <c r="I933">
        <v>2</v>
      </c>
      <c r="J933" t="str">
        <f t="shared" si="29"/>
        <v>College</v>
      </c>
      <c r="K933" t="s">
        <v>45</v>
      </c>
      <c r="L933">
        <v>3</v>
      </c>
      <c r="M933" t="s">
        <v>35</v>
      </c>
      <c r="N933" s="2">
        <v>72</v>
      </c>
      <c r="O933">
        <v>3</v>
      </c>
      <c r="P933">
        <v>2</v>
      </c>
      <c r="Q933" t="s">
        <v>47</v>
      </c>
      <c r="R933">
        <v>3</v>
      </c>
      <c r="S933" t="s">
        <v>37</v>
      </c>
      <c r="T933" s="2">
        <v>4695</v>
      </c>
      <c r="U933" s="2">
        <v>12858</v>
      </c>
      <c r="V933">
        <v>7</v>
      </c>
      <c r="W933" t="s">
        <v>32</v>
      </c>
      <c r="X933">
        <v>18</v>
      </c>
      <c r="Y933">
        <v>3</v>
      </c>
      <c r="Z933">
        <v>3</v>
      </c>
      <c r="AA933">
        <v>80</v>
      </c>
      <c r="AB933">
        <v>0</v>
      </c>
      <c r="AC933">
        <v>10</v>
      </c>
      <c r="AD933">
        <v>3</v>
      </c>
      <c r="AE933">
        <v>3</v>
      </c>
      <c r="AF933">
        <v>8</v>
      </c>
      <c r="AG933">
        <v>4</v>
      </c>
      <c r="AH933">
        <v>1</v>
      </c>
      <c r="AI933">
        <v>7</v>
      </c>
    </row>
    <row r="934" spans="1:35" x14ac:dyDescent="0.25">
      <c r="A934">
        <v>29</v>
      </c>
      <c r="B934" t="str">
        <f t="shared" si="28"/>
        <v>25-34</v>
      </c>
      <c r="C934" s="1" t="s">
        <v>32</v>
      </c>
      <c r="D934" s="17">
        <f>IF(Table1[[#This Row],[Attrition]]="Yes",1,0)</f>
        <v>1</v>
      </c>
      <c r="E934" t="s">
        <v>57</v>
      </c>
      <c r="F934" s="2">
        <v>806</v>
      </c>
      <c r="G934" t="s">
        <v>39</v>
      </c>
      <c r="H934">
        <v>7</v>
      </c>
      <c r="I934">
        <v>3</v>
      </c>
      <c r="J934" t="str">
        <f t="shared" si="29"/>
        <v>Bachelor</v>
      </c>
      <c r="K934" t="s">
        <v>54</v>
      </c>
      <c r="L934">
        <v>2</v>
      </c>
      <c r="M934" t="s">
        <v>35</v>
      </c>
      <c r="N934" s="2">
        <v>39</v>
      </c>
      <c r="O934">
        <v>3</v>
      </c>
      <c r="P934">
        <v>1</v>
      </c>
      <c r="Q934" t="s">
        <v>44</v>
      </c>
      <c r="R934">
        <v>3</v>
      </c>
      <c r="S934" t="s">
        <v>46</v>
      </c>
      <c r="T934" s="2">
        <v>3339</v>
      </c>
      <c r="U934" s="2">
        <v>17285</v>
      </c>
      <c r="V934">
        <v>3</v>
      </c>
      <c r="W934" t="s">
        <v>32</v>
      </c>
      <c r="X934">
        <v>13</v>
      </c>
      <c r="Y934">
        <v>3</v>
      </c>
      <c r="Z934">
        <v>1</v>
      </c>
      <c r="AA934">
        <v>80</v>
      </c>
      <c r="AB934">
        <v>2</v>
      </c>
      <c r="AC934">
        <v>10</v>
      </c>
      <c r="AD934">
        <v>2</v>
      </c>
      <c r="AE934">
        <v>3</v>
      </c>
      <c r="AF934">
        <v>7</v>
      </c>
      <c r="AG934">
        <v>7</v>
      </c>
      <c r="AH934">
        <v>7</v>
      </c>
      <c r="AI934">
        <v>7</v>
      </c>
    </row>
    <row r="935" spans="1:35" x14ac:dyDescent="0.25">
      <c r="A935">
        <v>28</v>
      </c>
      <c r="B935" t="str">
        <f t="shared" si="28"/>
        <v>25-34</v>
      </c>
      <c r="C935" s="1" t="s">
        <v>38</v>
      </c>
      <c r="D935" s="17">
        <f>IF(Table1[[#This Row],[Attrition]]="Yes",1,0)</f>
        <v>0</v>
      </c>
      <c r="E935" t="s">
        <v>57</v>
      </c>
      <c r="F935" s="2">
        <v>640</v>
      </c>
      <c r="G935" t="s">
        <v>39</v>
      </c>
      <c r="H935">
        <v>1</v>
      </c>
      <c r="I935">
        <v>3</v>
      </c>
      <c r="J935" t="str">
        <f t="shared" si="29"/>
        <v>Bachelor</v>
      </c>
      <c r="K935" t="s">
        <v>54</v>
      </c>
      <c r="L935">
        <v>4</v>
      </c>
      <c r="M935" t="s">
        <v>40</v>
      </c>
      <c r="N935" s="2">
        <v>84</v>
      </c>
      <c r="O935">
        <v>3</v>
      </c>
      <c r="P935">
        <v>1</v>
      </c>
      <c r="Q935" t="s">
        <v>41</v>
      </c>
      <c r="R935">
        <v>1</v>
      </c>
      <c r="S935" t="s">
        <v>37</v>
      </c>
      <c r="T935" s="2">
        <v>2080</v>
      </c>
      <c r="U935" s="2">
        <v>4732</v>
      </c>
      <c r="V935">
        <v>2</v>
      </c>
      <c r="W935" t="s">
        <v>38</v>
      </c>
      <c r="X935">
        <v>11</v>
      </c>
      <c r="Y935">
        <v>3</v>
      </c>
      <c r="Z935">
        <v>2</v>
      </c>
      <c r="AA935">
        <v>80</v>
      </c>
      <c r="AB935">
        <v>0</v>
      </c>
      <c r="AC935">
        <v>5</v>
      </c>
      <c r="AD935">
        <v>2</v>
      </c>
      <c r="AE935">
        <v>2</v>
      </c>
      <c r="AF935">
        <v>3</v>
      </c>
      <c r="AG935">
        <v>2</v>
      </c>
      <c r="AH935">
        <v>1</v>
      </c>
      <c r="AI935">
        <v>2</v>
      </c>
    </row>
    <row r="936" spans="1:35" x14ac:dyDescent="0.25">
      <c r="A936">
        <v>25</v>
      </c>
      <c r="B936" t="str">
        <f t="shared" si="28"/>
        <v>25-34</v>
      </c>
      <c r="C936" s="1" t="s">
        <v>38</v>
      </c>
      <c r="D936" s="17">
        <f>IF(Table1[[#This Row],[Attrition]]="Yes",1,0)</f>
        <v>0</v>
      </c>
      <c r="E936" t="s">
        <v>57</v>
      </c>
      <c r="F936" s="2">
        <v>266</v>
      </c>
      <c r="G936" t="s">
        <v>39</v>
      </c>
      <c r="H936">
        <v>1</v>
      </c>
      <c r="I936">
        <v>3</v>
      </c>
      <c r="J936" t="str">
        <f t="shared" si="29"/>
        <v>Bachelor</v>
      </c>
      <c r="K936" t="s">
        <v>45</v>
      </c>
      <c r="L936">
        <v>4</v>
      </c>
      <c r="M936" t="s">
        <v>35</v>
      </c>
      <c r="N936" s="2">
        <v>40</v>
      </c>
      <c r="O936">
        <v>3</v>
      </c>
      <c r="P936">
        <v>1</v>
      </c>
      <c r="Q936" t="s">
        <v>41</v>
      </c>
      <c r="R936">
        <v>2</v>
      </c>
      <c r="S936" t="s">
        <v>37</v>
      </c>
      <c r="T936" s="2">
        <v>2096</v>
      </c>
      <c r="U936" s="2">
        <v>18830</v>
      </c>
      <c r="V936">
        <v>1</v>
      </c>
      <c r="W936" t="s">
        <v>38</v>
      </c>
      <c r="X936">
        <v>18</v>
      </c>
      <c r="Y936">
        <v>3</v>
      </c>
      <c r="Z936">
        <v>4</v>
      </c>
      <c r="AA936">
        <v>80</v>
      </c>
      <c r="AB936">
        <v>0</v>
      </c>
      <c r="AC936">
        <v>2</v>
      </c>
      <c r="AD936">
        <v>3</v>
      </c>
      <c r="AE936">
        <v>2</v>
      </c>
      <c r="AF936">
        <v>2</v>
      </c>
      <c r="AG936">
        <v>2</v>
      </c>
      <c r="AH936">
        <v>2</v>
      </c>
      <c r="AI936">
        <v>1</v>
      </c>
    </row>
    <row r="937" spans="1:35" x14ac:dyDescent="0.25">
      <c r="A937">
        <v>32</v>
      </c>
      <c r="B937" t="str">
        <f t="shared" si="28"/>
        <v>25-34</v>
      </c>
      <c r="C937" s="1" t="s">
        <v>38</v>
      </c>
      <c r="D937" s="17">
        <f>IF(Table1[[#This Row],[Attrition]]="Yes",1,0)</f>
        <v>0</v>
      </c>
      <c r="E937" t="s">
        <v>57</v>
      </c>
      <c r="F937" s="2">
        <v>604</v>
      </c>
      <c r="G937" t="s">
        <v>33</v>
      </c>
      <c r="H937">
        <v>8</v>
      </c>
      <c r="I937">
        <v>3</v>
      </c>
      <c r="J937" t="str">
        <f t="shared" si="29"/>
        <v>Bachelor</v>
      </c>
      <c r="K937" t="s">
        <v>45</v>
      </c>
      <c r="L937">
        <v>3</v>
      </c>
      <c r="M937" t="s">
        <v>40</v>
      </c>
      <c r="N937" s="2">
        <v>56</v>
      </c>
      <c r="O937">
        <v>4</v>
      </c>
      <c r="P937">
        <v>2</v>
      </c>
      <c r="Q937" t="s">
        <v>36</v>
      </c>
      <c r="R937">
        <v>4</v>
      </c>
      <c r="S937" t="s">
        <v>42</v>
      </c>
      <c r="T937" s="2">
        <v>6209</v>
      </c>
      <c r="U937" s="2">
        <v>11693</v>
      </c>
      <c r="V937">
        <v>1</v>
      </c>
      <c r="W937" t="s">
        <v>38</v>
      </c>
      <c r="X937">
        <v>15</v>
      </c>
      <c r="Y937">
        <v>3</v>
      </c>
      <c r="Z937">
        <v>3</v>
      </c>
      <c r="AA937">
        <v>80</v>
      </c>
      <c r="AB937">
        <v>2</v>
      </c>
      <c r="AC937">
        <v>10</v>
      </c>
      <c r="AD937">
        <v>4</v>
      </c>
      <c r="AE937">
        <v>4</v>
      </c>
      <c r="AF937">
        <v>10</v>
      </c>
      <c r="AG937">
        <v>7</v>
      </c>
      <c r="AH937">
        <v>0</v>
      </c>
      <c r="AI937">
        <v>8</v>
      </c>
    </row>
    <row r="938" spans="1:35" x14ac:dyDescent="0.25">
      <c r="A938">
        <v>45</v>
      </c>
      <c r="B938" t="str">
        <f t="shared" si="28"/>
        <v>45-54</v>
      </c>
      <c r="C938" s="1" t="s">
        <v>38</v>
      </c>
      <c r="D938" s="17">
        <f>IF(Table1[[#This Row],[Attrition]]="Yes",1,0)</f>
        <v>0</v>
      </c>
      <c r="E938" t="s">
        <v>58</v>
      </c>
      <c r="F938" s="2">
        <v>364</v>
      </c>
      <c r="G938" t="s">
        <v>39</v>
      </c>
      <c r="H938">
        <v>25</v>
      </c>
      <c r="I938">
        <v>3</v>
      </c>
      <c r="J938" t="str">
        <f t="shared" si="29"/>
        <v>Bachelor</v>
      </c>
      <c r="K938" t="s">
        <v>45</v>
      </c>
      <c r="L938">
        <v>2</v>
      </c>
      <c r="M938" t="s">
        <v>35</v>
      </c>
      <c r="N938" s="2">
        <v>83</v>
      </c>
      <c r="O938">
        <v>3</v>
      </c>
      <c r="P938">
        <v>5</v>
      </c>
      <c r="Q938" t="s">
        <v>50</v>
      </c>
      <c r="R938">
        <v>2</v>
      </c>
      <c r="S938" t="s">
        <v>37</v>
      </c>
      <c r="T938" s="2">
        <v>18061</v>
      </c>
      <c r="U938" s="2">
        <v>13035</v>
      </c>
      <c r="V938">
        <v>3</v>
      </c>
      <c r="W938" t="s">
        <v>38</v>
      </c>
      <c r="X938">
        <v>22</v>
      </c>
      <c r="Y938">
        <v>4</v>
      </c>
      <c r="Z938">
        <v>3</v>
      </c>
      <c r="AA938">
        <v>80</v>
      </c>
      <c r="AB938">
        <v>0</v>
      </c>
      <c r="AC938">
        <v>22</v>
      </c>
      <c r="AD938">
        <v>4</v>
      </c>
      <c r="AE938">
        <v>3</v>
      </c>
      <c r="AF938">
        <v>0</v>
      </c>
      <c r="AG938">
        <v>0</v>
      </c>
      <c r="AH938">
        <v>0</v>
      </c>
      <c r="AI938">
        <v>0</v>
      </c>
    </row>
    <row r="939" spans="1:35" x14ac:dyDescent="0.25">
      <c r="A939">
        <v>39</v>
      </c>
      <c r="B939" t="str">
        <f t="shared" si="28"/>
        <v>35-44</v>
      </c>
      <c r="C939" s="1" t="s">
        <v>38</v>
      </c>
      <c r="D939" s="17">
        <f>IF(Table1[[#This Row],[Attrition]]="Yes",1,0)</f>
        <v>0</v>
      </c>
      <c r="E939" t="s">
        <v>57</v>
      </c>
      <c r="F939" s="2">
        <v>412</v>
      </c>
      <c r="G939" t="s">
        <v>39</v>
      </c>
      <c r="H939">
        <v>13</v>
      </c>
      <c r="I939">
        <v>4</v>
      </c>
      <c r="J939" t="str">
        <f t="shared" si="29"/>
        <v>Master</v>
      </c>
      <c r="K939" t="s">
        <v>45</v>
      </c>
      <c r="L939">
        <v>3</v>
      </c>
      <c r="M939" t="s">
        <v>35</v>
      </c>
      <c r="N939" s="2">
        <v>94</v>
      </c>
      <c r="O939">
        <v>2</v>
      </c>
      <c r="P939">
        <v>4</v>
      </c>
      <c r="Q939" t="s">
        <v>50</v>
      </c>
      <c r="R939">
        <v>2</v>
      </c>
      <c r="S939" t="s">
        <v>46</v>
      </c>
      <c r="T939" s="2">
        <v>17123</v>
      </c>
      <c r="U939" s="2">
        <v>17334</v>
      </c>
      <c r="V939">
        <v>6</v>
      </c>
      <c r="W939" t="s">
        <v>32</v>
      </c>
      <c r="X939">
        <v>13</v>
      </c>
      <c r="Y939">
        <v>3</v>
      </c>
      <c r="Z939">
        <v>4</v>
      </c>
      <c r="AA939">
        <v>80</v>
      </c>
      <c r="AB939">
        <v>2</v>
      </c>
      <c r="AC939">
        <v>21</v>
      </c>
      <c r="AD939">
        <v>4</v>
      </c>
      <c r="AE939">
        <v>3</v>
      </c>
      <c r="AF939">
        <v>19</v>
      </c>
      <c r="AG939">
        <v>9</v>
      </c>
      <c r="AH939">
        <v>15</v>
      </c>
      <c r="AI939">
        <v>2</v>
      </c>
    </row>
    <row r="940" spans="1:35" x14ac:dyDescent="0.25">
      <c r="A940">
        <v>58</v>
      </c>
      <c r="B940" t="str">
        <f t="shared" si="28"/>
        <v>55-64</v>
      </c>
      <c r="C940" s="1" t="s">
        <v>38</v>
      </c>
      <c r="D940" s="17">
        <f>IF(Table1[[#This Row],[Attrition]]="Yes",1,0)</f>
        <v>0</v>
      </c>
      <c r="E940" t="s">
        <v>57</v>
      </c>
      <c r="F940" s="2">
        <v>848</v>
      </c>
      <c r="G940" t="s">
        <v>39</v>
      </c>
      <c r="H940">
        <v>23</v>
      </c>
      <c r="I940">
        <v>4</v>
      </c>
      <c r="J940" t="str">
        <f t="shared" si="29"/>
        <v>Master</v>
      </c>
      <c r="K940" t="s">
        <v>34</v>
      </c>
      <c r="L940">
        <v>1</v>
      </c>
      <c r="M940" t="s">
        <v>40</v>
      </c>
      <c r="N940" s="2">
        <v>88</v>
      </c>
      <c r="O940">
        <v>3</v>
      </c>
      <c r="P940">
        <v>1</v>
      </c>
      <c r="Q940" t="s">
        <v>41</v>
      </c>
      <c r="R940">
        <v>3</v>
      </c>
      <c r="S940" t="s">
        <v>46</v>
      </c>
      <c r="T940" s="2">
        <v>2372</v>
      </c>
      <c r="U940" s="2">
        <v>26076</v>
      </c>
      <c r="V940">
        <v>1</v>
      </c>
      <c r="W940" t="s">
        <v>38</v>
      </c>
      <c r="X940">
        <v>12</v>
      </c>
      <c r="Y940">
        <v>3</v>
      </c>
      <c r="Z940">
        <v>4</v>
      </c>
      <c r="AA940">
        <v>80</v>
      </c>
      <c r="AB940">
        <v>2</v>
      </c>
      <c r="AC940">
        <v>2</v>
      </c>
      <c r="AD940">
        <v>3</v>
      </c>
      <c r="AE940">
        <v>3</v>
      </c>
      <c r="AF940">
        <v>2</v>
      </c>
      <c r="AG940">
        <v>2</v>
      </c>
      <c r="AH940">
        <v>2</v>
      </c>
      <c r="AI940">
        <v>2</v>
      </c>
    </row>
    <row r="941" spans="1:35" x14ac:dyDescent="0.25">
      <c r="A941">
        <v>32</v>
      </c>
      <c r="B941" t="str">
        <f t="shared" si="28"/>
        <v>25-34</v>
      </c>
      <c r="C941" s="1" t="s">
        <v>32</v>
      </c>
      <c r="D941" s="17">
        <f>IF(Table1[[#This Row],[Attrition]]="Yes",1,0)</f>
        <v>1</v>
      </c>
      <c r="E941" t="s">
        <v>57</v>
      </c>
      <c r="F941" s="2">
        <v>1089</v>
      </c>
      <c r="G941" t="s">
        <v>39</v>
      </c>
      <c r="H941">
        <v>7</v>
      </c>
      <c r="I941">
        <v>2</v>
      </c>
      <c r="J941" t="str">
        <f t="shared" si="29"/>
        <v>College</v>
      </c>
      <c r="K941" t="s">
        <v>34</v>
      </c>
      <c r="L941">
        <v>4</v>
      </c>
      <c r="M941" t="s">
        <v>40</v>
      </c>
      <c r="N941" s="2">
        <v>79</v>
      </c>
      <c r="O941">
        <v>3</v>
      </c>
      <c r="P941">
        <v>2</v>
      </c>
      <c r="Q941" t="s">
        <v>44</v>
      </c>
      <c r="R941">
        <v>3</v>
      </c>
      <c r="S941" t="s">
        <v>42</v>
      </c>
      <c r="T941" s="2">
        <v>4883</v>
      </c>
      <c r="U941" s="2">
        <v>22845</v>
      </c>
      <c r="V941">
        <v>1</v>
      </c>
      <c r="W941" t="s">
        <v>38</v>
      </c>
      <c r="X941">
        <v>18</v>
      </c>
      <c r="Y941">
        <v>3</v>
      </c>
      <c r="Z941">
        <v>1</v>
      </c>
      <c r="AA941">
        <v>80</v>
      </c>
      <c r="AB941">
        <v>1</v>
      </c>
      <c r="AC941">
        <v>10</v>
      </c>
      <c r="AD941">
        <v>3</v>
      </c>
      <c r="AE941">
        <v>3</v>
      </c>
      <c r="AF941">
        <v>10</v>
      </c>
      <c r="AG941">
        <v>4</v>
      </c>
      <c r="AH941">
        <v>1</v>
      </c>
      <c r="AI941">
        <v>1</v>
      </c>
    </row>
    <row r="942" spans="1:35" x14ac:dyDescent="0.25">
      <c r="A942">
        <v>39</v>
      </c>
      <c r="B942" t="str">
        <f t="shared" si="28"/>
        <v>35-44</v>
      </c>
      <c r="C942" s="1" t="s">
        <v>32</v>
      </c>
      <c r="D942" s="17">
        <f>IF(Table1[[#This Row],[Attrition]]="Yes",1,0)</f>
        <v>1</v>
      </c>
      <c r="E942" t="s">
        <v>57</v>
      </c>
      <c r="F942" s="2">
        <v>360</v>
      </c>
      <c r="G942" t="s">
        <v>39</v>
      </c>
      <c r="H942">
        <v>23</v>
      </c>
      <c r="I942">
        <v>3</v>
      </c>
      <c r="J942" t="str">
        <f t="shared" si="29"/>
        <v>Bachelor</v>
      </c>
      <c r="K942" t="s">
        <v>45</v>
      </c>
      <c r="L942">
        <v>3</v>
      </c>
      <c r="M942" t="s">
        <v>40</v>
      </c>
      <c r="N942" s="2">
        <v>93</v>
      </c>
      <c r="O942">
        <v>3</v>
      </c>
      <c r="P942">
        <v>1</v>
      </c>
      <c r="Q942" t="s">
        <v>41</v>
      </c>
      <c r="R942">
        <v>1</v>
      </c>
      <c r="S942" t="s">
        <v>37</v>
      </c>
      <c r="T942" s="2">
        <v>3904</v>
      </c>
      <c r="U942" s="2">
        <v>22154</v>
      </c>
      <c r="V942">
        <v>0</v>
      </c>
      <c r="W942" t="s">
        <v>38</v>
      </c>
      <c r="X942">
        <v>13</v>
      </c>
      <c r="Y942">
        <v>3</v>
      </c>
      <c r="Z942">
        <v>1</v>
      </c>
      <c r="AA942">
        <v>80</v>
      </c>
      <c r="AB942">
        <v>0</v>
      </c>
      <c r="AC942">
        <v>6</v>
      </c>
      <c r="AD942">
        <v>2</v>
      </c>
      <c r="AE942">
        <v>3</v>
      </c>
      <c r="AF942">
        <v>5</v>
      </c>
      <c r="AG942">
        <v>2</v>
      </c>
      <c r="AH942">
        <v>0</v>
      </c>
      <c r="AI942">
        <v>3</v>
      </c>
    </row>
    <row r="943" spans="1:35" x14ac:dyDescent="0.25">
      <c r="A943">
        <v>30</v>
      </c>
      <c r="B943" t="str">
        <f t="shared" si="28"/>
        <v>25-34</v>
      </c>
      <c r="C943" s="1" t="s">
        <v>38</v>
      </c>
      <c r="D943" s="17">
        <f>IF(Table1[[#This Row],[Attrition]]="Yes",1,0)</f>
        <v>0</v>
      </c>
      <c r="E943" t="s">
        <v>57</v>
      </c>
      <c r="F943" s="2">
        <v>1138</v>
      </c>
      <c r="G943" t="s">
        <v>39</v>
      </c>
      <c r="H943">
        <v>6</v>
      </c>
      <c r="I943">
        <v>3</v>
      </c>
      <c r="J943" t="str">
        <f t="shared" si="29"/>
        <v>Bachelor</v>
      </c>
      <c r="K943" t="s">
        <v>54</v>
      </c>
      <c r="L943">
        <v>1</v>
      </c>
      <c r="M943" t="s">
        <v>35</v>
      </c>
      <c r="N943" s="2">
        <v>48</v>
      </c>
      <c r="O943">
        <v>2</v>
      </c>
      <c r="P943">
        <v>2</v>
      </c>
      <c r="Q943" t="s">
        <v>44</v>
      </c>
      <c r="R943">
        <v>4</v>
      </c>
      <c r="S943" t="s">
        <v>42</v>
      </c>
      <c r="T943" s="2">
        <v>4627</v>
      </c>
      <c r="U943" s="2">
        <v>23631</v>
      </c>
      <c r="V943">
        <v>0</v>
      </c>
      <c r="W943" t="s">
        <v>38</v>
      </c>
      <c r="X943">
        <v>12</v>
      </c>
      <c r="Y943">
        <v>3</v>
      </c>
      <c r="Z943">
        <v>1</v>
      </c>
      <c r="AA943">
        <v>80</v>
      </c>
      <c r="AB943">
        <v>1</v>
      </c>
      <c r="AC943">
        <v>10</v>
      </c>
      <c r="AD943">
        <v>6</v>
      </c>
      <c r="AE943">
        <v>3</v>
      </c>
      <c r="AF943">
        <v>9</v>
      </c>
      <c r="AG943">
        <v>2</v>
      </c>
      <c r="AH943">
        <v>6</v>
      </c>
      <c r="AI943">
        <v>7</v>
      </c>
    </row>
    <row r="944" spans="1:35" x14ac:dyDescent="0.25">
      <c r="A944">
        <v>36</v>
      </c>
      <c r="B944" t="str">
        <f t="shared" si="28"/>
        <v>35-44</v>
      </c>
      <c r="C944" s="1" t="s">
        <v>38</v>
      </c>
      <c r="D944" s="17">
        <f>IF(Table1[[#This Row],[Attrition]]="Yes",1,0)</f>
        <v>0</v>
      </c>
      <c r="E944" t="s">
        <v>57</v>
      </c>
      <c r="F944" s="2">
        <v>325</v>
      </c>
      <c r="G944" t="s">
        <v>39</v>
      </c>
      <c r="H944">
        <v>10</v>
      </c>
      <c r="I944">
        <v>4</v>
      </c>
      <c r="J944" t="str">
        <f t="shared" si="29"/>
        <v>Master</v>
      </c>
      <c r="K944" t="s">
        <v>54</v>
      </c>
      <c r="L944">
        <v>4</v>
      </c>
      <c r="M944" t="s">
        <v>35</v>
      </c>
      <c r="N944" s="2">
        <v>63</v>
      </c>
      <c r="O944">
        <v>3</v>
      </c>
      <c r="P944">
        <v>3</v>
      </c>
      <c r="Q944" t="s">
        <v>48</v>
      </c>
      <c r="R944">
        <v>3</v>
      </c>
      <c r="S944" t="s">
        <v>42</v>
      </c>
      <c r="T944" s="2">
        <v>7094</v>
      </c>
      <c r="U944" s="2">
        <v>5747</v>
      </c>
      <c r="V944">
        <v>3</v>
      </c>
      <c r="W944" t="s">
        <v>38</v>
      </c>
      <c r="X944">
        <v>12</v>
      </c>
      <c r="Y944">
        <v>3</v>
      </c>
      <c r="Z944">
        <v>1</v>
      </c>
      <c r="AA944">
        <v>80</v>
      </c>
      <c r="AB944">
        <v>0</v>
      </c>
      <c r="AC944">
        <v>10</v>
      </c>
      <c r="AD944">
        <v>0</v>
      </c>
      <c r="AE944">
        <v>3</v>
      </c>
      <c r="AF944">
        <v>7</v>
      </c>
      <c r="AG944">
        <v>7</v>
      </c>
      <c r="AH944">
        <v>1</v>
      </c>
      <c r="AI944">
        <v>7</v>
      </c>
    </row>
    <row r="945" spans="1:35" x14ac:dyDescent="0.25">
      <c r="A945">
        <v>46</v>
      </c>
      <c r="B945" t="str">
        <f t="shared" si="28"/>
        <v>45-54</v>
      </c>
      <c r="C945" s="1" t="s">
        <v>38</v>
      </c>
      <c r="D945" s="17">
        <f>IF(Table1[[#This Row],[Attrition]]="Yes",1,0)</f>
        <v>0</v>
      </c>
      <c r="E945" t="s">
        <v>57</v>
      </c>
      <c r="F945" s="2">
        <v>991</v>
      </c>
      <c r="G945" t="s">
        <v>55</v>
      </c>
      <c r="H945">
        <v>1</v>
      </c>
      <c r="I945">
        <v>2</v>
      </c>
      <c r="J945" t="str">
        <f t="shared" si="29"/>
        <v>College</v>
      </c>
      <c r="K945" t="s">
        <v>34</v>
      </c>
      <c r="L945">
        <v>4</v>
      </c>
      <c r="M945" t="s">
        <v>35</v>
      </c>
      <c r="N945" s="2">
        <v>44</v>
      </c>
      <c r="O945">
        <v>3</v>
      </c>
      <c r="P945">
        <v>1</v>
      </c>
      <c r="Q945" t="s">
        <v>55</v>
      </c>
      <c r="R945">
        <v>1</v>
      </c>
      <c r="S945" t="s">
        <v>37</v>
      </c>
      <c r="T945" s="2">
        <v>3423</v>
      </c>
      <c r="U945" s="2">
        <v>22957</v>
      </c>
      <c r="V945">
        <v>6</v>
      </c>
      <c r="W945" t="s">
        <v>38</v>
      </c>
      <c r="X945">
        <v>12</v>
      </c>
      <c r="Y945">
        <v>3</v>
      </c>
      <c r="Z945">
        <v>3</v>
      </c>
      <c r="AA945">
        <v>80</v>
      </c>
      <c r="AB945">
        <v>0</v>
      </c>
      <c r="AC945">
        <v>10</v>
      </c>
      <c r="AD945">
        <v>3</v>
      </c>
      <c r="AE945">
        <v>4</v>
      </c>
      <c r="AF945">
        <v>7</v>
      </c>
      <c r="AG945">
        <v>6</v>
      </c>
      <c r="AH945">
        <v>5</v>
      </c>
      <c r="AI945">
        <v>7</v>
      </c>
    </row>
    <row r="946" spans="1:35" x14ac:dyDescent="0.25">
      <c r="A946">
        <v>28</v>
      </c>
      <c r="B946" t="str">
        <f t="shared" si="28"/>
        <v>25-34</v>
      </c>
      <c r="C946" s="1" t="s">
        <v>38</v>
      </c>
      <c r="D946" s="17">
        <f>IF(Table1[[#This Row],[Attrition]]="Yes",1,0)</f>
        <v>0</v>
      </c>
      <c r="E946" t="s">
        <v>49</v>
      </c>
      <c r="F946" s="2">
        <v>1476</v>
      </c>
      <c r="G946" t="s">
        <v>39</v>
      </c>
      <c r="H946">
        <v>1</v>
      </c>
      <c r="I946">
        <v>3</v>
      </c>
      <c r="J946" t="str">
        <f t="shared" si="29"/>
        <v>Bachelor</v>
      </c>
      <c r="K946" t="s">
        <v>34</v>
      </c>
      <c r="L946">
        <v>3</v>
      </c>
      <c r="M946" t="s">
        <v>35</v>
      </c>
      <c r="N946" s="2">
        <v>55</v>
      </c>
      <c r="O946">
        <v>1</v>
      </c>
      <c r="P946">
        <v>2</v>
      </c>
      <c r="Q946" t="s">
        <v>44</v>
      </c>
      <c r="R946">
        <v>4</v>
      </c>
      <c r="S946" t="s">
        <v>42</v>
      </c>
      <c r="T946" s="2">
        <v>6674</v>
      </c>
      <c r="U946" s="2">
        <v>16392</v>
      </c>
      <c r="V946">
        <v>0</v>
      </c>
      <c r="W946" t="s">
        <v>38</v>
      </c>
      <c r="X946">
        <v>11</v>
      </c>
      <c r="Y946">
        <v>3</v>
      </c>
      <c r="Z946">
        <v>1</v>
      </c>
      <c r="AA946">
        <v>80</v>
      </c>
      <c r="AB946">
        <v>3</v>
      </c>
      <c r="AC946">
        <v>10</v>
      </c>
      <c r="AD946">
        <v>6</v>
      </c>
      <c r="AE946">
        <v>3</v>
      </c>
      <c r="AF946">
        <v>9</v>
      </c>
      <c r="AG946">
        <v>8</v>
      </c>
      <c r="AH946">
        <v>7</v>
      </c>
      <c r="AI946">
        <v>5</v>
      </c>
    </row>
    <row r="947" spans="1:35" x14ac:dyDescent="0.25">
      <c r="A947">
        <v>50</v>
      </c>
      <c r="B947" t="str">
        <f t="shared" si="28"/>
        <v>45-54</v>
      </c>
      <c r="C947" s="1" t="s">
        <v>38</v>
      </c>
      <c r="D947" s="17">
        <f>IF(Table1[[#This Row],[Attrition]]="Yes",1,0)</f>
        <v>0</v>
      </c>
      <c r="E947" t="s">
        <v>57</v>
      </c>
      <c r="F947" s="2">
        <v>1322</v>
      </c>
      <c r="G947" t="s">
        <v>39</v>
      </c>
      <c r="H947">
        <v>28</v>
      </c>
      <c r="I947">
        <v>3</v>
      </c>
      <c r="J947" t="str">
        <f t="shared" si="29"/>
        <v>Bachelor</v>
      </c>
      <c r="K947" t="s">
        <v>34</v>
      </c>
      <c r="L947">
        <v>4</v>
      </c>
      <c r="M947" t="s">
        <v>35</v>
      </c>
      <c r="N947" s="2">
        <v>43</v>
      </c>
      <c r="O947">
        <v>3</v>
      </c>
      <c r="P947">
        <v>4</v>
      </c>
      <c r="Q947" t="s">
        <v>52</v>
      </c>
      <c r="R947">
        <v>1</v>
      </c>
      <c r="S947" t="s">
        <v>42</v>
      </c>
      <c r="T947" s="2">
        <v>16880</v>
      </c>
      <c r="U947" s="2">
        <v>22422</v>
      </c>
      <c r="V947">
        <v>4</v>
      </c>
      <c r="W947" t="s">
        <v>32</v>
      </c>
      <c r="X947">
        <v>11</v>
      </c>
      <c r="Y947">
        <v>3</v>
      </c>
      <c r="Z947">
        <v>2</v>
      </c>
      <c r="AA947">
        <v>80</v>
      </c>
      <c r="AB947">
        <v>0</v>
      </c>
      <c r="AC947">
        <v>25</v>
      </c>
      <c r="AD947">
        <v>2</v>
      </c>
      <c r="AE947">
        <v>3</v>
      </c>
      <c r="AF947">
        <v>3</v>
      </c>
      <c r="AG947">
        <v>2</v>
      </c>
      <c r="AH947">
        <v>1</v>
      </c>
      <c r="AI947">
        <v>2</v>
      </c>
    </row>
    <row r="948" spans="1:35" x14ac:dyDescent="0.25">
      <c r="A948">
        <v>40</v>
      </c>
      <c r="B948" t="str">
        <f t="shared" si="28"/>
        <v>35-44</v>
      </c>
      <c r="C948" s="1" t="s">
        <v>32</v>
      </c>
      <c r="D948" s="17">
        <f>IF(Table1[[#This Row],[Attrition]]="Yes",1,0)</f>
        <v>1</v>
      </c>
      <c r="E948" t="s">
        <v>57</v>
      </c>
      <c r="F948" s="2">
        <v>299</v>
      </c>
      <c r="G948" t="s">
        <v>33</v>
      </c>
      <c r="H948">
        <v>25</v>
      </c>
      <c r="I948">
        <v>4</v>
      </c>
      <c r="J948" t="str">
        <f t="shared" si="29"/>
        <v>Master</v>
      </c>
      <c r="K948" t="s">
        <v>53</v>
      </c>
      <c r="L948">
        <v>4</v>
      </c>
      <c r="M948" t="s">
        <v>40</v>
      </c>
      <c r="N948" s="2">
        <v>57</v>
      </c>
      <c r="O948">
        <v>2</v>
      </c>
      <c r="P948">
        <v>3</v>
      </c>
      <c r="Q948" t="s">
        <v>36</v>
      </c>
      <c r="R948">
        <v>2</v>
      </c>
      <c r="S948" t="s">
        <v>37</v>
      </c>
      <c r="T948" s="2">
        <v>9094</v>
      </c>
      <c r="U948" s="2">
        <v>17235</v>
      </c>
      <c r="V948">
        <v>2</v>
      </c>
      <c r="W948" t="s">
        <v>32</v>
      </c>
      <c r="X948">
        <v>12</v>
      </c>
      <c r="Y948">
        <v>3</v>
      </c>
      <c r="Z948">
        <v>3</v>
      </c>
      <c r="AA948">
        <v>80</v>
      </c>
      <c r="AB948">
        <v>0</v>
      </c>
      <c r="AC948">
        <v>9</v>
      </c>
      <c r="AD948">
        <v>2</v>
      </c>
      <c r="AE948">
        <v>3</v>
      </c>
      <c r="AF948">
        <v>5</v>
      </c>
      <c r="AG948">
        <v>4</v>
      </c>
      <c r="AH948">
        <v>1</v>
      </c>
      <c r="AI948">
        <v>0</v>
      </c>
    </row>
    <row r="949" spans="1:35" x14ac:dyDescent="0.25">
      <c r="A949">
        <v>52</v>
      </c>
      <c r="B949" t="str">
        <f t="shared" si="28"/>
        <v>45-54</v>
      </c>
      <c r="C949" s="1" t="s">
        <v>32</v>
      </c>
      <c r="D949" s="17">
        <f>IF(Table1[[#This Row],[Attrition]]="Yes",1,0)</f>
        <v>1</v>
      </c>
      <c r="E949" t="s">
        <v>57</v>
      </c>
      <c r="F949" s="2">
        <v>1030</v>
      </c>
      <c r="G949" t="s">
        <v>33</v>
      </c>
      <c r="H949">
        <v>5</v>
      </c>
      <c r="I949">
        <v>3</v>
      </c>
      <c r="J949" t="str">
        <f t="shared" si="29"/>
        <v>Bachelor</v>
      </c>
      <c r="K949" t="s">
        <v>34</v>
      </c>
      <c r="L949">
        <v>2</v>
      </c>
      <c r="M949" t="s">
        <v>40</v>
      </c>
      <c r="N949" s="2">
        <v>64</v>
      </c>
      <c r="O949">
        <v>3</v>
      </c>
      <c r="P949">
        <v>3</v>
      </c>
      <c r="Q949" t="s">
        <v>36</v>
      </c>
      <c r="R949">
        <v>2</v>
      </c>
      <c r="S949" t="s">
        <v>37</v>
      </c>
      <c r="T949" s="2">
        <v>8446</v>
      </c>
      <c r="U949" s="2">
        <v>21534</v>
      </c>
      <c r="V949">
        <v>9</v>
      </c>
      <c r="W949" t="s">
        <v>32</v>
      </c>
      <c r="X949">
        <v>19</v>
      </c>
      <c r="Y949">
        <v>3</v>
      </c>
      <c r="Z949">
        <v>3</v>
      </c>
      <c r="AA949">
        <v>80</v>
      </c>
      <c r="AB949">
        <v>0</v>
      </c>
      <c r="AC949">
        <v>10</v>
      </c>
      <c r="AD949">
        <v>2</v>
      </c>
      <c r="AE949">
        <v>2</v>
      </c>
      <c r="AF949">
        <v>8</v>
      </c>
      <c r="AG949">
        <v>7</v>
      </c>
      <c r="AH949">
        <v>7</v>
      </c>
      <c r="AI949">
        <v>7</v>
      </c>
    </row>
    <row r="950" spans="1:35" x14ac:dyDescent="0.25">
      <c r="A950">
        <v>30</v>
      </c>
      <c r="B950" t="str">
        <f t="shared" si="28"/>
        <v>25-34</v>
      </c>
      <c r="C950" s="1" t="s">
        <v>38</v>
      </c>
      <c r="D950" s="17">
        <f>IF(Table1[[#This Row],[Attrition]]="Yes",1,0)</f>
        <v>0</v>
      </c>
      <c r="E950" t="s">
        <v>57</v>
      </c>
      <c r="F950" s="2">
        <v>634</v>
      </c>
      <c r="G950" t="s">
        <v>39</v>
      </c>
      <c r="H950">
        <v>17</v>
      </c>
      <c r="I950">
        <v>4</v>
      </c>
      <c r="J950" t="str">
        <f t="shared" si="29"/>
        <v>Master</v>
      </c>
      <c r="K950" t="s">
        <v>45</v>
      </c>
      <c r="L950">
        <v>2</v>
      </c>
      <c r="M950" t="s">
        <v>35</v>
      </c>
      <c r="N950" s="2">
        <v>95</v>
      </c>
      <c r="O950">
        <v>3</v>
      </c>
      <c r="P950">
        <v>3</v>
      </c>
      <c r="Q950" t="s">
        <v>50</v>
      </c>
      <c r="R950">
        <v>1</v>
      </c>
      <c r="S950" t="s">
        <v>42</v>
      </c>
      <c r="T950" s="2">
        <v>11916</v>
      </c>
      <c r="U950" s="2">
        <v>25927</v>
      </c>
      <c r="V950">
        <v>1</v>
      </c>
      <c r="W950" t="s">
        <v>32</v>
      </c>
      <c r="X950">
        <v>23</v>
      </c>
      <c r="Y950">
        <v>4</v>
      </c>
      <c r="Z950">
        <v>4</v>
      </c>
      <c r="AA950">
        <v>80</v>
      </c>
      <c r="AB950">
        <v>2</v>
      </c>
      <c r="AC950">
        <v>9</v>
      </c>
      <c r="AD950">
        <v>2</v>
      </c>
      <c r="AE950">
        <v>3</v>
      </c>
      <c r="AF950">
        <v>9</v>
      </c>
      <c r="AG950">
        <v>1</v>
      </c>
      <c r="AH950">
        <v>0</v>
      </c>
      <c r="AI950">
        <v>8</v>
      </c>
    </row>
    <row r="951" spans="1:35" x14ac:dyDescent="0.25">
      <c r="A951">
        <v>39</v>
      </c>
      <c r="B951" t="str">
        <f t="shared" si="28"/>
        <v>35-44</v>
      </c>
      <c r="C951" s="1" t="s">
        <v>38</v>
      </c>
      <c r="D951" s="17">
        <f>IF(Table1[[#This Row],[Attrition]]="Yes",1,0)</f>
        <v>0</v>
      </c>
      <c r="E951" t="s">
        <v>57</v>
      </c>
      <c r="F951" s="2">
        <v>524</v>
      </c>
      <c r="G951" t="s">
        <v>39</v>
      </c>
      <c r="H951">
        <v>18</v>
      </c>
      <c r="I951">
        <v>2</v>
      </c>
      <c r="J951" t="str">
        <f t="shared" si="29"/>
        <v>College</v>
      </c>
      <c r="K951" t="s">
        <v>34</v>
      </c>
      <c r="L951">
        <v>1</v>
      </c>
      <c r="M951" t="s">
        <v>40</v>
      </c>
      <c r="N951" s="2">
        <v>32</v>
      </c>
      <c r="O951">
        <v>3</v>
      </c>
      <c r="P951">
        <v>2</v>
      </c>
      <c r="Q951" t="s">
        <v>47</v>
      </c>
      <c r="R951">
        <v>3</v>
      </c>
      <c r="S951" t="s">
        <v>37</v>
      </c>
      <c r="T951" s="2">
        <v>4534</v>
      </c>
      <c r="U951" s="2">
        <v>13352</v>
      </c>
      <c r="V951">
        <v>0</v>
      </c>
      <c r="W951" t="s">
        <v>38</v>
      </c>
      <c r="X951">
        <v>11</v>
      </c>
      <c r="Y951">
        <v>3</v>
      </c>
      <c r="Z951">
        <v>1</v>
      </c>
      <c r="AA951">
        <v>80</v>
      </c>
      <c r="AB951">
        <v>0</v>
      </c>
      <c r="AC951">
        <v>9</v>
      </c>
      <c r="AD951">
        <v>6</v>
      </c>
      <c r="AE951">
        <v>3</v>
      </c>
      <c r="AF951">
        <v>8</v>
      </c>
      <c r="AG951">
        <v>7</v>
      </c>
      <c r="AH951">
        <v>1</v>
      </c>
      <c r="AI951">
        <v>7</v>
      </c>
    </row>
    <row r="952" spans="1:35" x14ac:dyDescent="0.25">
      <c r="A952">
        <v>31</v>
      </c>
      <c r="B952" t="str">
        <f t="shared" si="28"/>
        <v>25-34</v>
      </c>
      <c r="C952" s="1" t="s">
        <v>38</v>
      </c>
      <c r="D952" s="17">
        <f>IF(Table1[[#This Row],[Attrition]]="Yes",1,0)</f>
        <v>0</v>
      </c>
      <c r="E952" t="s">
        <v>49</v>
      </c>
      <c r="F952" s="2">
        <v>587</v>
      </c>
      <c r="G952" t="s">
        <v>33</v>
      </c>
      <c r="H952">
        <v>2</v>
      </c>
      <c r="I952">
        <v>4</v>
      </c>
      <c r="J952" t="str">
        <f t="shared" si="29"/>
        <v>Master</v>
      </c>
      <c r="K952" t="s">
        <v>34</v>
      </c>
      <c r="L952">
        <v>4</v>
      </c>
      <c r="M952" t="s">
        <v>35</v>
      </c>
      <c r="N952" s="2">
        <v>57</v>
      </c>
      <c r="O952">
        <v>3</v>
      </c>
      <c r="P952">
        <v>3</v>
      </c>
      <c r="Q952" t="s">
        <v>36</v>
      </c>
      <c r="R952">
        <v>3</v>
      </c>
      <c r="S952" t="s">
        <v>46</v>
      </c>
      <c r="T952" s="2">
        <v>9852</v>
      </c>
      <c r="U952" s="2">
        <v>8935</v>
      </c>
      <c r="V952">
        <v>1</v>
      </c>
      <c r="W952" t="s">
        <v>32</v>
      </c>
      <c r="X952">
        <v>19</v>
      </c>
      <c r="Y952">
        <v>3</v>
      </c>
      <c r="Z952">
        <v>1</v>
      </c>
      <c r="AA952">
        <v>80</v>
      </c>
      <c r="AB952">
        <v>1</v>
      </c>
      <c r="AC952">
        <v>10</v>
      </c>
      <c r="AD952">
        <v>5</v>
      </c>
      <c r="AE952">
        <v>2</v>
      </c>
      <c r="AF952">
        <v>10</v>
      </c>
      <c r="AG952">
        <v>8</v>
      </c>
      <c r="AH952">
        <v>9</v>
      </c>
      <c r="AI952">
        <v>6</v>
      </c>
    </row>
    <row r="953" spans="1:35" x14ac:dyDescent="0.25">
      <c r="A953">
        <v>41</v>
      </c>
      <c r="B953" t="str">
        <f t="shared" si="28"/>
        <v>35-44</v>
      </c>
      <c r="C953" s="1" t="s">
        <v>38</v>
      </c>
      <c r="D953" s="17">
        <f>IF(Table1[[#This Row],[Attrition]]="Yes",1,0)</f>
        <v>0</v>
      </c>
      <c r="E953" t="s">
        <v>49</v>
      </c>
      <c r="F953" s="2">
        <v>256</v>
      </c>
      <c r="G953" t="s">
        <v>33</v>
      </c>
      <c r="H953">
        <v>10</v>
      </c>
      <c r="I953">
        <v>2</v>
      </c>
      <c r="J953" t="str">
        <f t="shared" si="29"/>
        <v>College</v>
      </c>
      <c r="K953" t="s">
        <v>45</v>
      </c>
      <c r="L953">
        <v>3</v>
      </c>
      <c r="M953" t="s">
        <v>40</v>
      </c>
      <c r="N953" s="2">
        <v>40</v>
      </c>
      <c r="O953">
        <v>1</v>
      </c>
      <c r="P953">
        <v>2</v>
      </c>
      <c r="Q953" t="s">
        <v>36</v>
      </c>
      <c r="R953">
        <v>2</v>
      </c>
      <c r="S953" t="s">
        <v>37</v>
      </c>
      <c r="T953" s="2">
        <v>6151</v>
      </c>
      <c r="U953" s="2">
        <v>22074</v>
      </c>
      <c r="V953">
        <v>1</v>
      </c>
      <c r="W953" t="s">
        <v>38</v>
      </c>
      <c r="X953">
        <v>13</v>
      </c>
      <c r="Y953">
        <v>3</v>
      </c>
      <c r="Z953">
        <v>1</v>
      </c>
      <c r="AA953">
        <v>80</v>
      </c>
      <c r="AB953">
        <v>0</v>
      </c>
      <c r="AC953">
        <v>19</v>
      </c>
      <c r="AD953">
        <v>4</v>
      </c>
      <c r="AE953">
        <v>3</v>
      </c>
      <c r="AF953">
        <v>19</v>
      </c>
      <c r="AG953">
        <v>2</v>
      </c>
      <c r="AH953">
        <v>11</v>
      </c>
      <c r="AI953">
        <v>9</v>
      </c>
    </row>
    <row r="954" spans="1:35" x14ac:dyDescent="0.25">
      <c r="A954">
        <v>31</v>
      </c>
      <c r="B954" t="str">
        <f t="shared" si="28"/>
        <v>25-34</v>
      </c>
      <c r="C954" s="1" t="s">
        <v>32</v>
      </c>
      <c r="D954" s="17">
        <f>IF(Table1[[#This Row],[Attrition]]="Yes",1,0)</f>
        <v>1</v>
      </c>
      <c r="E954" t="s">
        <v>58</v>
      </c>
      <c r="F954" s="2">
        <v>1060</v>
      </c>
      <c r="G954" t="s">
        <v>33</v>
      </c>
      <c r="H954">
        <v>1</v>
      </c>
      <c r="I954">
        <v>3</v>
      </c>
      <c r="J954" t="str">
        <f t="shared" si="29"/>
        <v>Bachelor</v>
      </c>
      <c r="K954" t="s">
        <v>34</v>
      </c>
      <c r="L954">
        <v>4</v>
      </c>
      <c r="M954" t="s">
        <v>35</v>
      </c>
      <c r="N954" s="2">
        <v>54</v>
      </c>
      <c r="O954">
        <v>3</v>
      </c>
      <c r="P954">
        <v>1</v>
      </c>
      <c r="Q954" t="s">
        <v>51</v>
      </c>
      <c r="R954">
        <v>2</v>
      </c>
      <c r="S954" t="s">
        <v>37</v>
      </c>
      <c r="T954" s="2">
        <v>2302</v>
      </c>
      <c r="U954" s="2">
        <v>8319</v>
      </c>
      <c r="V954">
        <v>1</v>
      </c>
      <c r="W954" t="s">
        <v>32</v>
      </c>
      <c r="X954">
        <v>11</v>
      </c>
      <c r="Y954">
        <v>3</v>
      </c>
      <c r="Z954">
        <v>1</v>
      </c>
      <c r="AA954">
        <v>80</v>
      </c>
      <c r="AB954">
        <v>0</v>
      </c>
      <c r="AC954">
        <v>3</v>
      </c>
      <c r="AD954">
        <v>2</v>
      </c>
      <c r="AE954">
        <v>4</v>
      </c>
      <c r="AF954">
        <v>3</v>
      </c>
      <c r="AG954">
        <v>2</v>
      </c>
      <c r="AH954">
        <v>2</v>
      </c>
      <c r="AI954">
        <v>2</v>
      </c>
    </row>
    <row r="955" spans="1:35" x14ac:dyDescent="0.25">
      <c r="A955">
        <v>44</v>
      </c>
      <c r="B955" t="str">
        <f t="shared" si="28"/>
        <v>35-44</v>
      </c>
      <c r="C955" s="1" t="s">
        <v>32</v>
      </c>
      <c r="D955" s="17">
        <f>IF(Table1[[#This Row],[Attrition]]="Yes",1,0)</f>
        <v>1</v>
      </c>
      <c r="E955" t="s">
        <v>57</v>
      </c>
      <c r="F955" s="2">
        <v>935</v>
      </c>
      <c r="G955" t="s">
        <v>39</v>
      </c>
      <c r="H955">
        <v>3</v>
      </c>
      <c r="I955">
        <v>3</v>
      </c>
      <c r="J955" t="str">
        <f t="shared" si="29"/>
        <v>Bachelor</v>
      </c>
      <c r="K955" t="s">
        <v>34</v>
      </c>
      <c r="L955">
        <v>1</v>
      </c>
      <c r="M955" t="s">
        <v>40</v>
      </c>
      <c r="N955" s="2">
        <v>89</v>
      </c>
      <c r="O955">
        <v>3</v>
      </c>
      <c r="P955">
        <v>1</v>
      </c>
      <c r="Q955" t="s">
        <v>44</v>
      </c>
      <c r="R955">
        <v>1</v>
      </c>
      <c r="S955" t="s">
        <v>42</v>
      </c>
      <c r="T955" s="2">
        <v>2362</v>
      </c>
      <c r="U955" s="2">
        <v>14669</v>
      </c>
      <c r="V955">
        <v>4</v>
      </c>
      <c r="W955" t="s">
        <v>38</v>
      </c>
      <c r="X955">
        <v>12</v>
      </c>
      <c r="Y955">
        <v>3</v>
      </c>
      <c r="Z955">
        <v>3</v>
      </c>
      <c r="AA955">
        <v>80</v>
      </c>
      <c r="AB955">
        <v>0</v>
      </c>
      <c r="AC955">
        <v>10</v>
      </c>
      <c r="AD955">
        <v>4</v>
      </c>
      <c r="AE955">
        <v>4</v>
      </c>
      <c r="AF955">
        <v>3</v>
      </c>
      <c r="AG955">
        <v>2</v>
      </c>
      <c r="AH955">
        <v>1</v>
      </c>
      <c r="AI955">
        <v>2</v>
      </c>
    </row>
    <row r="956" spans="1:35" x14ac:dyDescent="0.25">
      <c r="A956">
        <v>42</v>
      </c>
      <c r="B956" t="str">
        <f t="shared" si="28"/>
        <v>35-44</v>
      </c>
      <c r="C956" s="1" t="s">
        <v>38</v>
      </c>
      <c r="D956" s="17">
        <f>IF(Table1[[#This Row],[Attrition]]="Yes",1,0)</f>
        <v>0</v>
      </c>
      <c r="E956" t="s">
        <v>49</v>
      </c>
      <c r="F956" s="2">
        <v>495</v>
      </c>
      <c r="G956" t="s">
        <v>39</v>
      </c>
      <c r="H956">
        <v>2</v>
      </c>
      <c r="I956">
        <v>1</v>
      </c>
      <c r="J956" t="str">
        <f t="shared" si="29"/>
        <v>Below College</v>
      </c>
      <c r="K956" t="s">
        <v>34</v>
      </c>
      <c r="L956">
        <v>3</v>
      </c>
      <c r="M956" t="s">
        <v>40</v>
      </c>
      <c r="N956" s="2">
        <v>37</v>
      </c>
      <c r="O956">
        <v>3</v>
      </c>
      <c r="P956">
        <v>4</v>
      </c>
      <c r="Q956" t="s">
        <v>50</v>
      </c>
      <c r="R956">
        <v>3</v>
      </c>
      <c r="S956" t="s">
        <v>42</v>
      </c>
      <c r="T956" s="2">
        <v>17861</v>
      </c>
      <c r="U956" s="2">
        <v>26582</v>
      </c>
      <c r="V956">
        <v>0</v>
      </c>
      <c r="W956" t="s">
        <v>32</v>
      </c>
      <c r="X956">
        <v>13</v>
      </c>
      <c r="Y956">
        <v>3</v>
      </c>
      <c r="Z956">
        <v>4</v>
      </c>
      <c r="AA956">
        <v>80</v>
      </c>
      <c r="AB956">
        <v>0</v>
      </c>
      <c r="AC956">
        <v>21</v>
      </c>
      <c r="AD956">
        <v>3</v>
      </c>
      <c r="AE956">
        <v>2</v>
      </c>
      <c r="AF956">
        <v>20</v>
      </c>
      <c r="AG956">
        <v>8</v>
      </c>
      <c r="AH956">
        <v>2</v>
      </c>
      <c r="AI956">
        <v>10</v>
      </c>
    </row>
    <row r="957" spans="1:35" x14ac:dyDescent="0.25">
      <c r="A957">
        <v>55</v>
      </c>
      <c r="B957" t="str">
        <f t="shared" si="28"/>
        <v>55-64</v>
      </c>
      <c r="C957" s="1" t="s">
        <v>38</v>
      </c>
      <c r="D957" s="17">
        <f>IF(Table1[[#This Row],[Attrition]]="Yes",1,0)</f>
        <v>0</v>
      </c>
      <c r="E957" t="s">
        <v>57</v>
      </c>
      <c r="F957" s="2">
        <v>282</v>
      </c>
      <c r="G957" t="s">
        <v>39</v>
      </c>
      <c r="H957">
        <v>2</v>
      </c>
      <c r="I957">
        <v>2</v>
      </c>
      <c r="J957" t="str">
        <f t="shared" si="29"/>
        <v>College</v>
      </c>
      <c r="K957" t="s">
        <v>45</v>
      </c>
      <c r="L957">
        <v>4</v>
      </c>
      <c r="M957" t="s">
        <v>35</v>
      </c>
      <c r="N957" s="2">
        <v>58</v>
      </c>
      <c r="O957">
        <v>1</v>
      </c>
      <c r="P957">
        <v>5</v>
      </c>
      <c r="Q957" t="s">
        <v>50</v>
      </c>
      <c r="R957">
        <v>3</v>
      </c>
      <c r="S957" t="s">
        <v>42</v>
      </c>
      <c r="T957" s="2">
        <v>19187</v>
      </c>
      <c r="U957" s="2">
        <v>6992</v>
      </c>
      <c r="V957">
        <v>4</v>
      </c>
      <c r="W957" t="s">
        <v>38</v>
      </c>
      <c r="X957">
        <v>14</v>
      </c>
      <c r="Y957">
        <v>3</v>
      </c>
      <c r="Z957">
        <v>4</v>
      </c>
      <c r="AA957">
        <v>80</v>
      </c>
      <c r="AB957">
        <v>1</v>
      </c>
      <c r="AC957">
        <v>23</v>
      </c>
      <c r="AD957">
        <v>5</v>
      </c>
      <c r="AE957">
        <v>3</v>
      </c>
      <c r="AF957">
        <v>19</v>
      </c>
      <c r="AG957">
        <v>9</v>
      </c>
      <c r="AH957">
        <v>9</v>
      </c>
      <c r="AI957">
        <v>11</v>
      </c>
    </row>
    <row r="958" spans="1:35" x14ac:dyDescent="0.25">
      <c r="A958">
        <v>56</v>
      </c>
      <c r="B958" t="str">
        <f t="shared" si="28"/>
        <v>55-64</v>
      </c>
      <c r="C958" s="1" t="s">
        <v>38</v>
      </c>
      <c r="D958" s="17">
        <f>IF(Table1[[#This Row],[Attrition]]="Yes",1,0)</f>
        <v>0</v>
      </c>
      <c r="E958" t="s">
        <v>57</v>
      </c>
      <c r="F958" s="2">
        <v>206</v>
      </c>
      <c r="G958" t="s">
        <v>55</v>
      </c>
      <c r="H958">
        <v>8</v>
      </c>
      <c r="I958">
        <v>4</v>
      </c>
      <c r="J958" t="str">
        <f t="shared" si="29"/>
        <v>Master</v>
      </c>
      <c r="K958" t="s">
        <v>34</v>
      </c>
      <c r="L958">
        <v>4</v>
      </c>
      <c r="M958" t="s">
        <v>40</v>
      </c>
      <c r="N958" s="2">
        <v>99</v>
      </c>
      <c r="O958">
        <v>3</v>
      </c>
      <c r="P958">
        <v>5</v>
      </c>
      <c r="Q958" t="s">
        <v>50</v>
      </c>
      <c r="R958">
        <v>2</v>
      </c>
      <c r="S958" t="s">
        <v>37</v>
      </c>
      <c r="T958" s="2">
        <v>19717</v>
      </c>
      <c r="U958" s="2">
        <v>4022</v>
      </c>
      <c r="V958">
        <v>6</v>
      </c>
      <c r="W958" t="s">
        <v>38</v>
      </c>
      <c r="X958">
        <v>14</v>
      </c>
      <c r="Y958">
        <v>3</v>
      </c>
      <c r="Z958">
        <v>1</v>
      </c>
      <c r="AA958">
        <v>80</v>
      </c>
      <c r="AB958">
        <v>0</v>
      </c>
      <c r="AC958">
        <v>36</v>
      </c>
      <c r="AD958">
        <v>4</v>
      </c>
      <c r="AE958">
        <v>3</v>
      </c>
      <c r="AF958">
        <v>7</v>
      </c>
      <c r="AG958">
        <v>3</v>
      </c>
      <c r="AH958">
        <v>7</v>
      </c>
      <c r="AI958">
        <v>7</v>
      </c>
    </row>
    <row r="959" spans="1:35" x14ac:dyDescent="0.25">
      <c r="A959">
        <v>40</v>
      </c>
      <c r="B959" t="str">
        <f t="shared" si="28"/>
        <v>35-44</v>
      </c>
      <c r="C959" s="1" t="s">
        <v>38</v>
      </c>
      <c r="D959" s="17">
        <f>IF(Table1[[#This Row],[Attrition]]="Yes",1,0)</f>
        <v>0</v>
      </c>
      <c r="E959" t="s">
        <v>49</v>
      </c>
      <c r="F959" s="2">
        <v>458</v>
      </c>
      <c r="G959" t="s">
        <v>39</v>
      </c>
      <c r="H959">
        <v>16</v>
      </c>
      <c r="I959">
        <v>2</v>
      </c>
      <c r="J959" t="str">
        <f t="shared" si="29"/>
        <v>College</v>
      </c>
      <c r="K959" t="s">
        <v>34</v>
      </c>
      <c r="L959">
        <v>3</v>
      </c>
      <c r="M959" t="s">
        <v>40</v>
      </c>
      <c r="N959" s="2">
        <v>74</v>
      </c>
      <c r="O959">
        <v>3</v>
      </c>
      <c r="P959">
        <v>1</v>
      </c>
      <c r="Q959" t="s">
        <v>41</v>
      </c>
      <c r="R959">
        <v>3</v>
      </c>
      <c r="S959" t="s">
        <v>46</v>
      </c>
      <c r="T959" s="2">
        <v>3544</v>
      </c>
      <c r="U959" s="2">
        <v>8532</v>
      </c>
      <c r="V959">
        <v>9</v>
      </c>
      <c r="W959" t="s">
        <v>38</v>
      </c>
      <c r="X959">
        <v>16</v>
      </c>
      <c r="Y959">
        <v>3</v>
      </c>
      <c r="Z959">
        <v>2</v>
      </c>
      <c r="AA959">
        <v>80</v>
      </c>
      <c r="AB959">
        <v>1</v>
      </c>
      <c r="AC959">
        <v>6</v>
      </c>
      <c r="AD959">
        <v>0</v>
      </c>
      <c r="AE959">
        <v>3</v>
      </c>
      <c r="AF959">
        <v>4</v>
      </c>
      <c r="AG959">
        <v>2</v>
      </c>
      <c r="AH959">
        <v>0</v>
      </c>
      <c r="AI959">
        <v>0</v>
      </c>
    </row>
    <row r="960" spans="1:35" x14ac:dyDescent="0.25">
      <c r="A960">
        <v>34</v>
      </c>
      <c r="B960" t="str">
        <f t="shared" si="28"/>
        <v>25-34</v>
      </c>
      <c r="C960" s="1" t="s">
        <v>38</v>
      </c>
      <c r="D960" s="17">
        <f>IF(Table1[[#This Row],[Attrition]]="Yes",1,0)</f>
        <v>0</v>
      </c>
      <c r="E960" t="s">
        <v>57</v>
      </c>
      <c r="F960" s="2">
        <v>943</v>
      </c>
      <c r="G960" t="s">
        <v>39</v>
      </c>
      <c r="H960">
        <v>9</v>
      </c>
      <c r="I960">
        <v>3</v>
      </c>
      <c r="J960" t="str">
        <f t="shared" si="29"/>
        <v>Bachelor</v>
      </c>
      <c r="K960" t="s">
        <v>34</v>
      </c>
      <c r="L960">
        <v>4</v>
      </c>
      <c r="M960" t="s">
        <v>40</v>
      </c>
      <c r="N960" s="2">
        <v>86</v>
      </c>
      <c r="O960">
        <v>3</v>
      </c>
      <c r="P960">
        <v>3</v>
      </c>
      <c r="Q960" t="s">
        <v>48</v>
      </c>
      <c r="R960">
        <v>4</v>
      </c>
      <c r="S960" t="s">
        <v>46</v>
      </c>
      <c r="T960" s="2">
        <v>8500</v>
      </c>
      <c r="U960" s="2">
        <v>5494</v>
      </c>
      <c r="V960">
        <v>0</v>
      </c>
      <c r="W960" t="s">
        <v>38</v>
      </c>
      <c r="X960">
        <v>11</v>
      </c>
      <c r="Y960">
        <v>3</v>
      </c>
      <c r="Z960">
        <v>4</v>
      </c>
      <c r="AA960">
        <v>80</v>
      </c>
      <c r="AB960">
        <v>1</v>
      </c>
      <c r="AC960">
        <v>10</v>
      </c>
      <c r="AD960">
        <v>0</v>
      </c>
      <c r="AE960">
        <v>2</v>
      </c>
      <c r="AF960">
        <v>9</v>
      </c>
      <c r="AG960">
        <v>7</v>
      </c>
      <c r="AH960">
        <v>1</v>
      </c>
      <c r="AI960">
        <v>6</v>
      </c>
    </row>
    <row r="961" spans="1:35" x14ac:dyDescent="0.25">
      <c r="A961">
        <v>40</v>
      </c>
      <c r="B961" t="str">
        <f t="shared" si="28"/>
        <v>35-44</v>
      </c>
      <c r="C961" s="1" t="s">
        <v>38</v>
      </c>
      <c r="D961" s="17">
        <f>IF(Table1[[#This Row],[Attrition]]="Yes",1,0)</f>
        <v>0</v>
      </c>
      <c r="E961" t="s">
        <v>57</v>
      </c>
      <c r="F961" s="2">
        <v>523</v>
      </c>
      <c r="G961" t="s">
        <v>39</v>
      </c>
      <c r="H961">
        <v>2</v>
      </c>
      <c r="I961">
        <v>3</v>
      </c>
      <c r="J961" t="str">
        <f t="shared" si="29"/>
        <v>Bachelor</v>
      </c>
      <c r="K961" t="s">
        <v>34</v>
      </c>
      <c r="L961">
        <v>3</v>
      </c>
      <c r="M961" t="s">
        <v>40</v>
      </c>
      <c r="N961" s="2">
        <v>98</v>
      </c>
      <c r="O961">
        <v>3</v>
      </c>
      <c r="P961">
        <v>2</v>
      </c>
      <c r="Q961" t="s">
        <v>41</v>
      </c>
      <c r="R961">
        <v>4</v>
      </c>
      <c r="S961" t="s">
        <v>37</v>
      </c>
      <c r="T961" s="2">
        <v>4661</v>
      </c>
      <c r="U961" s="2">
        <v>22455</v>
      </c>
      <c r="V961">
        <v>1</v>
      </c>
      <c r="W961" t="s">
        <v>38</v>
      </c>
      <c r="X961">
        <v>13</v>
      </c>
      <c r="Y961">
        <v>3</v>
      </c>
      <c r="Z961">
        <v>3</v>
      </c>
      <c r="AA961">
        <v>80</v>
      </c>
      <c r="AB961">
        <v>0</v>
      </c>
      <c r="AC961">
        <v>9</v>
      </c>
      <c r="AD961">
        <v>4</v>
      </c>
      <c r="AE961">
        <v>3</v>
      </c>
      <c r="AF961">
        <v>9</v>
      </c>
      <c r="AG961">
        <v>8</v>
      </c>
      <c r="AH961">
        <v>8</v>
      </c>
      <c r="AI961">
        <v>8</v>
      </c>
    </row>
    <row r="962" spans="1:35" x14ac:dyDescent="0.25">
      <c r="A962">
        <v>41</v>
      </c>
      <c r="B962" t="str">
        <f t="shared" ref="B962:B1025" si="30">IF(A962="","",IF(A962&lt;25,"18-24",
 IF(A962&lt;35,"25-34",
 IF(A962&lt;45,"35-44",
 IF(A962&lt;55,"45-54",
 IF(A962&lt;65,"55-64","65+"))))))</f>
        <v>35-44</v>
      </c>
      <c r="C962" s="1" t="s">
        <v>38</v>
      </c>
      <c r="D962" s="17">
        <f>IF(Table1[[#This Row],[Attrition]]="Yes",1,0)</f>
        <v>0</v>
      </c>
      <c r="E962" t="s">
        <v>58</v>
      </c>
      <c r="F962" s="2">
        <v>1018</v>
      </c>
      <c r="G962" t="s">
        <v>33</v>
      </c>
      <c r="H962">
        <v>1</v>
      </c>
      <c r="I962">
        <v>3</v>
      </c>
      <c r="J962" t="str">
        <f t="shared" ref="J962:J1025" si="31">CHOOSE(I962,"Below College","College","Bachelor","Master","Doctor")</f>
        <v>Bachelor</v>
      </c>
      <c r="K962" t="s">
        <v>53</v>
      </c>
      <c r="L962">
        <v>3</v>
      </c>
      <c r="M962" t="s">
        <v>35</v>
      </c>
      <c r="N962" s="2">
        <v>66</v>
      </c>
      <c r="O962">
        <v>3</v>
      </c>
      <c r="P962">
        <v>2</v>
      </c>
      <c r="Q962" t="s">
        <v>36</v>
      </c>
      <c r="R962">
        <v>1</v>
      </c>
      <c r="S962" t="s">
        <v>46</v>
      </c>
      <c r="T962" s="2">
        <v>4103</v>
      </c>
      <c r="U962" s="2">
        <v>4297</v>
      </c>
      <c r="V962">
        <v>0</v>
      </c>
      <c r="W962" t="s">
        <v>38</v>
      </c>
      <c r="X962">
        <v>17</v>
      </c>
      <c r="Y962">
        <v>3</v>
      </c>
      <c r="Z962">
        <v>4</v>
      </c>
      <c r="AA962">
        <v>80</v>
      </c>
      <c r="AB962">
        <v>1</v>
      </c>
      <c r="AC962">
        <v>10</v>
      </c>
      <c r="AD962">
        <v>2</v>
      </c>
      <c r="AE962">
        <v>3</v>
      </c>
      <c r="AF962">
        <v>9</v>
      </c>
      <c r="AG962">
        <v>3</v>
      </c>
      <c r="AH962">
        <v>1</v>
      </c>
      <c r="AI962">
        <v>7</v>
      </c>
    </row>
    <row r="963" spans="1:35" x14ac:dyDescent="0.25">
      <c r="A963">
        <v>35</v>
      </c>
      <c r="B963" t="str">
        <f t="shared" si="30"/>
        <v>35-44</v>
      </c>
      <c r="C963" s="1" t="s">
        <v>38</v>
      </c>
      <c r="D963" s="17">
        <f>IF(Table1[[#This Row],[Attrition]]="Yes",1,0)</f>
        <v>0</v>
      </c>
      <c r="E963" t="s">
        <v>58</v>
      </c>
      <c r="F963" s="2">
        <v>482</v>
      </c>
      <c r="G963" t="s">
        <v>39</v>
      </c>
      <c r="H963">
        <v>4</v>
      </c>
      <c r="I963">
        <v>4</v>
      </c>
      <c r="J963" t="str">
        <f t="shared" si="31"/>
        <v>Master</v>
      </c>
      <c r="K963" t="s">
        <v>34</v>
      </c>
      <c r="L963">
        <v>3</v>
      </c>
      <c r="M963" t="s">
        <v>40</v>
      </c>
      <c r="N963" s="2">
        <v>87</v>
      </c>
      <c r="O963">
        <v>3</v>
      </c>
      <c r="P963">
        <v>2</v>
      </c>
      <c r="Q963" t="s">
        <v>41</v>
      </c>
      <c r="R963">
        <v>3</v>
      </c>
      <c r="S963" t="s">
        <v>37</v>
      </c>
      <c r="T963" s="2">
        <v>4249</v>
      </c>
      <c r="U963" s="2">
        <v>2690</v>
      </c>
      <c r="V963">
        <v>1</v>
      </c>
      <c r="W963" t="s">
        <v>32</v>
      </c>
      <c r="X963">
        <v>11</v>
      </c>
      <c r="Y963">
        <v>3</v>
      </c>
      <c r="Z963">
        <v>2</v>
      </c>
      <c r="AA963">
        <v>80</v>
      </c>
      <c r="AB963">
        <v>0</v>
      </c>
      <c r="AC963">
        <v>9</v>
      </c>
      <c r="AD963">
        <v>3</v>
      </c>
      <c r="AE963">
        <v>3</v>
      </c>
      <c r="AF963">
        <v>9</v>
      </c>
      <c r="AG963">
        <v>6</v>
      </c>
      <c r="AH963">
        <v>1</v>
      </c>
      <c r="AI963">
        <v>1</v>
      </c>
    </row>
    <row r="964" spans="1:35" x14ac:dyDescent="0.25">
      <c r="A964">
        <v>51</v>
      </c>
      <c r="B964" t="str">
        <f t="shared" si="30"/>
        <v>45-54</v>
      </c>
      <c r="C964" s="1" t="s">
        <v>38</v>
      </c>
      <c r="D964" s="17">
        <f>IF(Table1[[#This Row],[Attrition]]="Yes",1,0)</f>
        <v>0</v>
      </c>
      <c r="E964" t="s">
        <v>57</v>
      </c>
      <c r="F964" s="2">
        <v>770</v>
      </c>
      <c r="G964" t="s">
        <v>55</v>
      </c>
      <c r="H964">
        <v>5</v>
      </c>
      <c r="I964">
        <v>3</v>
      </c>
      <c r="J964" t="str">
        <f t="shared" si="31"/>
        <v>Bachelor</v>
      </c>
      <c r="K964" t="s">
        <v>34</v>
      </c>
      <c r="L964">
        <v>3</v>
      </c>
      <c r="M964" t="s">
        <v>40</v>
      </c>
      <c r="N964" s="2">
        <v>84</v>
      </c>
      <c r="O964">
        <v>3</v>
      </c>
      <c r="P964">
        <v>4</v>
      </c>
      <c r="Q964" t="s">
        <v>50</v>
      </c>
      <c r="R964">
        <v>2</v>
      </c>
      <c r="S964" t="s">
        <v>46</v>
      </c>
      <c r="T964" s="2">
        <v>14026</v>
      </c>
      <c r="U964" s="2">
        <v>17588</v>
      </c>
      <c r="V964">
        <v>1</v>
      </c>
      <c r="W964" t="s">
        <v>32</v>
      </c>
      <c r="X964">
        <v>11</v>
      </c>
      <c r="Y964">
        <v>3</v>
      </c>
      <c r="Z964">
        <v>2</v>
      </c>
      <c r="AA964">
        <v>80</v>
      </c>
      <c r="AB964">
        <v>1</v>
      </c>
      <c r="AC964">
        <v>33</v>
      </c>
      <c r="AD964">
        <v>2</v>
      </c>
      <c r="AE964">
        <v>3</v>
      </c>
      <c r="AF964">
        <v>33</v>
      </c>
      <c r="AG964">
        <v>9</v>
      </c>
      <c r="AH964">
        <v>0</v>
      </c>
      <c r="AI964">
        <v>10</v>
      </c>
    </row>
    <row r="965" spans="1:35" x14ac:dyDescent="0.25">
      <c r="A965">
        <v>38</v>
      </c>
      <c r="B965" t="str">
        <f t="shared" si="30"/>
        <v>35-44</v>
      </c>
      <c r="C965" s="1" t="s">
        <v>38</v>
      </c>
      <c r="D965" s="17">
        <f>IF(Table1[[#This Row],[Attrition]]="Yes",1,0)</f>
        <v>0</v>
      </c>
      <c r="E965" t="s">
        <v>57</v>
      </c>
      <c r="F965" s="2">
        <v>1009</v>
      </c>
      <c r="G965" t="s">
        <v>33</v>
      </c>
      <c r="H965">
        <v>2</v>
      </c>
      <c r="I965">
        <v>2</v>
      </c>
      <c r="J965" t="str">
        <f t="shared" si="31"/>
        <v>College</v>
      </c>
      <c r="K965" t="s">
        <v>34</v>
      </c>
      <c r="L965">
        <v>2</v>
      </c>
      <c r="M965" t="s">
        <v>35</v>
      </c>
      <c r="N965" s="2">
        <v>31</v>
      </c>
      <c r="O965">
        <v>3</v>
      </c>
      <c r="P965">
        <v>2</v>
      </c>
      <c r="Q965" t="s">
        <v>36</v>
      </c>
      <c r="R965">
        <v>1</v>
      </c>
      <c r="S965" t="s">
        <v>46</v>
      </c>
      <c r="T965" s="2">
        <v>6893</v>
      </c>
      <c r="U965" s="2">
        <v>19461</v>
      </c>
      <c r="V965">
        <v>3</v>
      </c>
      <c r="W965" t="s">
        <v>38</v>
      </c>
      <c r="X965">
        <v>15</v>
      </c>
      <c r="Y965">
        <v>3</v>
      </c>
      <c r="Z965">
        <v>4</v>
      </c>
      <c r="AA965">
        <v>80</v>
      </c>
      <c r="AB965">
        <v>1</v>
      </c>
      <c r="AC965">
        <v>11</v>
      </c>
      <c r="AD965">
        <v>3</v>
      </c>
      <c r="AE965">
        <v>3</v>
      </c>
      <c r="AF965">
        <v>7</v>
      </c>
      <c r="AG965">
        <v>7</v>
      </c>
      <c r="AH965">
        <v>1</v>
      </c>
      <c r="AI965">
        <v>7</v>
      </c>
    </row>
    <row r="966" spans="1:35" x14ac:dyDescent="0.25">
      <c r="A966">
        <v>34</v>
      </c>
      <c r="B966" t="str">
        <f t="shared" si="30"/>
        <v>25-34</v>
      </c>
      <c r="C966" s="1" t="s">
        <v>38</v>
      </c>
      <c r="D966" s="17">
        <f>IF(Table1[[#This Row],[Attrition]]="Yes",1,0)</f>
        <v>0</v>
      </c>
      <c r="E966" t="s">
        <v>57</v>
      </c>
      <c r="F966" s="2">
        <v>507</v>
      </c>
      <c r="G966" t="s">
        <v>33</v>
      </c>
      <c r="H966">
        <v>15</v>
      </c>
      <c r="I966">
        <v>2</v>
      </c>
      <c r="J966" t="str">
        <f t="shared" si="31"/>
        <v>College</v>
      </c>
      <c r="K966" t="s">
        <v>45</v>
      </c>
      <c r="L966">
        <v>3</v>
      </c>
      <c r="M966" t="s">
        <v>35</v>
      </c>
      <c r="N966" s="2">
        <v>66</v>
      </c>
      <c r="O966">
        <v>3</v>
      </c>
      <c r="P966">
        <v>2</v>
      </c>
      <c r="Q966" t="s">
        <v>36</v>
      </c>
      <c r="R966">
        <v>1</v>
      </c>
      <c r="S966" t="s">
        <v>37</v>
      </c>
      <c r="T966" s="2">
        <v>6125</v>
      </c>
      <c r="U966" s="2">
        <v>23553</v>
      </c>
      <c r="V966">
        <v>1</v>
      </c>
      <c r="W966" t="s">
        <v>38</v>
      </c>
      <c r="X966">
        <v>12</v>
      </c>
      <c r="Y966">
        <v>3</v>
      </c>
      <c r="Z966">
        <v>4</v>
      </c>
      <c r="AA966">
        <v>80</v>
      </c>
      <c r="AB966">
        <v>0</v>
      </c>
      <c r="AC966">
        <v>10</v>
      </c>
      <c r="AD966">
        <v>6</v>
      </c>
      <c r="AE966">
        <v>4</v>
      </c>
      <c r="AF966">
        <v>10</v>
      </c>
      <c r="AG966">
        <v>8</v>
      </c>
      <c r="AH966">
        <v>9</v>
      </c>
      <c r="AI966">
        <v>6</v>
      </c>
    </row>
    <row r="967" spans="1:35" x14ac:dyDescent="0.25">
      <c r="A967">
        <v>25</v>
      </c>
      <c r="B967" t="str">
        <f t="shared" si="30"/>
        <v>25-34</v>
      </c>
      <c r="C967" s="1" t="s">
        <v>38</v>
      </c>
      <c r="D967" s="17">
        <f>IF(Table1[[#This Row],[Attrition]]="Yes",1,0)</f>
        <v>0</v>
      </c>
      <c r="E967" t="s">
        <v>57</v>
      </c>
      <c r="F967" s="2">
        <v>882</v>
      </c>
      <c r="G967" t="s">
        <v>39</v>
      </c>
      <c r="H967">
        <v>19</v>
      </c>
      <c r="I967">
        <v>1</v>
      </c>
      <c r="J967" t="str">
        <f t="shared" si="31"/>
        <v>Below College</v>
      </c>
      <c r="K967" t="s">
        <v>45</v>
      </c>
      <c r="L967">
        <v>4</v>
      </c>
      <c r="M967" t="s">
        <v>40</v>
      </c>
      <c r="N967" s="2">
        <v>67</v>
      </c>
      <c r="O967">
        <v>3</v>
      </c>
      <c r="P967">
        <v>1</v>
      </c>
      <c r="Q967" t="s">
        <v>44</v>
      </c>
      <c r="R967">
        <v>4</v>
      </c>
      <c r="S967" t="s">
        <v>42</v>
      </c>
      <c r="T967" s="2">
        <v>3669</v>
      </c>
      <c r="U967" s="2">
        <v>9075</v>
      </c>
      <c r="V967">
        <v>3</v>
      </c>
      <c r="W967" t="s">
        <v>38</v>
      </c>
      <c r="X967">
        <v>11</v>
      </c>
      <c r="Y967">
        <v>3</v>
      </c>
      <c r="Z967">
        <v>3</v>
      </c>
      <c r="AA967">
        <v>80</v>
      </c>
      <c r="AB967">
        <v>3</v>
      </c>
      <c r="AC967">
        <v>7</v>
      </c>
      <c r="AD967">
        <v>6</v>
      </c>
      <c r="AE967">
        <v>2</v>
      </c>
      <c r="AF967">
        <v>3</v>
      </c>
      <c r="AG967">
        <v>2</v>
      </c>
      <c r="AH967">
        <v>1</v>
      </c>
      <c r="AI967">
        <v>2</v>
      </c>
    </row>
    <row r="968" spans="1:35" x14ac:dyDescent="0.25">
      <c r="A968">
        <v>58</v>
      </c>
      <c r="B968" t="str">
        <f t="shared" si="30"/>
        <v>55-64</v>
      </c>
      <c r="C968" s="1" t="s">
        <v>32</v>
      </c>
      <c r="D968" s="17">
        <f>IF(Table1[[#This Row],[Attrition]]="Yes",1,0)</f>
        <v>1</v>
      </c>
      <c r="E968" t="s">
        <v>57</v>
      </c>
      <c r="F968" s="2">
        <v>601</v>
      </c>
      <c r="G968" t="s">
        <v>39</v>
      </c>
      <c r="H968">
        <v>7</v>
      </c>
      <c r="I968">
        <v>4</v>
      </c>
      <c r="J968" t="str">
        <f t="shared" si="31"/>
        <v>Master</v>
      </c>
      <c r="K968" t="s">
        <v>45</v>
      </c>
      <c r="L968">
        <v>3</v>
      </c>
      <c r="M968" t="s">
        <v>35</v>
      </c>
      <c r="N968" s="2">
        <v>53</v>
      </c>
      <c r="O968">
        <v>2</v>
      </c>
      <c r="P968">
        <v>3</v>
      </c>
      <c r="Q968" t="s">
        <v>47</v>
      </c>
      <c r="R968">
        <v>1</v>
      </c>
      <c r="S968" t="s">
        <v>42</v>
      </c>
      <c r="T968" s="2">
        <v>10008</v>
      </c>
      <c r="U968" s="2">
        <v>12023</v>
      </c>
      <c r="V968">
        <v>7</v>
      </c>
      <c r="W968" t="s">
        <v>32</v>
      </c>
      <c r="X968">
        <v>14</v>
      </c>
      <c r="Y968">
        <v>3</v>
      </c>
      <c r="Z968">
        <v>4</v>
      </c>
      <c r="AA968">
        <v>80</v>
      </c>
      <c r="AB968">
        <v>0</v>
      </c>
      <c r="AC968">
        <v>31</v>
      </c>
      <c r="AD968">
        <v>0</v>
      </c>
      <c r="AE968">
        <v>2</v>
      </c>
      <c r="AF968">
        <v>10</v>
      </c>
      <c r="AG968">
        <v>9</v>
      </c>
      <c r="AH968">
        <v>5</v>
      </c>
      <c r="AI968">
        <v>9</v>
      </c>
    </row>
    <row r="969" spans="1:35" x14ac:dyDescent="0.25">
      <c r="A969">
        <v>40</v>
      </c>
      <c r="B969" t="str">
        <f t="shared" si="30"/>
        <v>35-44</v>
      </c>
      <c r="C969" s="1" t="s">
        <v>38</v>
      </c>
      <c r="D969" s="17">
        <f>IF(Table1[[#This Row],[Attrition]]="Yes",1,0)</f>
        <v>0</v>
      </c>
      <c r="E969" t="s">
        <v>57</v>
      </c>
      <c r="F969" s="2">
        <v>329</v>
      </c>
      <c r="G969" t="s">
        <v>39</v>
      </c>
      <c r="H969">
        <v>1</v>
      </c>
      <c r="I969">
        <v>4</v>
      </c>
      <c r="J969" t="str">
        <f t="shared" si="31"/>
        <v>Master</v>
      </c>
      <c r="K969" t="s">
        <v>34</v>
      </c>
      <c r="L969">
        <v>2</v>
      </c>
      <c r="M969" t="s">
        <v>40</v>
      </c>
      <c r="N969" s="2">
        <v>88</v>
      </c>
      <c r="O969">
        <v>3</v>
      </c>
      <c r="P969">
        <v>1</v>
      </c>
      <c r="Q969" t="s">
        <v>44</v>
      </c>
      <c r="R969">
        <v>2</v>
      </c>
      <c r="S969" t="s">
        <v>42</v>
      </c>
      <c r="T969" s="2">
        <v>2387</v>
      </c>
      <c r="U969" s="2">
        <v>6762</v>
      </c>
      <c r="V969">
        <v>3</v>
      </c>
      <c r="W969" t="s">
        <v>38</v>
      </c>
      <c r="X969">
        <v>22</v>
      </c>
      <c r="Y969">
        <v>4</v>
      </c>
      <c r="Z969">
        <v>3</v>
      </c>
      <c r="AA969">
        <v>80</v>
      </c>
      <c r="AB969">
        <v>1</v>
      </c>
      <c r="AC969">
        <v>7</v>
      </c>
      <c r="AD969">
        <v>3</v>
      </c>
      <c r="AE969">
        <v>3</v>
      </c>
      <c r="AF969">
        <v>4</v>
      </c>
      <c r="AG969">
        <v>2</v>
      </c>
      <c r="AH969">
        <v>0</v>
      </c>
      <c r="AI969">
        <v>3</v>
      </c>
    </row>
    <row r="970" spans="1:35" x14ac:dyDescent="0.25">
      <c r="A970">
        <v>36</v>
      </c>
      <c r="B970" t="str">
        <f t="shared" si="30"/>
        <v>35-44</v>
      </c>
      <c r="C970" s="1" t="s">
        <v>38</v>
      </c>
      <c r="D970" s="17">
        <f>IF(Table1[[#This Row],[Attrition]]="Yes",1,0)</f>
        <v>0</v>
      </c>
      <c r="E970" t="s">
        <v>58</v>
      </c>
      <c r="F970" s="2">
        <v>607</v>
      </c>
      <c r="G970" t="s">
        <v>33</v>
      </c>
      <c r="H970">
        <v>7</v>
      </c>
      <c r="I970">
        <v>3</v>
      </c>
      <c r="J970" t="str">
        <f t="shared" si="31"/>
        <v>Bachelor</v>
      </c>
      <c r="K970" t="s">
        <v>53</v>
      </c>
      <c r="L970">
        <v>1</v>
      </c>
      <c r="M970" t="s">
        <v>35</v>
      </c>
      <c r="N970" s="2">
        <v>83</v>
      </c>
      <c r="O970">
        <v>4</v>
      </c>
      <c r="P970">
        <v>2</v>
      </c>
      <c r="Q970" t="s">
        <v>36</v>
      </c>
      <c r="R970">
        <v>1</v>
      </c>
      <c r="S970" t="s">
        <v>42</v>
      </c>
      <c r="T970" s="2">
        <v>4639</v>
      </c>
      <c r="U970" s="2">
        <v>2261</v>
      </c>
      <c r="V970">
        <v>2</v>
      </c>
      <c r="W970" t="s">
        <v>38</v>
      </c>
      <c r="X970">
        <v>16</v>
      </c>
      <c r="Y970">
        <v>3</v>
      </c>
      <c r="Z970">
        <v>4</v>
      </c>
      <c r="AA970">
        <v>80</v>
      </c>
      <c r="AB970">
        <v>1</v>
      </c>
      <c r="AC970">
        <v>17</v>
      </c>
      <c r="AD970">
        <v>2</v>
      </c>
      <c r="AE970">
        <v>2</v>
      </c>
      <c r="AF970">
        <v>15</v>
      </c>
      <c r="AG970">
        <v>7</v>
      </c>
      <c r="AH970">
        <v>6</v>
      </c>
      <c r="AI970">
        <v>13</v>
      </c>
    </row>
    <row r="971" spans="1:35" x14ac:dyDescent="0.25">
      <c r="A971">
        <v>48</v>
      </c>
      <c r="B971" t="str">
        <f t="shared" si="30"/>
        <v>45-54</v>
      </c>
      <c r="C971" s="1" t="s">
        <v>38</v>
      </c>
      <c r="D971" s="17">
        <f>IF(Table1[[#This Row],[Attrition]]="Yes",1,0)</f>
        <v>0</v>
      </c>
      <c r="E971" t="s">
        <v>57</v>
      </c>
      <c r="F971" s="2">
        <v>855</v>
      </c>
      <c r="G971" t="s">
        <v>39</v>
      </c>
      <c r="H971">
        <v>4</v>
      </c>
      <c r="I971">
        <v>3</v>
      </c>
      <c r="J971" t="str">
        <f t="shared" si="31"/>
        <v>Bachelor</v>
      </c>
      <c r="K971" t="s">
        <v>34</v>
      </c>
      <c r="L971">
        <v>4</v>
      </c>
      <c r="M971" t="s">
        <v>40</v>
      </c>
      <c r="N971" s="2">
        <v>54</v>
      </c>
      <c r="O971">
        <v>3</v>
      </c>
      <c r="P971">
        <v>3</v>
      </c>
      <c r="Q971" t="s">
        <v>47</v>
      </c>
      <c r="R971">
        <v>4</v>
      </c>
      <c r="S971" t="s">
        <v>37</v>
      </c>
      <c r="T971" s="2">
        <v>7898</v>
      </c>
      <c r="U971" s="2">
        <v>18706</v>
      </c>
      <c r="V971">
        <v>1</v>
      </c>
      <c r="W971" t="s">
        <v>38</v>
      </c>
      <c r="X971">
        <v>11</v>
      </c>
      <c r="Y971">
        <v>3</v>
      </c>
      <c r="Z971">
        <v>3</v>
      </c>
      <c r="AA971">
        <v>80</v>
      </c>
      <c r="AB971">
        <v>0</v>
      </c>
      <c r="AC971">
        <v>11</v>
      </c>
      <c r="AD971">
        <v>2</v>
      </c>
      <c r="AE971">
        <v>3</v>
      </c>
      <c r="AF971">
        <v>10</v>
      </c>
      <c r="AG971">
        <v>9</v>
      </c>
      <c r="AH971">
        <v>0</v>
      </c>
      <c r="AI971">
        <v>8</v>
      </c>
    </row>
    <row r="972" spans="1:35" x14ac:dyDescent="0.25">
      <c r="A972">
        <v>27</v>
      </c>
      <c r="B972" t="str">
        <f t="shared" si="30"/>
        <v>25-34</v>
      </c>
      <c r="C972" s="1" t="s">
        <v>38</v>
      </c>
      <c r="D972" s="17">
        <f>IF(Table1[[#This Row],[Attrition]]="Yes",1,0)</f>
        <v>0</v>
      </c>
      <c r="E972" t="s">
        <v>57</v>
      </c>
      <c r="F972" s="2">
        <v>1291</v>
      </c>
      <c r="G972" t="s">
        <v>33</v>
      </c>
      <c r="H972">
        <v>11</v>
      </c>
      <c r="I972">
        <v>3</v>
      </c>
      <c r="J972" t="str">
        <f t="shared" si="31"/>
        <v>Bachelor</v>
      </c>
      <c r="K972" t="s">
        <v>45</v>
      </c>
      <c r="L972">
        <v>3</v>
      </c>
      <c r="M972" t="s">
        <v>35</v>
      </c>
      <c r="N972" s="2">
        <v>98</v>
      </c>
      <c r="O972">
        <v>4</v>
      </c>
      <c r="P972">
        <v>1</v>
      </c>
      <c r="Q972" t="s">
        <v>51</v>
      </c>
      <c r="R972">
        <v>4</v>
      </c>
      <c r="S972" t="s">
        <v>42</v>
      </c>
      <c r="T972" s="2">
        <v>2534</v>
      </c>
      <c r="U972" s="2">
        <v>6527</v>
      </c>
      <c r="V972">
        <v>8</v>
      </c>
      <c r="W972" t="s">
        <v>38</v>
      </c>
      <c r="X972">
        <v>14</v>
      </c>
      <c r="Y972">
        <v>3</v>
      </c>
      <c r="Z972">
        <v>2</v>
      </c>
      <c r="AA972">
        <v>80</v>
      </c>
      <c r="AB972">
        <v>1</v>
      </c>
      <c r="AC972">
        <v>5</v>
      </c>
      <c r="AD972">
        <v>4</v>
      </c>
      <c r="AE972">
        <v>3</v>
      </c>
      <c r="AF972">
        <v>1</v>
      </c>
      <c r="AG972">
        <v>0</v>
      </c>
      <c r="AH972">
        <v>0</v>
      </c>
      <c r="AI972">
        <v>0</v>
      </c>
    </row>
    <row r="973" spans="1:35" x14ac:dyDescent="0.25">
      <c r="A973">
        <v>51</v>
      </c>
      <c r="B973" t="str">
        <f t="shared" si="30"/>
        <v>45-54</v>
      </c>
      <c r="C973" s="1" t="s">
        <v>38</v>
      </c>
      <c r="D973" s="17">
        <f>IF(Table1[[#This Row],[Attrition]]="Yes",1,0)</f>
        <v>0</v>
      </c>
      <c r="E973" t="s">
        <v>57</v>
      </c>
      <c r="F973" s="2">
        <v>1405</v>
      </c>
      <c r="G973" t="s">
        <v>39</v>
      </c>
      <c r="H973">
        <v>11</v>
      </c>
      <c r="I973">
        <v>2</v>
      </c>
      <c r="J973" t="str">
        <f t="shared" si="31"/>
        <v>College</v>
      </c>
      <c r="K973" t="s">
        <v>54</v>
      </c>
      <c r="L973">
        <v>4</v>
      </c>
      <c r="M973" t="s">
        <v>35</v>
      </c>
      <c r="N973" s="2">
        <v>82</v>
      </c>
      <c r="O973">
        <v>2</v>
      </c>
      <c r="P973">
        <v>4</v>
      </c>
      <c r="Q973" t="s">
        <v>47</v>
      </c>
      <c r="R973">
        <v>2</v>
      </c>
      <c r="S973" t="s">
        <v>37</v>
      </c>
      <c r="T973" s="2">
        <v>13142</v>
      </c>
      <c r="U973" s="2">
        <v>24439</v>
      </c>
      <c r="V973">
        <v>3</v>
      </c>
      <c r="W973" t="s">
        <v>38</v>
      </c>
      <c r="X973">
        <v>16</v>
      </c>
      <c r="Y973">
        <v>3</v>
      </c>
      <c r="Z973">
        <v>2</v>
      </c>
      <c r="AA973">
        <v>80</v>
      </c>
      <c r="AB973">
        <v>0</v>
      </c>
      <c r="AC973">
        <v>29</v>
      </c>
      <c r="AD973">
        <v>1</v>
      </c>
      <c r="AE973">
        <v>2</v>
      </c>
      <c r="AF973">
        <v>5</v>
      </c>
      <c r="AG973">
        <v>2</v>
      </c>
      <c r="AH973">
        <v>0</v>
      </c>
      <c r="AI973">
        <v>3</v>
      </c>
    </row>
    <row r="974" spans="1:35" x14ac:dyDescent="0.25">
      <c r="A974">
        <v>18</v>
      </c>
      <c r="B974" t="str">
        <f t="shared" si="30"/>
        <v>18-24</v>
      </c>
      <c r="C974" s="1" t="s">
        <v>38</v>
      </c>
      <c r="D974" s="17">
        <f>IF(Table1[[#This Row],[Attrition]]="Yes",1,0)</f>
        <v>0</v>
      </c>
      <c r="E974" t="s">
        <v>49</v>
      </c>
      <c r="F974" s="2">
        <v>1124</v>
      </c>
      <c r="G974" t="s">
        <v>39</v>
      </c>
      <c r="H974">
        <v>1</v>
      </c>
      <c r="I974">
        <v>3</v>
      </c>
      <c r="J974" t="str">
        <f t="shared" si="31"/>
        <v>Bachelor</v>
      </c>
      <c r="K974" t="s">
        <v>34</v>
      </c>
      <c r="L974">
        <v>4</v>
      </c>
      <c r="M974" t="s">
        <v>35</v>
      </c>
      <c r="N974" s="2">
        <v>97</v>
      </c>
      <c r="O974">
        <v>3</v>
      </c>
      <c r="P974">
        <v>1</v>
      </c>
      <c r="Q974" t="s">
        <v>44</v>
      </c>
      <c r="R974">
        <v>4</v>
      </c>
      <c r="S974" t="s">
        <v>37</v>
      </c>
      <c r="T974" s="2">
        <v>1611</v>
      </c>
      <c r="U974" s="2">
        <v>19305</v>
      </c>
      <c r="V974">
        <v>1</v>
      </c>
      <c r="W974" t="s">
        <v>38</v>
      </c>
      <c r="X974">
        <v>15</v>
      </c>
      <c r="Y974">
        <v>3</v>
      </c>
      <c r="Z974">
        <v>3</v>
      </c>
      <c r="AA974">
        <v>80</v>
      </c>
      <c r="AB974">
        <v>0</v>
      </c>
      <c r="AC974">
        <v>0</v>
      </c>
      <c r="AD974">
        <v>5</v>
      </c>
      <c r="AE974">
        <v>4</v>
      </c>
      <c r="AF974">
        <v>0</v>
      </c>
      <c r="AG974">
        <v>0</v>
      </c>
      <c r="AH974">
        <v>0</v>
      </c>
      <c r="AI974">
        <v>0</v>
      </c>
    </row>
    <row r="975" spans="1:35" x14ac:dyDescent="0.25">
      <c r="A975">
        <v>35</v>
      </c>
      <c r="B975" t="str">
        <f t="shared" si="30"/>
        <v>35-44</v>
      </c>
      <c r="C975" s="1" t="s">
        <v>38</v>
      </c>
      <c r="D975" s="17">
        <f>IF(Table1[[#This Row],[Attrition]]="Yes",1,0)</f>
        <v>0</v>
      </c>
      <c r="E975" t="s">
        <v>57</v>
      </c>
      <c r="F975" s="2">
        <v>817</v>
      </c>
      <c r="G975" t="s">
        <v>39</v>
      </c>
      <c r="H975">
        <v>1</v>
      </c>
      <c r="I975">
        <v>3</v>
      </c>
      <c r="J975" t="str">
        <f t="shared" si="31"/>
        <v>Bachelor</v>
      </c>
      <c r="K975" t="s">
        <v>45</v>
      </c>
      <c r="L975">
        <v>4</v>
      </c>
      <c r="M975" t="s">
        <v>35</v>
      </c>
      <c r="N975" s="2">
        <v>60</v>
      </c>
      <c r="O975">
        <v>2</v>
      </c>
      <c r="P975">
        <v>2</v>
      </c>
      <c r="Q975" t="s">
        <v>44</v>
      </c>
      <c r="R975">
        <v>4</v>
      </c>
      <c r="S975" t="s">
        <v>42</v>
      </c>
      <c r="T975" s="2">
        <v>5363</v>
      </c>
      <c r="U975" s="2">
        <v>10846</v>
      </c>
      <c r="V975">
        <v>0</v>
      </c>
      <c r="W975" t="s">
        <v>38</v>
      </c>
      <c r="X975">
        <v>12</v>
      </c>
      <c r="Y975">
        <v>3</v>
      </c>
      <c r="Z975">
        <v>2</v>
      </c>
      <c r="AA975">
        <v>80</v>
      </c>
      <c r="AB975">
        <v>1</v>
      </c>
      <c r="AC975">
        <v>10</v>
      </c>
      <c r="AD975">
        <v>0</v>
      </c>
      <c r="AE975">
        <v>3</v>
      </c>
      <c r="AF975">
        <v>9</v>
      </c>
      <c r="AG975">
        <v>7</v>
      </c>
      <c r="AH975">
        <v>0</v>
      </c>
      <c r="AI975">
        <v>0</v>
      </c>
    </row>
    <row r="976" spans="1:35" x14ac:dyDescent="0.25">
      <c r="A976">
        <v>27</v>
      </c>
      <c r="B976" t="str">
        <f t="shared" si="30"/>
        <v>25-34</v>
      </c>
      <c r="C976" s="1" t="s">
        <v>38</v>
      </c>
      <c r="D976" s="17">
        <f>IF(Table1[[#This Row],[Attrition]]="Yes",1,0)</f>
        <v>0</v>
      </c>
      <c r="E976" t="s">
        <v>58</v>
      </c>
      <c r="F976" s="2">
        <v>793</v>
      </c>
      <c r="G976" t="s">
        <v>33</v>
      </c>
      <c r="H976">
        <v>2</v>
      </c>
      <c r="I976">
        <v>1</v>
      </c>
      <c r="J976" t="str">
        <f t="shared" si="31"/>
        <v>Below College</v>
      </c>
      <c r="K976" t="s">
        <v>34</v>
      </c>
      <c r="L976">
        <v>4</v>
      </c>
      <c r="M976" t="s">
        <v>40</v>
      </c>
      <c r="N976" s="2">
        <v>43</v>
      </c>
      <c r="O976">
        <v>1</v>
      </c>
      <c r="P976">
        <v>2</v>
      </c>
      <c r="Q976" t="s">
        <v>36</v>
      </c>
      <c r="R976">
        <v>4</v>
      </c>
      <c r="S976" t="s">
        <v>37</v>
      </c>
      <c r="T976" s="2">
        <v>5071</v>
      </c>
      <c r="U976" s="2">
        <v>20392</v>
      </c>
      <c r="V976">
        <v>3</v>
      </c>
      <c r="W976" t="s">
        <v>38</v>
      </c>
      <c r="X976">
        <v>20</v>
      </c>
      <c r="Y976">
        <v>4</v>
      </c>
      <c r="Z976">
        <v>2</v>
      </c>
      <c r="AA976">
        <v>80</v>
      </c>
      <c r="AB976">
        <v>0</v>
      </c>
      <c r="AC976">
        <v>8</v>
      </c>
      <c r="AD976">
        <v>3</v>
      </c>
      <c r="AE976">
        <v>3</v>
      </c>
      <c r="AF976">
        <v>6</v>
      </c>
      <c r="AG976">
        <v>2</v>
      </c>
      <c r="AH976">
        <v>0</v>
      </c>
      <c r="AI976">
        <v>0</v>
      </c>
    </row>
    <row r="977" spans="1:35" x14ac:dyDescent="0.25">
      <c r="A977">
        <v>55</v>
      </c>
      <c r="B977" t="str">
        <f t="shared" si="30"/>
        <v>55-64</v>
      </c>
      <c r="C977" s="1" t="s">
        <v>32</v>
      </c>
      <c r="D977" s="17">
        <f>IF(Table1[[#This Row],[Attrition]]="Yes",1,0)</f>
        <v>1</v>
      </c>
      <c r="E977" t="s">
        <v>57</v>
      </c>
      <c r="F977" s="2">
        <v>267</v>
      </c>
      <c r="G977" t="s">
        <v>33</v>
      </c>
      <c r="H977">
        <v>13</v>
      </c>
      <c r="I977">
        <v>4</v>
      </c>
      <c r="J977" t="str">
        <f t="shared" si="31"/>
        <v>Master</v>
      </c>
      <c r="K977" t="s">
        <v>53</v>
      </c>
      <c r="L977">
        <v>1</v>
      </c>
      <c r="M977" t="s">
        <v>40</v>
      </c>
      <c r="N977" s="2">
        <v>85</v>
      </c>
      <c r="O977">
        <v>4</v>
      </c>
      <c r="P977">
        <v>4</v>
      </c>
      <c r="Q977" t="s">
        <v>36</v>
      </c>
      <c r="R977">
        <v>3</v>
      </c>
      <c r="S977" t="s">
        <v>37</v>
      </c>
      <c r="T977" s="2">
        <v>13695</v>
      </c>
      <c r="U977" s="2">
        <v>9277</v>
      </c>
      <c r="V977">
        <v>6</v>
      </c>
      <c r="W977" t="s">
        <v>32</v>
      </c>
      <c r="X977">
        <v>17</v>
      </c>
      <c r="Y977">
        <v>3</v>
      </c>
      <c r="Z977">
        <v>3</v>
      </c>
      <c r="AA977">
        <v>80</v>
      </c>
      <c r="AB977">
        <v>0</v>
      </c>
      <c r="AC977">
        <v>24</v>
      </c>
      <c r="AD977">
        <v>2</v>
      </c>
      <c r="AE977">
        <v>2</v>
      </c>
      <c r="AF977">
        <v>19</v>
      </c>
      <c r="AG977">
        <v>7</v>
      </c>
      <c r="AH977">
        <v>3</v>
      </c>
      <c r="AI977">
        <v>8</v>
      </c>
    </row>
    <row r="978" spans="1:35" x14ac:dyDescent="0.25">
      <c r="A978">
        <v>56</v>
      </c>
      <c r="B978" t="str">
        <f t="shared" si="30"/>
        <v>55-64</v>
      </c>
      <c r="C978" s="1" t="s">
        <v>38</v>
      </c>
      <c r="D978" s="17">
        <f>IF(Table1[[#This Row],[Attrition]]="Yes",1,0)</f>
        <v>0</v>
      </c>
      <c r="E978" t="s">
        <v>57</v>
      </c>
      <c r="F978" s="2">
        <v>1369</v>
      </c>
      <c r="G978" t="s">
        <v>39</v>
      </c>
      <c r="H978">
        <v>23</v>
      </c>
      <c r="I978">
        <v>3</v>
      </c>
      <c r="J978" t="str">
        <f t="shared" si="31"/>
        <v>Bachelor</v>
      </c>
      <c r="K978" t="s">
        <v>34</v>
      </c>
      <c r="L978">
        <v>4</v>
      </c>
      <c r="M978" t="s">
        <v>40</v>
      </c>
      <c r="N978" s="2">
        <v>68</v>
      </c>
      <c r="O978">
        <v>3</v>
      </c>
      <c r="P978">
        <v>4</v>
      </c>
      <c r="Q978" t="s">
        <v>47</v>
      </c>
      <c r="R978">
        <v>2</v>
      </c>
      <c r="S978" t="s">
        <v>42</v>
      </c>
      <c r="T978" s="2">
        <v>13402</v>
      </c>
      <c r="U978" s="2">
        <v>18235</v>
      </c>
      <c r="V978">
        <v>4</v>
      </c>
      <c r="W978" t="s">
        <v>32</v>
      </c>
      <c r="X978">
        <v>12</v>
      </c>
      <c r="Y978">
        <v>3</v>
      </c>
      <c r="Z978">
        <v>1</v>
      </c>
      <c r="AA978">
        <v>80</v>
      </c>
      <c r="AB978">
        <v>1</v>
      </c>
      <c r="AC978">
        <v>33</v>
      </c>
      <c r="AD978">
        <v>0</v>
      </c>
      <c r="AE978">
        <v>3</v>
      </c>
      <c r="AF978">
        <v>19</v>
      </c>
      <c r="AG978">
        <v>16</v>
      </c>
      <c r="AH978">
        <v>15</v>
      </c>
      <c r="AI978">
        <v>9</v>
      </c>
    </row>
    <row r="979" spans="1:35" x14ac:dyDescent="0.25">
      <c r="A979">
        <v>34</v>
      </c>
      <c r="B979" t="str">
        <f t="shared" si="30"/>
        <v>25-34</v>
      </c>
      <c r="C979" s="1" t="s">
        <v>38</v>
      </c>
      <c r="D979" s="17">
        <f>IF(Table1[[#This Row],[Attrition]]="Yes",1,0)</f>
        <v>0</v>
      </c>
      <c r="E979" t="s">
        <v>49</v>
      </c>
      <c r="F979" s="2">
        <v>999</v>
      </c>
      <c r="G979" t="s">
        <v>39</v>
      </c>
      <c r="H979">
        <v>26</v>
      </c>
      <c r="I979">
        <v>1</v>
      </c>
      <c r="J979" t="str">
        <f t="shared" si="31"/>
        <v>Below College</v>
      </c>
      <c r="K979" t="s">
        <v>54</v>
      </c>
      <c r="L979">
        <v>1</v>
      </c>
      <c r="M979" t="s">
        <v>35</v>
      </c>
      <c r="N979" s="2">
        <v>92</v>
      </c>
      <c r="O979">
        <v>2</v>
      </c>
      <c r="P979">
        <v>1</v>
      </c>
      <c r="Q979" t="s">
        <v>41</v>
      </c>
      <c r="R979">
        <v>3</v>
      </c>
      <c r="S979" t="s">
        <v>46</v>
      </c>
      <c r="T979" s="2">
        <v>2029</v>
      </c>
      <c r="U979" s="2">
        <v>15891</v>
      </c>
      <c r="V979">
        <v>1</v>
      </c>
      <c r="W979" t="s">
        <v>38</v>
      </c>
      <c r="X979">
        <v>20</v>
      </c>
      <c r="Y979">
        <v>4</v>
      </c>
      <c r="Z979">
        <v>3</v>
      </c>
      <c r="AA979">
        <v>80</v>
      </c>
      <c r="AB979">
        <v>3</v>
      </c>
      <c r="AC979">
        <v>5</v>
      </c>
      <c r="AD979">
        <v>2</v>
      </c>
      <c r="AE979">
        <v>3</v>
      </c>
      <c r="AF979">
        <v>5</v>
      </c>
      <c r="AG979">
        <v>4</v>
      </c>
      <c r="AH979">
        <v>0</v>
      </c>
      <c r="AI979">
        <v>0</v>
      </c>
    </row>
    <row r="980" spans="1:35" x14ac:dyDescent="0.25">
      <c r="A980">
        <v>40</v>
      </c>
      <c r="B980" t="str">
        <f t="shared" si="30"/>
        <v>35-44</v>
      </c>
      <c r="C980" s="1" t="s">
        <v>38</v>
      </c>
      <c r="D980" s="17">
        <f>IF(Table1[[#This Row],[Attrition]]="Yes",1,0)</f>
        <v>0</v>
      </c>
      <c r="E980" t="s">
        <v>57</v>
      </c>
      <c r="F980" s="2">
        <v>1202</v>
      </c>
      <c r="G980" t="s">
        <v>39</v>
      </c>
      <c r="H980">
        <v>2</v>
      </c>
      <c r="I980">
        <v>1</v>
      </c>
      <c r="J980" t="str">
        <f t="shared" si="31"/>
        <v>Below College</v>
      </c>
      <c r="K980" t="s">
        <v>45</v>
      </c>
      <c r="L980">
        <v>2</v>
      </c>
      <c r="M980" t="s">
        <v>35</v>
      </c>
      <c r="N980" s="2">
        <v>89</v>
      </c>
      <c r="O980">
        <v>4</v>
      </c>
      <c r="P980">
        <v>2</v>
      </c>
      <c r="Q980" t="s">
        <v>48</v>
      </c>
      <c r="R980">
        <v>3</v>
      </c>
      <c r="S980" t="s">
        <v>46</v>
      </c>
      <c r="T980" s="2">
        <v>6377</v>
      </c>
      <c r="U980" s="2">
        <v>13888</v>
      </c>
      <c r="V980">
        <v>5</v>
      </c>
      <c r="W980" t="s">
        <v>38</v>
      </c>
      <c r="X980">
        <v>20</v>
      </c>
      <c r="Y980">
        <v>4</v>
      </c>
      <c r="Z980">
        <v>2</v>
      </c>
      <c r="AA980">
        <v>80</v>
      </c>
      <c r="AB980">
        <v>3</v>
      </c>
      <c r="AC980">
        <v>15</v>
      </c>
      <c r="AD980">
        <v>0</v>
      </c>
      <c r="AE980">
        <v>3</v>
      </c>
      <c r="AF980">
        <v>12</v>
      </c>
      <c r="AG980">
        <v>11</v>
      </c>
      <c r="AH980">
        <v>11</v>
      </c>
      <c r="AI980">
        <v>8</v>
      </c>
    </row>
    <row r="981" spans="1:35" x14ac:dyDescent="0.25">
      <c r="A981">
        <v>34</v>
      </c>
      <c r="B981" t="str">
        <f t="shared" si="30"/>
        <v>25-34</v>
      </c>
      <c r="C981" s="1" t="s">
        <v>38</v>
      </c>
      <c r="D981" s="17">
        <f>IF(Table1[[#This Row],[Attrition]]="Yes",1,0)</f>
        <v>0</v>
      </c>
      <c r="E981" t="s">
        <v>57</v>
      </c>
      <c r="F981" s="2">
        <v>285</v>
      </c>
      <c r="G981" t="s">
        <v>39</v>
      </c>
      <c r="H981">
        <v>29</v>
      </c>
      <c r="I981">
        <v>3</v>
      </c>
      <c r="J981" t="str">
        <f t="shared" si="31"/>
        <v>Bachelor</v>
      </c>
      <c r="K981" t="s">
        <v>45</v>
      </c>
      <c r="L981">
        <v>2</v>
      </c>
      <c r="M981" t="s">
        <v>40</v>
      </c>
      <c r="N981" s="2">
        <v>86</v>
      </c>
      <c r="O981">
        <v>3</v>
      </c>
      <c r="P981">
        <v>2</v>
      </c>
      <c r="Q981" t="s">
        <v>44</v>
      </c>
      <c r="R981">
        <v>3</v>
      </c>
      <c r="S981" t="s">
        <v>42</v>
      </c>
      <c r="T981" s="2">
        <v>5429</v>
      </c>
      <c r="U981" s="2">
        <v>17491</v>
      </c>
      <c r="V981">
        <v>4</v>
      </c>
      <c r="W981" t="s">
        <v>38</v>
      </c>
      <c r="X981">
        <v>13</v>
      </c>
      <c r="Y981">
        <v>3</v>
      </c>
      <c r="Z981">
        <v>1</v>
      </c>
      <c r="AA981">
        <v>80</v>
      </c>
      <c r="AB981">
        <v>2</v>
      </c>
      <c r="AC981">
        <v>10</v>
      </c>
      <c r="AD981">
        <v>1</v>
      </c>
      <c r="AE981">
        <v>3</v>
      </c>
      <c r="AF981">
        <v>8</v>
      </c>
      <c r="AG981">
        <v>7</v>
      </c>
      <c r="AH981">
        <v>7</v>
      </c>
      <c r="AI981">
        <v>7</v>
      </c>
    </row>
    <row r="982" spans="1:35" x14ac:dyDescent="0.25">
      <c r="A982">
        <v>31</v>
      </c>
      <c r="B982" t="str">
        <f t="shared" si="30"/>
        <v>25-34</v>
      </c>
      <c r="C982" s="1" t="s">
        <v>32</v>
      </c>
      <c r="D982" s="17">
        <f>IF(Table1[[#This Row],[Attrition]]="Yes",1,0)</f>
        <v>1</v>
      </c>
      <c r="E982" t="s">
        <v>58</v>
      </c>
      <c r="F982" s="2">
        <v>703</v>
      </c>
      <c r="G982" t="s">
        <v>33</v>
      </c>
      <c r="H982">
        <v>2</v>
      </c>
      <c r="I982">
        <v>3</v>
      </c>
      <c r="J982" t="str">
        <f t="shared" si="31"/>
        <v>Bachelor</v>
      </c>
      <c r="K982" t="s">
        <v>34</v>
      </c>
      <c r="L982">
        <v>3</v>
      </c>
      <c r="M982" t="s">
        <v>35</v>
      </c>
      <c r="N982" s="2">
        <v>90</v>
      </c>
      <c r="O982">
        <v>2</v>
      </c>
      <c r="P982">
        <v>1</v>
      </c>
      <c r="Q982" t="s">
        <v>51</v>
      </c>
      <c r="R982">
        <v>4</v>
      </c>
      <c r="S982" t="s">
        <v>37</v>
      </c>
      <c r="T982" s="2">
        <v>2785</v>
      </c>
      <c r="U982" s="2">
        <v>11882</v>
      </c>
      <c r="V982">
        <v>7</v>
      </c>
      <c r="W982" t="s">
        <v>38</v>
      </c>
      <c r="X982">
        <v>14</v>
      </c>
      <c r="Y982">
        <v>3</v>
      </c>
      <c r="Z982">
        <v>3</v>
      </c>
      <c r="AA982">
        <v>80</v>
      </c>
      <c r="AB982">
        <v>0</v>
      </c>
      <c r="AC982">
        <v>3</v>
      </c>
      <c r="AD982">
        <v>3</v>
      </c>
      <c r="AE982">
        <v>4</v>
      </c>
      <c r="AF982">
        <v>1</v>
      </c>
      <c r="AG982">
        <v>0</v>
      </c>
      <c r="AH982">
        <v>0</v>
      </c>
      <c r="AI982">
        <v>0</v>
      </c>
    </row>
    <row r="983" spans="1:35" x14ac:dyDescent="0.25">
      <c r="A983">
        <v>35</v>
      </c>
      <c r="B983" t="str">
        <f t="shared" si="30"/>
        <v>35-44</v>
      </c>
      <c r="C983" s="1" t="s">
        <v>32</v>
      </c>
      <c r="D983" s="17">
        <f>IF(Table1[[#This Row],[Attrition]]="Yes",1,0)</f>
        <v>1</v>
      </c>
      <c r="E983" t="s">
        <v>58</v>
      </c>
      <c r="F983" s="2">
        <v>662</v>
      </c>
      <c r="G983" t="s">
        <v>33</v>
      </c>
      <c r="H983">
        <v>18</v>
      </c>
      <c r="I983">
        <v>4</v>
      </c>
      <c r="J983" t="str">
        <f t="shared" si="31"/>
        <v>Master</v>
      </c>
      <c r="K983" t="s">
        <v>53</v>
      </c>
      <c r="L983">
        <v>4</v>
      </c>
      <c r="M983" t="s">
        <v>35</v>
      </c>
      <c r="N983" s="2">
        <v>67</v>
      </c>
      <c r="O983">
        <v>3</v>
      </c>
      <c r="P983">
        <v>2</v>
      </c>
      <c r="Q983" t="s">
        <v>36</v>
      </c>
      <c r="R983">
        <v>3</v>
      </c>
      <c r="S983" t="s">
        <v>42</v>
      </c>
      <c r="T983" s="2">
        <v>4614</v>
      </c>
      <c r="U983" s="2">
        <v>23288</v>
      </c>
      <c r="V983">
        <v>0</v>
      </c>
      <c r="W983" t="s">
        <v>32</v>
      </c>
      <c r="X983">
        <v>18</v>
      </c>
      <c r="Y983">
        <v>3</v>
      </c>
      <c r="Z983">
        <v>3</v>
      </c>
      <c r="AA983">
        <v>80</v>
      </c>
      <c r="AB983">
        <v>1</v>
      </c>
      <c r="AC983">
        <v>5</v>
      </c>
      <c r="AD983">
        <v>0</v>
      </c>
      <c r="AE983">
        <v>2</v>
      </c>
      <c r="AF983">
        <v>4</v>
      </c>
      <c r="AG983">
        <v>2</v>
      </c>
      <c r="AH983">
        <v>3</v>
      </c>
      <c r="AI983">
        <v>2</v>
      </c>
    </row>
    <row r="984" spans="1:35" x14ac:dyDescent="0.25">
      <c r="A984">
        <v>38</v>
      </c>
      <c r="B984" t="str">
        <f t="shared" si="30"/>
        <v>35-44</v>
      </c>
      <c r="C984" s="1" t="s">
        <v>38</v>
      </c>
      <c r="D984" s="17">
        <f>IF(Table1[[#This Row],[Attrition]]="Yes",1,0)</f>
        <v>0</v>
      </c>
      <c r="E984" t="s">
        <v>58</v>
      </c>
      <c r="F984" s="2">
        <v>693</v>
      </c>
      <c r="G984" t="s">
        <v>39</v>
      </c>
      <c r="H984">
        <v>7</v>
      </c>
      <c r="I984">
        <v>3</v>
      </c>
      <c r="J984" t="str">
        <f t="shared" si="31"/>
        <v>Bachelor</v>
      </c>
      <c r="K984" t="s">
        <v>34</v>
      </c>
      <c r="L984">
        <v>4</v>
      </c>
      <c r="M984" t="s">
        <v>40</v>
      </c>
      <c r="N984" s="2">
        <v>57</v>
      </c>
      <c r="O984">
        <v>4</v>
      </c>
      <c r="P984">
        <v>1</v>
      </c>
      <c r="Q984" t="s">
        <v>41</v>
      </c>
      <c r="R984">
        <v>3</v>
      </c>
      <c r="S984" t="s">
        <v>46</v>
      </c>
      <c r="T984" s="2">
        <v>2610</v>
      </c>
      <c r="U984" s="2">
        <v>15748</v>
      </c>
      <c r="V984">
        <v>1</v>
      </c>
      <c r="W984" t="s">
        <v>38</v>
      </c>
      <c r="X984">
        <v>11</v>
      </c>
      <c r="Y984">
        <v>3</v>
      </c>
      <c r="Z984">
        <v>4</v>
      </c>
      <c r="AA984">
        <v>80</v>
      </c>
      <c r="AB984">
        <v>3</v>
      </c>
      <c r="AC984">
        <v>4</v>
      </c>
      <c r="AD984">
        <v>2</v>
      </c>
      <c r="AE984">
        <v>3</v>
      </c>
      <c r="AF984">
        <v>4</v>
      </c>
      <c r="AG984">
        <v>2</v>
      </c>
      <c r="AH984">
        <v>0</v>
      </c>
      <c r="AI984">
        <v>3</v>
      </c>
    </row>
    <row r="985" spans="1:35" x14ac:dyDescent="0.25">
      <c r="A985">
        <v>34</v>
      </c>
      <c r="B985" t="str">
        <f t="shared" si="30"/>
        <v>25-34</v>
      </c>
      <c r="C985" s="1" t="s">
        <v>38</v>
      </c>
      <c r="D985" s="17">
        <f>IF(Table1[[#This Row],[Attrition]]="Yes",1,0)</f>
        <v>0</v>
      </c>
      <c r="E985" t="s">
        <v>57</v>
      </c>
      <c r="F985" s="2">
        <v>404</v>
      </c>
      <c r="G985" t="s">
        <v>39</v>
      </c>
      <c r="H985">
        <v>2</v>
      </c>
      <c r="I985">
        <v>4</v>
      </c>
      <c r="J985" t="str">
        <f t="shared" si="31"/>
        <v>Master</v>
      </c>
      <c r="K985" t="s">
        <v>54</v>
      </c>
      <c r="L985">
        <v>3</v>
      </c>
      <c r="M985" t="s">
        <v>35</v>
      </c>
      <c r="N985" s="2">
        <v>98</v>
      </c>
      <c r="O985">
        <v>3</v>
      </c>
      <c r="P985">
        <v>2</v>
      </c>
      <c r="Q985" t="s">
        <v>48</v>
      </c>
      <c r="R985">
        <v>4</v>
      </c>
      <c r="S985" t="s">
        <v>37</v>
      </c>
      <c r="T985" s="2">
        <v>6687</v>
      </c>
      <c r="U985" s="2">
        <v>6163</v>
      </c>
      <c r="V985">
        <v>1</v>
      </c>
      <c r="W985" t="s">
        <v>38</v>
      </c>
      <c r="X985">
        <v>11</v>
      </c>
      <c r="Y985">
        <v>3</v>
      </c>
      <c r="Z985">
        <v>4</v>
      </c>
      <c r="AA985">
        <v>80</v>
      </c>
      <c r="AB985">
        <v>0</v>
      </c>
      <c r="AC985">
        <v>14</v>
      </c>
      <c r="AD985">
        <v>2</v>
      </c>
      <c r="AE985">
        <v>4</v>
      </c>
      <c r="AF985">
        <v>14</v>
      </c>
      <c r="AG985">
        <v>11</v>
      </c>
      <c r="AH985">
        <v>4</v>
      </c>
      <c r="AI985">
        <v>11</v>
      </c>
    </row>
    <row r="986" spans="1:35" x14ac:dyDescent="0.25">
      <c r="A986">
        <v>28</v>
      </c>
      <c r="B986" t="str">
        <f t="shared" si="30"/>
        <v>25-34</v>
      </c>
      <c r="C986" s="1" t="s">
        <v>38</v>
      </c>
      <c r="D986" s="17">
        <f>IF(Table1[[#This Row],[Attrition]]="Yes",1,0)</f>
        <v>0</v>
      </c>
      <c r="E986" t="s">
        <v>57</v>
      </c>
      <c r="F986" s="2">
        <v>736</v>
      </c>
      <c r="G986" t="s">
        <v>33</v>
      </c>
      <c r="H986">
        <v>26</v>
      </c>
      <c r="I986">
        <v>3</v>
      </c>
      <c r="J986" t="str">
        <f t="shared" si="31"/>
        <v>Bachelor</v>
      </c>
      <c r="K986" t="s">
        <v>34</v>
      </c>
      <c r="L986">
        <v>3</v>
      </c>
      <c r="M986" t="s">
        <v>40</v>
      </c>
      <c r="N986" s="2">
        <v>48</v>
      </c>
      <c r="O986">
        <v>2</v>
      </c>
      <c r="P986">
        <v>2</v>
      </c>
      <c r="Q986" t="s">
        <v>36</v>
      </c>
      <c r="R986">
        <v>1</v>
      </c>
      <c r="S986" t="s">
        <v>42</v>
      </c>
      <c r="T986" s="2">
        <v>4724</v>
      </c>
      <c r="U986" s="2">
        <v>24232</v>
      </c>
      <c r="V986">
        <v>1</v>
      </c>
      <c r="W986" t="s">
        <v>38</v>
      </c>
      <c r="X986">
        <v>11</v>
      </c>
      <c r="Y986">
        <v>3</v>
      </c>
      <c r="Z986">
        <v>3</v>
      </c>
      <c r="AA986">
        <v>80</v>
      </c>
      <c r="AB986">
        <v>1</v>
      </c>
      <c r="AC986">
        <v>5</v>
      </c>
      <c r="AD986">
        <v>0</v>
      </c>
      <c r="AE986">
        <v>3</v>
      </c>
      <c r="AF986">
        <v>5</v>
      </c>
      <c r="AG986">
        <v>3</v>
      </c>
      <c r="AH986">
        <v>0</v>
      </c>
      <c r="AI986">
        <v>4</v>
      </c>
    </row>
    <row r="987" spans="1:35" x14ac:dyDescent="0.25">
      <c r="A987">
        <v>31</v>
      </c>
      <c r="B987" t="str">
        <f t="shared" si="30"/>
        <v>25-34</v>
      </c>
      <c r="C987" s="1" t="s">
        <v>32</v>
      </c>
      <c r="D987" s="17">
        <f>IF(Table1[[#This Row],[Attrition]]="Yes",1,0)</f>
        <v>1</v>
      </c>
      <c r="E987" t="s">
        <v>57</v>
      </c>
      <c r="F987" s="2">
        <v>330</v>
      </c>
      <c r="G987" t="s">
        <v>39</v>
      </c>
      <c r="H987">
        <v>22</v>
      </c>
      <c r="I987">
        <v>4</v>
      </c>
      <c r="J987" t="str">
        <f t="shared" si="31"/>
        <v>Master</v>
      </c>
      <c r="K987" t="s">
        <v>45</v>
      </c>
      <c r="L987">
        <v>4</v>
      </c>
      <c r="M987" t="s">
        <v>40</v>
      </c>
      <c r="N987" s="2">
        <v>98</v>
      </c>
      <c r="O987">
        <v>3</v>
      </c>
      <c r="P987">
        <v>2</v>
      </c>
      <c r="Q987" t="s">
        <v>47</v>
      </c>
      <c r="R987">
        <v>3</v>
      </c>
      <c r="S987" t="s">
        <v>42</v>
      </c>
      <c r="T987" s="2">
        <v>6179</v>
      </c>
      <c r="U987" s="2">
        <v>21057</v>
      </c>
      <c r="V987">
        <v>1</v>
      </c>
      <c r="W987" t="s">
        <v>32</v>
      </c>
      <c r="X987">
        <v>15</v>
      </c>
      <c r="Y987">
        <v>3</v>
      </c>
      <c r="Z987">
        <v>4</v>
      </c>
      <c r="AA987">
        <v>80</v>
      </c>
      <c r="AB987">
        <v>2</v>
      </c>
      <c r="AC987">
        <v>10</v>
      </c>
      <c r="AD987">
        <v>3</v>
      </c>
      <c r="AE987">
        <v>2</v>
      </c>
      <c r="AF987">
        <v>10</v>
      </c>
      <c r="AG987">
        <v>2</v>
      </c>
      <c r="AH987">
        <v>6</v>
      </c>
      <c r="AI987">
        <v>7</v>
      </c>
    </row>
    <row r="988" spans="1:35" x14ac:dyDescent="0.25">
      <c r="A988">
        <v>39</v>
      </c>
      <c r="B988" t="str">
        <f t="shared" si="30"/>
        <v>35-44</v>
      </c>
      <c r="C988" s="1" t="s">
        <v>38</v>
      </c>
      <c r="D988" s="17">
        <f>IF(Table1[[#This Row],[Attrition]]="Yes",1,0)</f>
        <v>0</v>
      </c>
      <c r="E988" t="s">
        <v>57</v>
      </c>
      <c r="F988" s="2">
        <v>1498</v>
      </c>
      <c r="G988" t="s">
        <v>33</v>
      </c>
      <c r="H988">
        <v>21</v>
      </c>
      <c r="I988">
        <v>4</v>
      </c>
      <c r="J988" t="str">
        <f t="shared" si="31"/>
        <v>Master</v>
      </c>
      <c r="K988" t="s">
        <v>34</v>
      </c>
      <c r="L988">
        <v>1</v>
      </c>
      <c r="M988" t="s">
        <v>40</v>
      </c>
      <c r="N988" s="2">
        <v>44</v>
      </c>
      <c r="O988">
        <v>2</v>
      </c>
      <c r="P988">
        <v>2</v>
      </c>
      <c r="Q988" t="s">
        <v>36</v>
      </c>
      <c r="R988">
        <v>4</v>
      </c>
      <c r="S988" t="s">
        <v>42</v>
      </c>
      <c r="T988" s="2">
        <v>6120</v>
      </c>
      <c r="U988" s="2">
        <v>3567</v>
      </c>
      <c r="V988">
        <v>3</v>
      </c>
      <c r="W988" t="s">
        <v>32</v>
      </c>
      <c r="X988">
        <v>12</v>
      </c>
      <c r="Y988">
        <v>3</v>
      </c>
      <c r="Z988">
        <v>4</v>
      </c>
      <c r="AA988">
        <v>80</v>
      </c>
      <c r="AB988">
        <v>2</v>
      </c>
      <c r="AC988">
        <v>8</v>
      </c>
      <c r="AD988">
        <v>2</v>
      </c>
      <c r="AE988">
        <v>4</v>
      </c>
      <c r="AF988">
        <v>5</v>
      </c>
      <c r="AG988">
        <v>4</v>
      </c>
      <c r="AH988">
        <v>1</v>
      </c>
      <c r="AI988">
        <v>4</v>
      </c>
    </row>
    <row r="989" spans="1:35" x14ac:dyDescent="0.25">
      <c r="A989">
        <v>51</v>
      </c>
      <c r="B989" t="str">
        <f t="shared" si="30"/>
        <v>45-54</v>
      </c>
      <c r="C989" s="1" t="s">
        <v>38</v>
      </c>
      <c r="D989" s="17">
        <f>IF(Table1[[#This Row],[Attrition]]="Yes",1,0)</f>
        <v>0</v>
      </c>
      <c r="E989" t="s">
        <v>58</v>
      </c>
      <c r="F989" s="2">
        <v>541</v>
      </c>
      <c r="G989" t="s">
        <v>33</v>
      </c>
      <c r="H989">
        <v>2</v>
      </c>
      <c r="I989">
        <v>3</v>
      </c>
      <c r="J989" t="str">
        <f t="shared" si="31"/>
        <v>Bachelor</v>
      </c>
      <c r="K989" t="s">
        <v>53</v>
      </c>
      <c r="L989">
        <v>2</v>
      </c>
      <c r="M989" t="s">
        <v>40</v>
      </c>
      <c r="N989" s="2">
        <v>52</v>
      </c>
      <c r="O989">
        <v>3</v>
      </c>
      <c r="P989">
        <v>3</v>
      </c>
      <c r="Q989" t="s">
        <v>36</v>
      </c>
      <c r="R989">
        <v>2</v>
      </c>
      <c r="S989" t="s">
        <v>42</v>
      </c>
      <c r="T989" s="2">
        <v>10596</v>
      </c>
      <c r="U989" s="2">
        <v>15395</v>
      </c>
      <c r="V989">
        <v>2</v>
      </c>
      <c r="W989" t="s">
        <v>38</v>
      </c>
      <c r="X989">
        <v>11</v>
      </c>
      <c r="Y989">
        <v>3</v>
      </c>
      <c r="Z989">
        <v>2</v>
      </c>
      <c r="AA989">
        <v>80</v>
      </c>
      <c r="AB989">
        <v>0</v>
      </c>
      <c r="AC989">
        <v>14</v>
      </c>
      <c r="AD989">
        <v>5</v>
      </c>
      <c r="AE989">
        <v>3</v>
      </c>
      <c r="AF989">
        <v>4</v>
      </c>
      <c r="AG989">
        <v>2</v>
      </c>
      <c r="AH989">
        <v>3</v>
      </c>
      <c r="AI989">
        <v>2</v>
      </c>
    </row>
    <row r="990" spans="1:35" x14ac:dyDescent="0.25">
      <c r="A990">
        <v>41</v>
      </c>
      <c r="B990" t="str">
        <f t="shared" si="30"/>
        <v>35-44</v>
      </c>
      <c r="C990" s="1" t="s">
        <v>38</v>
      </c>
      <c r="D990" s="17">
        <f>IF(Table1[[#This Row],[Attrition]]="Yes",1,0)</f>
        <v>0</v>
      </c>
      <c r="E990" t="s">
        <v>58</v>
      </c>
      <c r="F990" s="2">
        <v>1200</v>
      </c>
      <c r="G990" t="s">
        <v>39</v>
      </c>
      <c r="H990">
        <v>22</v>
      </c>
      <c r="I990">
        <v>3</v>
      </c>
      <c r="J990" t="str">
        <f t="shared" si="31"/>
        <v>Bachelor</v>
      </c>
      <c r="K990" t="s">
        <v>34</v>
      </c>
      <c r="L990">
        <v>4</v>
      </c>
      <c r="M990" t="s">
        <v>35</v>
      </c>
      <c r="N990" s="2">
        <v>75</v>
      </c>
      <c r="O990">
        <v>3</v>
      </c>
      <c r="P990">
        <v>2</v>
      </c>
      <c r="Q990" t="s">
        <v>41</v>
      </c>
      <c r="R990">
        <v>4</v>
      </c>
      <c r="S990" t="s">
        <v>46</v>
      </c>
      <c r="T990" s="2">
        <v>5467</v>
      </c>
      <c r="U990" s="2">
        <v>13953</v>
      </c>
      <c r="V990">
        <v>3</v>
      </c>
      <c r="W990" t="s">
        <v>32</v>
      </c>
      <c r="X990">
        <v>14</v>
      </c>
      <c r="Y990">
        <v>3</v>
      </c>
      <c r="Z990">
        <v>1</v>
      </c>
      <c r="AA990">
        <v>80</v>
      </c>
      <c r="AB990">
        <v>2</v>
      </c>
      <c r="AC990">
        <v>12</v>
      </c>
      <c r="AD990">
        <v>4</v>
      </c>
      <c r="AE990">
        <v>2</v>
      </c>
      <c r="AF990">
        <v>6</v>
      </c>
      <c r="AG990">
        <v>2</v>
      </c>
      <c r="AH990">
        <v>3</v>
      </c>
      <c r="AI990">
        <v>3</v>
      </c>
    </row>
    <row r="991" spans="1:35" x14ac:dyDescent="0.25">
      <c r="A991">
        <v>37</v>
      </c>
      <c r="B991" t="str">
        <f t="shared" si="30"/>
        <v>35-44</v>
      </c>
      <c r="C991" s="1" t="s">
        <v>38</v>
      </c>
      <c r="D991" s="17">
        <f>IF(Table1[[#This Row],[Attrition]]="Yes",1,0)</f>
        <v>0</v>
      </c>
      <c r="E991" t="s">
        <v>57</v>
      </c>
      <c r="F991" s="2">
        <v>1439</v>
      </c>
      <c r="G991" t="s">
        <v>39</v>
      </c>
      <c r="H991">
        <v>4</v>
      </c>
      <c r="I991">
        <v>1</v>
      </c>
      <c r="J991" t="str">
        <f t="shared" si="31"/>
        <v>Below College</v>
      </c>
      <c r="K991" t="s">
        <v>34</v>
      </c>
      <c r="L991">
        <v>3</v>
      </c>
      <c r="M991" t="s">
        <v>40</v>
      </c>
      <c r="N991" s="2">
        <v>54</v>
      </c>
      <c r="O991">
        <v>3</v>
      </c>
      <c r="P991">
        <v>1</v>
      </c>
      <c r="Q991" t="s">
        <v>41</v>
      </c>
      <c r="R991">
        <v>3</v>
      </c>
      <c r="S991" t="s">
        <v>42</v>
      </c>
      <c r="T991" s="2">
        <v>2996</v>
      </c>
      <c r="U991" s="2">
        <v>5182</v>
      </c>
      <c r="V991">
        <v>7</v>
      </c>
      <c r="W991" t="s">
        <v>32</v>
      </c>
      <c r="X991">
        <v>15</v>
      </c>
      <c r="Y991">
        <v>3</v>
      </c>
      <c r="Z991">
        <v>4</v>
      </c>
      <c r="AA991">
        <v>80</v>
      </c>
      <c r="AB991">
        <v>0</v>
      </c>
      <c r="AC991">
        <v>8</v>
      </c>
      <c r="AD991">
        <v>2</v>
      </c>
      <c r="AE991">
        <v>3</v>
      </c>
      <c r="AF991">
        <v>6</v>
      </c>
      <c r="AG991">
        <v>4</v>
      </c>
      <c r="AH991">
        <v>1</v>
      </c>
      <c r="AI991">
        <v>3</v>
      </c>
    </row>
    <row r="992" spans="1:35" x14ac:dyDescent="0.25">
      <c r="A992">
        <v>33</v>
      </c>
      <c r="B992" t="str">
        <f t="shared" si="30"/>
        <v>25-34</v>
      </c>
      <c r="C992" s="1" t="s">
        <v>38</v>
      </c>
      <c r="D992" s="17">
        <f>IF(Table1[[#This Row],[Attrition]]="Yes",1,0)</f>
        <v>0</v>
      </c>
      <c r="E992" t="s">
        <v>58</v>
      </c>
      <c r="F992" s="2">
        <v>1111</v>
      </c>
      <c r="G992" t="s">
        <v>33</v>
      </c>
      <c r="H992">
        <v>5</v>
      </c>
      <c r="I992">
        <v>1</v>
      </c>
      <c r="J992" t="str">
        <f t="shared" si="31"/>
        <v>Below College</v>
      </c>
      <c r="K992" t="s">
        <v>34</v>
      </c>
      <c r="L992">
        <v>2</v>
      </c>
      <c r="M992" t="s">
        <v>40</v>
      </c>
      <c r="N992" s="2">
        <v>61</v>
      </c>
      <c r="O992">
        <v>3</v>
      </c>
      <c r="P992">
        <v>2</v>
      </c>
      <c r="Q992" t="s">
        <v>36</v>
      </c>
      <c r="R992">
        <v>4</v>
      </c>
      <c r="S992" t="s">
        <v>42</v>
      </c>
      <c r="T992" s="2">
        <v>9998</v>
      </c>
      <c r="U992" s="2">
        <v>19293</v>
      </c>
      <c r="V992">
        <v>6</v>
      </c>
      <c r="W992" t="s">
        <v>38</v>
      </c>
      <c r="X992">
        <v>13</v>
      </c>
      <c r="Y992">
        <v>3</v>
      </c>
      <c r="Z992">
        <v>1</v>
      </c>
      <c r="AA992">
        <v>80</v>
      </c>
      <c r="AB992">
        <v>0</v>
      </c>
      <c r="AC992">
        <v>8</v>
      </c>
      <c r="AD992">
        <v>2</v>
      </c>
      <c r="AE992">
        <v>4</v>
      </c>
      <c r="AF992">
        <v>5</v>
      </c>
      <c r="AG992">
        <v>4</v>
      </c>
      <c r="AH992">
        <v>1</v>
      </c>
      <c r="AI992">
        <v>2</v>
      </c>
    </row>
    <row r="993" spans="1:35" x14ac:dyDescent="0.25">
      <c r="A993">
        <v>32</v>
      </c>
      <c r="B993" t="str">
        <f t="shared" si="30"/>
        <v>25-34</v>
      </c>
      <c r="C993" s="1" t="s">
        <v>38</v>
      </c>
      <c r="D993" s="17">
        <f>IF(Table1[[#This Row],[Attrition]]="Yes",1,0)</f>
        <v>0</v>
      </c>
      <c r="E993" t="s">
        <v>57</v>
      </c>
      <c r="F993" s="2">
        <v>499</v>
      </c>
      <c r="G993" t="s">
        <v>33</v>
      </c>
      <c r="H993">
        <v>2</v>
      </c>
      <c r="I993">
        <v>1</v>
      </c>
      <c r="J993" t="str">
        <f t="shared" si="31"/>
        <v>Below College</v>
      </c>
      <c r="K993" t="s">
        <v>53</v>
      </c>
      <c r="L993">
        <v>3</v>
      </c>
      <c r="M993" t="s">
        <v>40</v>
      </c>
      <c r="N993" s="2">
        <v>36</v>
      </c>
      <c r="O993">
        <v>3</v>
      </c>
      <c r="P993">
        <v>2</v>
      </c>
      <c r="Q993" t="s">
        <v>36</v>
      </c>
      <c r="R993">
        <v>2</v>
      </c>
      <c r="S993" t="s">
        <v>42</v>
      </c>
      <c r="T993" s="2">
        <v>4078</v>
      </c>
      <c r="U993" s="2">
        <v>20497</v>
      </c>
      <c r="V993">
        <v>0</v>
      </c>
      <c r="W993" t="s">
        <v>32</v>
      </c>
      <c r="X993">
        <v>13</v>
      </c>
      <c r="Y993">
        <v>3</v>
      </c>
      <c r="Z993">
        <v>1</v>
      </c>
      <c r="AA993">
        <v>80</v>
      </c>
      <c r="AB993">
        <v>3</v>
      </c>
      <c r="AC993">
        <v>4</v>
      </c>
      <c r="AD993">
        <v>3</v>
      </c>
      <c r="AE993">
        <v>2</v>
      </c>
      <c r="AF993">
        <v>3</v>
      </c>
      <c r="AG993">
        <v>2</v>
      </c>
      <c r="AH993">
        <v>1</v>
      </c>
      <c r="AI993">
        <v>2</v>
      </c>
    </row>
    <row r="994" spans="1:35" x14ac:dyDescent="0.25">
      <c r="A994">
        <v>39</v>
      </c>
      <c r="B994" t="str">
        <f t="shared" si="30"/>
        <v>35-44</v>
      </c>
      <c r="C994" s="1" t="s">
        <v>38</v>
      </c>
      <c r="D994" s="17">
        <f>IF(Table1[[#This Row],[Attrition]]="Yes",1,0)</f>
        <v>0</v>
      </c>
      <c r="E994" t="s">
        <v>49</v>
      </c>
      <c r="F994" s="2">
        <v>1485</v>
      </c>
      <c r="G994" t="s">
        <v>39</v>
      </c>
      <c r="H994">
        <v>25</v>
      </c>
      <c r="I994">
        <v>2</v>
      </c>
      <c r="J994" t="str">
        <f t="shared" si="31"/>
        <v>College</v>
      </c>
      <c r="K994" t="s">
        <v>34</v>
      </c>
      <c r="L994">
        <v>3</v>
      </c>
      <c r="M994" t="s">
        <v>40</v>
      </c>
      <c r="N994" s="2">
        <v>71</v>
      </c>
      <c r="O994">
        <v>3</v>
      </c>
      <c r="P994">
        <v>3</v>
      </c>
      <c r="Q994" t="s">
        <v>48</v>
      </c>
      <c r="R994">
        <v>3</v>
      </c>
      <c r="S994" t="s">
        <v>42</v>
      </c>
      <c r="T994" s="2">
        <v>10920</v>
      </c>
      <c r="U994" s="2">
        <v>3449</v>
      </c>
      <c r="V994">
        <v>3</v>
      </c>
      <c r="W994" t="s">
        <v>38</v>
      </c>
      <c r="X994">
        <v>21</v>
      </c>
      <c r="Y994">
        <v>4</v>
      </c>
      <c r="Z994">
        <v>2</v>
      </c>
      <c r="AA994">
        <v>80</v>
      </c>
      <c r="AB994">
        <v>1</v>
      </c>
      <c r="AC994">
        <v>13</v>
      </c>
      <c r="AD994">
        <v>2</v>
      </c>
      <c r="AE994">
        <v>3</v>
      </c>
      <c r="AF994">
        <v>6</v>
      </c>
      <c r="AG994">
        <v>4</v>
      </c>
      <c r="AH994">
        <v>0</v>
      </c>
      <c r="AI994">
        <v>5</v>
      </c>
    </row>
    <row r="995" spans="1:35" x14ac:dyDescent="0.25">
      <c r="A995">
        <v>25</v>
      </c>
      <c r="B995" t="str">
        <f t="shared" si="30"/>
        <v>25-34</v>
      </c>
      <c r="C995" s="1" t="s">
        <v>38</v>
      </c>
      <c r="D995" s="17">
        <f>IF(Table1[[#This Row],[Attrition]]="Yes",1,0)</f>
        <v>0</v>
      </c>
      <c r="E995" t="s">
        <v>57</v>
      </c>
      <c r="F995" s="2">
        <v>1372</v>
      </c>
      <c r="G995" t="s">
        <v>33</v>
      </c>
      <c r="H995">
        <v>18</v>
      </c>
      <c r="I995">
        <v>1</v>
      </c>
      <c r="J995" t="str">
        <f t="shared" si="31"/>
        <v>Below College</v>
      </c>
      <c r="K995" t="s">
        <v>34</v>
      </c>
      <c r="L995">
        <v>1</v>
      </c>
      <c r="M995" t="s">
        <v>40</v>
      </c>
      <c r="N995" s="2">
        <v>93</v>
      </c>
      <c r="O995">
        <v>4</v>
      </c>
      <c r="P995">
        <v>2</v>
      </c>
      <c r="Q995" t="s">
        <v>36</v>
      </c>
      <c r="R995">
        <v>3</v>
      </c>
      <c r="S995" t="s">
        <v>42</v>
      </c>
      <c r="T995" s="2">
        <v>6232</v>
      </c>
      <c r="U995" s="2">
        <v>12477</v>
      </c>
      <c r="V995">
        <v>2</v>
      </c>
      <c r="W995" t="s">
        <v>38</v>
      </c>
      <c r="X995">
        <v>11</v>
      </c>
      <c r="Y995">
        <v>3</v>
      </c>
      <c r="Z995">
        <v>2</v>
      </c>
      <c r="AA995">
        <v>80</v>
      </c>
      <c r="AB995">
        <v>0</v>
      </c>
      <c r="AC995">
        <v>6</v>
      </c>
      <c r="AD995">
        <v>3</v>
      </c>
      <c r="AE995">
        <v>2</v>
      </c>
      <c r="AF995">
        <v>3</v>
      </c>
      <c r="AG995">
        <v>2</v>
      </c>
      <c r="AH995">
        <v>1</v>
      </c>
      <c r="AI995">
        <v>2</v>
      </c>
    </row>
    <row r="996" spans="1:35" x14ac:dyDescent="0.25">
      <c r="A996">
        <v>52</v>
      </c>
      <c r="B996" t="str">
        <f t="shared" si="30"/>
        <v>45-54</v>
      </c>
      <c r="C996" s="1" t="s">
        <v>38</v>
      </c>
      <c r="D996" s="17">
        <f>IF(Table1[[#This Row],[Attrition]]="Yes",1,0)</f>
        <v>0</v>
      </c>
      <c r="E996" t="s">
        <v>58</v>
      </c>
      <c r="F996" s="2">
        <v>322</v>
      </c>
      <c r="G996" t="s">
        <v>39</v>
      </c>
      <c r="H996">
        <v>28</v>
      </c>
      <c r="I996">
        <v>2</v>
      </c>
      <c r="J996" t="str">
        <f t="shared" si="31"/>
        <v>College</v>
      </c>
      <c r="K996" t="s">
        <v>45</v>
      </c>
      <c r="L996">
        <v>4</v>
      </c>
      <c r="M996" t="s">
        <v>35</v>
      </c>
      <c r="N996" s="2">
        <v>59</v>
      </c>
      <c r="O996">
        <v>4</v>
      </c>
      <c r="P996">
        <v>4</v>
      </c>
      <c r="Q996" t="s">
        <v>47</v>
      </c>
      <c r="R996">
        <v>3</v>
      </c>
      <c r="S996" t="s">
        <v>42</v>
      </c>
      <c r="T996" s="2">
        <v>13247</v>
      </c>
      <c r="U996" s="2">
        <v>9731</v>
      </c>
      <c r="V996">
        <v>2</v>
      </c>
      <c r="W996" t="s">
        <v>32</v>
      </c>
      <c r="X996">
        <v>11</v>
      </c>
      <c r="Y996">
        <v>3</v>
      </c>
      <c r="Z996">
        <v>2</v>
      </c>
      <c r="AA996">
        <v>80</v>
      </c>
      <c r="AB996">
        <v>1</v>
      </c>
      <c r="AC996">
        <v>24</v>
      </c>
      <c r="AD996">
        <v>3</v>
      </c>
      <c r="AE996">
        <v>2</v>
      </c>
      <c r="AF996">
        <v>5</v>
      </c>
      <c r="AG996">
        <v>3</v>
      </c>
      <c r="AH996">
        <v>0</v>
      </c>
      <c r="AI996">
        <v>2</v>
      </c>
    </row>
    <row r="997" spans="1:35" x14ac:dyDescent="0.25">
      <c r="A997">
        <v>43</v>
      </c>
      <c r="B997" t="str">
        <f t="shared" si="30"/>
        <v>35-44</v>
      </c>
      <c r="C997" s="1" t="s">
        <v>38</v>
      </c>
      <c r="D997" s="17">
        <f>IF(Table1[[#This Row],[Attrition]]="Yes",1,0)</f>
        <v>0</v>
      </c>
      <c r="E997" t="s">
        <v>57</v>
      </c>
      <c r="F997" s="2">
        <v>930</v>
      </c>
      <c r="G997" t="s">
        <v>39</v>
      </c>
      <c r="H997">
        <v>6</v>
      </c>
      <c r="I997">
        <v>3</v>
      </c>
      <c r="J997" t="str">
        <f t="shared" si="31"/>
        <v>Bachelor</v>
      </c>
      <c r="K997" t="s">
        <v>45</v>
      </c>
      <c r="L997">
        <v>1</v>
      </c>
      <c r="M997" t="s">
        <v>35</v>
      </c>
      <c r="N997" s="2">
        <v>73</v>
      </c>
      <c r="O997">
        <v>2</v>
      </c>
      <c r="P997">
        <v>2</v>
      </c>
      <c r="Q997" t="s">
        <v>41</v>
      </c>
      <c r="R997">
        <v>3</v>
      </c>
      <c r="S997" t="s">
        <v>37</v>
      </c>
      <c r="T997" s="2">
        <v>4081</v>
      </c>
      <c r="U997" s="2">
        <v>20003</v>
      </c>
      <c r="V997">
        <v>1</v>
      </c>
      <c r="W997" t="s">
        <v>32</v>
      </c>
      <c r="X997">
        <v>14</v>
      </c>
      <c r="Y997">
        <v>3</v>
      </c>
      <c r="Z997">
        <v>1</v>
      </c>
      <c r="AA997">
        <v>80</v>
      </c>
      <c r="AB997">
        <v>0</v>
      </c>
      <c r="AC997">
        <v>20</v>
      </c>
      <c r="AD997">
        <v>3</v>
      </c>
      <c r="AE997">
        <v>1</v>
      </c>
      <c r="AF997">
        <v>20</v>
      </c>
      <c r="AG997">
        <v>7</v>
      </c>
      <c r="AH997">
        <v>1</v>
      </c>
      <c r="AI997">
        <v>8</v>
      </c>
    </row>
    <row r="998" spans="1:35" x14ac:dyDescent="0.25">
      <c r="A998">
        <v>27</v>
      </c>
      <c r="B998" t="str">
        <f t="shared" si="30"/>
        <v>25-34</v>
      </c>
      <c r="C998" s="1" t="s">
        <v>38</v>
      </c>
      <c r="D998" s="17">
        <f>IF(Table1[[#This Row],[Attrition]]="Yes",1,0)</f>
        <v>0</v>
      </c>
      <c r="E998" t="s">
        <v>57</v>
      </c>
      <c r="F998" s="2">
        <v>205</v>
      </c>
      <c r="G998" t="s">
        <v>33</v>
      </c>
      <c r="H998">
        <v>10</v>
      </c>
      <c r="I998">
        <v>3</v>
      </c>
      <c r="J998" t="str">
        <f t="shared" si="31"/>
        <v>Bachelor</v>
      </c>
      <c r="K998" t="s">
        <v>53</v>
      </c>
      <c r="L998">
        <v>4</v>
      </c>
      <c r="M998" t="s">
        <v>35</v>
      </c>
      <c r="N998" s="2">
        <v>98</v>
      </c>
      <c r="O998">
        <v>2</v>
      </c>
      <c r="P998">
        <v>2</v>
      </c>
      <c r="Q998" t="s">
        <v>36</v>
      </c>
      <c r="R998">
        <v>4</v>
      </c>
      <c r="S998" t="s">
        <v>42</v>
      </c>
      <c r="T998" s="2">
        <v>5769</v>
      </c>
      <c r="U998" s="2">
        <v>7100</v>
      </c>
      <c r="V998">
        <v>1</v>
      </c>
      <c r="W998" t="s">
        <v>32</v>
      </c>
      <c r="X998">
        <v>11</v>
      </c>
      <c r="Y998">
        <v>3</v>
      </c>
      <c r="Z998">
        <v>4</v>
      </c>
      <c r="AA998">
        <v>80</v>
      </c>
      <c r="AB998">
        <v>0</v>
      </c>
      <c r="AC998">
        <v>6</v>
      </c>
      <c r="AD998">
        <v>3</v>
      </c>
      <c r="AE998">
        <v>3</v>
      </c>
      <c r="AF998">
        <v>6</v>
      </c>
      <c r="AG998">
        <v>2</v>
      </c>
      <c r="AH998">
        <v>4</v>
      </c>
      <c r="AI998">
        <v>4</v>
      </c>
    </row>
    <row r="999" spans="1:35" x14ac:dyDescent="0.25">
      <c r="A999">
        <v>27</v>
      </c>
      <c r="B999" t="str">
        <f t="shared" si="30"/>
        <v>25-34</v>
      </c>
      <c r="C999" s="1" t="s">
        <v>32</v>
      </c>
      <c r="D999" s="17">
        <f>IF(Table1[[#This Row],[Attrition]]="Yes",1,0)</f>
        <v>1</v>
      </c>
      <c r="E999" t="s">
        <v>57</v>
      </c>
      <c r="F999" s="2">
        <v>135</v>
      </c>
      <c r="G999" t="s">
        <v>39</v>
      </c>
      <c r="H999">
        <v>17</v>
      </c>
      <c r="I999">
        <v>4</v>
      </c>
      <c r="J999" t="str">
        <f t="shared" si="31"/>
        <v>Master</v>
      </c>
      <c r="K999" t="s">
        <v>34</v>
      </c>
      <c r="L999">
        <v>4</v>
      </c>
      <c r="M999" t="s">
        <v>35</v>
      </c>
      <c r="N999" s="2">
        <v>51</v>
      </c>
      <c r="O999">
        <v>3</v>
      </c>
      <c r="P999">
        <v>1</v>
      </c>
      <c r="Q999" t="s">
        <v>41</v>
      </c>
      <c r="R999">
        <v>3</v>
      </c>
      <c r="S999" t="s">
        <v>37</v>
      </c>
      <c r="T999" s="2">
        <v>2394</v>
      </c>
      <c r="U999" s="2">
        <v>25681</v>
      </c>
      <c r="V999">
        <v>1</v>
      </c>
      <c r="W999" t="s">
        <v>32</v>
      </c>
      <c r="X999">
        <v>13</v>
      </c>
      <c r="Y999">
        <v>3</v>
      </c>
      <c r="Z999">
        <v>4</v>
      </c>
      <c r="AA999">
        <v>80</v>
      </c>
      <c r="AB999">
        <v>0</v>
      </c>
      <c r="AC999">
        <v>8</v>
      </c>
      <c r="AD999">
        <v>2</v>
      </c>
      <c r="AE999">
        <v>3</v>
      </c>
      <c r="AF999">
        <v>8</v>
      </c>
      <c r="AG999">
        <v>2</v>
      </c>
      <c r="AH999">
        <v>7</v>
      </c>
      <c r="AI999">
        <v>7</v>
      </c>
    </row>
    <row r="1000" spans="1:35" x14ac:dyDescent="0.25">
      <c r="A1000">
        <v>26</v>
      </c>
      <c r="B1000" t="str">
        <f t="shared" si="30"/>
        <v>25-34</v>
      </c>
      <c r="C1000" s="1" t="s">
        <v>38</v>
      </c>
      <c r="D1000" s="17">
        <f>IF(Table1[[#This Row],[Attrition]]="Yes",1,0)</f>
        <v>0</v>
      </c>
      <c r="E1000" t="s">
        <v>57</v>
      </c>
      <c r="F1000" s="2">
        <v>683</v>
      </c>
      <c r="G1000" t="s">
        <v>39</v>
      </c>
      <c r="H1000">
        <v>2</v>
      </c>
      <c r="I1000">
        <v>1</v>
      </c>
      <c r="J1000" t="str">
        <f t="shared" si="31"/>
        <v>Below College</v>
      </c>
      <c r="K1000" t="s">
        <v>45</v>
      </c>
      <c r="L1000">
        <v>1</v>
      </c>
      <c r="M1000" t="s">
        <v>40</v>
      </c>
      <c r="N1000" s="2">
        <v>36</v>
      </c>
      <c r="O1000">
        <v>2</v>
      </c>
      <c r="P1000">
        <v>1</v>
      </c>
      <c r="Q1000" t="s">
        <v>41</v>
      </c>
      <c r="R1000">
        <v>4</v>
      </c>
      <c r="S1000" t="s">
        <v>37</v>
      </c>
      <c r="T1000" s="2">
        <v>3904</v>
      </c>
      <c r="U1000" s="2">
        <v>4050</v>
      </c>
      <c r="V1000">
        <v>0</v>
      </c>
      <c r="W1000" t="s">
        <v>38</v>
      </c>
      <c r="X1000">
        <v>12</v>
      </c>
      <c r="Y1000">
        <v>3</v>
      </c>
      <c r="Z1000">
        <v>4</v>
      </c>
      <c r="AA1000">
        <v>80</v>
      </c>
      <c r="AB1000">
        <v>0</v>
      </c>
      <c r="AC1000">
        <v>5</v>
      </c>
      <c r="AD1000">
        <v>2</v>
      </c>
      <c r="AE1000">
        <v>3</v>
      </c>
      <c r="AF1000">
        <v>4</v>
      </c>
      <c r="AG1000">
        <v>3</v>
      </c>
      <c r="AH1000">
        <v>1</v>
      </c>
      <c r="AI1000">
        <v>1</v>
      </c>
    </row>
    <row r="1001" spans="1:35" x14ac:dyDescent="0.25">
      <c r="A1001">
        <v>42</v>
      </c>
      <c r="B1001" t="str">
        <f t="shared" si="30"/>
        <v>35-44</v>
      </c>
      <c r="C1001" s="1" t="s">
        <v>38</v>
      </c>
      <c r="D1001" s="17">
        <f>IF(Table1[[#This Row],[Attrition]]="Yes",1,0)</f>
        <v>0</v>
      </c>
      <c r="E1001" t="s">
        <v>57</v>
      </c>
      <c r="F1001" s="2">
        <v>1147</v>
      </c>
      <c r="G1001" t="s">
        <v>55</v>
      </c>
      <c r="H1001">
        <v>10</v>
      </c>
      <c r="I1001">
        <v>3</v>
      </c>
      <c r="J1001" t="str">
        <f t="shared" si="31"/>
        <v>Bachelor</v>
      </c>
      <c r="K1001" t="s">
        <v>55</v>
      </c>
      <c r="L1001">
        <v>3</v>
      </c>
      <c r="M1001" t="s">
        <v>35</v>
      </c>
      <c r="N1001" s="2">
        <v>31</v>
      </c>
      <c r="O1001">
        <v>3</v>
      </c>
      <c r="P1001">
        <v>4</v>
      </c>
      <c r="Q1001" t="s">
        <v>50</v>
      </c>
      <c r="R1001">
        <v>1</v>
      </c>
      <c r="S1001" t="s">
        <v>42</v>
      </c>
      <c r="T1001" s="2">
        <v>16799</v>
      </c>
      <c r="U1001" s="2">
        <v>16616</v>
      </c>
      <c r="V1001">
        <v>0</v>
      </c>
      <c r="W1001" t="s">
        <v>38</v>
      </c>
      <c r="X1001">
        <v>14</v>
      </c>
      <c r="Y1001">
        <v>3</v>
      </c>
      <c r="Z1001">
        <v>3</v>
      </c>
      <c r="AA1001">
        <v>80</v>
      </c>
      <c r="AB1001">
        <v>1</v>
      </c>
      <c r="AC1001">
        <v>21</v>
      </c>
      <c r="AD1001">
        <v>5</v>
      </c>
      <c r="AE1001">
        <v>3</v>
      </c>
      <c r="AF1001">
        <v>20</v>
      </c>
      <c r="AG1001">
        <v>7</v>
      </c>
      <c r="AH1001">
        <v>0</v>
      </c>
      <c r="AI1001">
        <v>9</v>
      </c>
    </row>
    <row r="1002" spans="1:35" x14ac:dyDescent="0.25">
      <c r="A1002">
        <v>52</v>
      </c>
      <c r="B1002" t="str">
        <f t="shared" si="30"/>
        <v>45-54</v>
      </c>
      <c r="C1002" s="1" t="s">
        <v>38</v>
      </c>
      <c r="D1002" s="17">
        <f>IF(Table1[[#This Row],[Attrition]]="Yes",1,0)</f>
        <v>0</v>
      </c>
      <c r="E1002" t="s">
        <v>57</v>
      </c>
      <c r="F1002" s="2">
        <v>258</v>
      </c>
      <c r="G1002" t="s">
        <v>39</v>
      </c>
      <c r="H1002">
        <v>8</v>
      </c>
      <c r="I1002">
        <v>4</v>
      </c>
      <c r="J1002" t="str">
        <f t="shared" si="31"/>
        <v>Master</v>
      </c>
      <c r="K1002" t="s">
        <v>43</v>
      </c>
      <c r="L1002">
        <v>3</v>
      </c>
      <c r="M1002" t="s">
        <v>35</v>
      </c>
      <c r="N1002" s="2">
        <v>54</v>
      </c>
      <c r="O1002">
        <v>3</v>
      </c>
      <c r="P1002">
        <v>1</v>
      </c>
      <c r="Q1002" t="s">
        <v>44</v>
      </c>
      <c r="R1002">
        <v>1</v>
      </c>
      <c r="S1002" t="s">
        <v>42</v>
      </c>
      <c r="T1002" s="2">
        <v>2950</v>
      </c>
      <c r="U1002" s="2">
        <v>17363</v>
      </c>
      <c r="V1002">
        <v>9</v>
      </c>
      <c r="W1002" t="s">
        <v>38</v>
      </c>
      <c r="X1002">
        <v>13</v>
      </c>
      <c r="Y1002">
        <v>3</v>
      </c>
      <c r="Z1002">
        <v>3</v>
      </c>
      <c r="AA1002">
        <v>80</v>
      </c>
      <c r="AB1002">
        <v>0</v>
      </c>
      <c r="AC1002">
        <v>12</v>
      </c>
      <c r="AD1002">
        <v>2</v>
      </c>
      <c r="AE1002">
        <v>1</v>
      </c>
      <c r="AF1002">
        <v>5</v>
      </c>
      <c r="AG1002">
        <v>4</v>
      </c>
      <c r="AH1002">
        <v>0</v>
      </c>
      <c r="AI1002">
        <v>4</v>
      </c>
    </row>
    <row r="1003" spans="1:35" x14ac:dyDescent="0.25">
      <c r="A1003">
        <v>37</v>
      </c>
      <c r="B1003" t="str">
        <f t="shared" si="30"/>
        <v>35-44</v>
      </c>
      <c r="C1003" s="1" t="s">
        <v>38</v>
      </c>
      <c r="D1003" s="17">
        <f>IF(Table1[[#This Row],[Attrition]]="Yes",1,0)</f>
        <v>0</v>
      </c>
      <c r="E1003" t="s">
        <v>57</v>
      </c>
      <c r="F1003" s="2">
        <v>1462</v>
      </c>
      <c r="G1003" t="s">
        <v>39</v>
      </c>
      <c r="H1003">
        <v>11</v>
      </c>
      <c r="I1003">
        <v>3</v>
      </c>
      <c r="J1003" t="str">
        <f t="shared" si="31"/>
        <v>Bachelor</v>
      </c>
      <c r="K1003" t="s">
        <v>45</v>
      </c>
      <c r="L1003">
        <v>1</v>
      </c>
      <c r="M1003" t="s">
        <v>35</v>
      </c>
      <c r="N1003" s="2">
        <v>94</v>
      </c>
      <c r="O1003">
        <v>3</v>
      </c>
      <c r="P1003">
        <v>1</v>
      </c>
      <c r="Q1003" t="s">
        <v>44</v>
      </c>
      <c r="R1003">
        <v>3</v>
      </c>
      <c r="S1003" t="s">
        <v>37</v>
      </c>
      <c r="T1003" s="2">
        <v>3629</v>
      </c>
      <c r="U1003" s="2">
        <v>19106</v>
      </c>
      <c r="V1003">
        <v>4</v>
      </c>
      <c r="W1003" t="s">
        <v>38</v>
      </c>
      <c r="X1003">
        <v>18</v>
      </c>
      <c r="Y1003">
        <v>3</v>
      </c>
      <c r="Z1003">
        <v>1</v>
      </c>
      <c r="AA1003">
        <v>80</v>
      </c>
      <c r="AB1003">
        <v>0</v>
      </c>
      <c r="AC1003">
        <v>8</v>
      </c>
      <c r="AD1003">
        <v>6</v>
      </c>
      <c r="AE1003">
        <v>3</v>
      </c>
      <c r="AF1003">
        <v>3</v>
      </c>
      <c r="AG1003">
        <v>2</v>
      </c>
      <c r="AH1003">
        <v>0</v>
      </c>
      <c r="AI1003">
        <v>2</v>
      </c>
    </row>
    <row r="1004" spans="1:35" x14ac:dyDescent="0.25">
      <c r="A1004">
        <v>35</v>
      </c>
      <c r="B1004" t="str">
        <f t="shared" si="30"/>
        <v>35-44</v>
      </c>
      <c r="C1004" s="1" t="s">
        <v>38</v>
      </c>
      <c r="D1004" s="17">
        <f>IF(Table1[[#This Row],[Attrition]]="Yes",1,0)</f>
        <v>0</v>
      </c>
      <c r="E1004" t="s">
        <v>58</v>
      </c>
      <c r="F1004" s="2">
        <v>200</v>
      </c>
      <c r="G1004" t="s">
        <v>39</v>
      </c>
      <c r="H1004">
        <v>18</v>
      </c>
      <c r="I1004">
        <v>2</v>
      </c>
      <c r="J1004" t="str">
        <f t="shared" si="31"/>
        <v>College</v>
      </c>
      <c r="K1004" t="s">
        <v>34</v>
      </c>
      <c r="L1004">
        <v>3</v>
      </c>
      <c r="M1004" t="s">
        <v>40</v>
      </c>
      <c r="N1004" s="2">
        <v>60</v>
      </c>
      <c r="O1004">
        <v>3</v>
      </c>
      <c r="P1004">
        <v>3</v>
      </c>
      <c r="Q1004" t="s">
        <v>47</v>
      </c>
      <c r="R1004">
        <v>4</v>
      </c>
      <c r="S1004" t="s">
        <v>37</v>
      </c>
      <c r="T1004" s="2">
        <v>9362</v>
      </c>
      <c r="U1004" s="2">
        <v>19944</v>
      </c>
      <c r="V1004">
        <v>2</v>
      </c>
      <c r="W1004" t="s">
        <v>38</v>
      </c>
      <c r="X1004">
        <v>11</v>
      </c>
      <c r="Y1004">
        <v>3</v>
      </c>
      <c r="Z1004">
        <v>3</v>
      </c>
      <c r="AA1004">
        <v>80</v>
      </c>
      <c r="AB1004">
        <v>0</v>
      </c>
      <c r="AC1004">
        <v>10</v>
      </c>
      <c r="AD1004">
        <v>2</v>
      </c>
      <c r="AE1004">
        <v>3</v>
      </c>
      <c r="AF1004">
        <v>2</v>
      </c>
      <c r="AG1004">
        <v>2</v>
      </c>
      <c r="AH1004">
        <v>2</v>
      </c>
      <c r="AI1004">
        <v>2</v>
      </c>
    </row>
    <row r="1005" spans="1:35" x14ac:dyDescent="0.25">
      <c r="A1005">
        <v>25</v>
      </c>
      <c r="B1005" t="str">
        <f t="shared" si="30"/>
        <v>25-34</v>
      </c>
      <c r="C1005" s="1" t="s">
        <v>38</v>
      </c>
      <c r="D1005" s="17">
        <f>IF(Table1[[#This Row],[Attrition]]="Yes",1,0)</f>
        <v>0</v>
      </c>
      <c r="E1005" t="s">
        <v>57</v>
      </c>
      <c r="F1005" s="2">
        <v>949</v>
      </c>
      <c r="G1005" t="s">
        <v>39</v>
      </c>
      <c r="H1005">
        <v>1</v>
      </c>
      <c r="I1005">
        <v>3</v>
      </c>
      <c r="J1005" t="str">
        <f t="shared" si="31"/>
        <v>Bachelor</v>
      </c>
      <c r="K1005" t="s">
        <v>54</v>
      </c>
      <c r="L1005">
        <v>1</v>
      </c>
      <c r="M1005" t="s">
        <v>40</v>
      </c>
      <c r="N1005" s="2">
        <v>81</v>
      </c>
      <c r="O1005">
        <v>3</v>
      </c>
      <c r="P1005">
        <v>1</v>
      </c>
      <c r="Q1005" t="s">
        <v>44</v>
      </c>
      <c r="R1005">
        <v>4</v>
      </c>
      <c r="S1005" t="s">
        <v>42</v>
      </c>
      <c r="T1005" s="2">
        <v>3229</v>
      </c>
      <c r="U1005" s="2">
        <v>4910</v>
      </c>
      <c r="V1005">
        <v>4</v>
      </c>
      <c r="W1005" t="s">
        <v>38</v>
      </c>
      <c r="X1005">
        <v>11</v>
      </c>
      <c r="Y1005">
        <v>3</v>
      </c>
      <c r="Z1005">
        <v>2</v>
      </c>
      <c r="AA1005">
        <v>80</v>
      </c>
      <c r="AB1005">
        <v>1</v>
      </c>
      <c r="AC1005">
        <v>7</v>
      </c>
      <c r="AD1005">
        <v>2</v>
      </c>
      <c r="AE1005">
        <v>2</v>
      </c>
      <c r="AF1005">
        <v>3</v>
      </c>
      <c r="AG1005">
        <v>2</v>
      </c>
      <c r="AH1005">
        <v>0</v>
      </c>
      <c r="AI1005">
        <v>2</v>
      </c>
    </row>
    <row r="1006" spans="1:35" x14ac:dyDescent="0.25">
      <c r="A1006">
        <v>26</v>
      </c>
      <c r="B1006" t="str">
        <f t="shared" si="30"/>
        <v>25-34</v>
      </c>
      <c r="C1006" s="1" t="s">
        <v>38</v>
      </c>
      <c r="D1006" s="17">
        <f>IF(Table1[[#This Row],[Attrition]]="Yes",1,0)</f>
        <v>0</v>
      </c>
      <c r="E1006" t="s">
        <v>57</v>
      </c>
      <c r="F1006" s="2">
        <v>652</v>
      </c>
      <c r="G1006" t="s">
        <v>39</v>
      </c>
      <c r="H1006">
        <v>7</v>
      </c>
      <c r="I1006">
        <v>3</v>
      </c>
      <c r="J1006" t="str">
        <f t="shared" si="31"/>
        <v>Bachelor</v>
      </c>
      <c r="K1006" t="s">
        <v>43</v>
      </c>
      <c r="L1006">
        <v>3</v>
      </c>
      <c r="M1006" t="s">
        <v>40</v>
      </c>
      <c r="N1006" s="2">
        <v>100</v>
      </c>
      <c r="O1006">
        <v>4</v>
      </c>
      <c r="P1006">
        <v>1</v>
      </c>
      <c r="Q1006" t="s">
        <v>44</v>
      </c>
      <c r="R1006">
        <v>1</v>
      </c>
      <c r="S1006" t="s">
        <v>37</v>
      </c>
      <c r="T1006" s="2">
        <v>3578</v>
      </c>
      <c r="U1006" s="2">
        <v>23577</v>
      </c>
      <c r="V1006">
        <v>0</v>
      </c>
      <c r="W1006" t="s">
        <v>38</v>
      </c>
      <c r="X1006">
        <v>12</v>
      </c>
      <c r="Y1006">
        <v>3</v>
      </c>
      <c r="Z1006">
        <v>4</v>
      </c>
      <c r="AA1006">
        <v>80</v>
      </c>
      <c r="AB1006">
        <v>0</v>
      </c>
      <c r="AC1006">
        <v>8</v>
      </c>
      <c r="AD1006">
        <v>2</v>
      </c>
      <c r="AE1006">
        <v>3</v>
      </c>
      <c r="AF1006">
        <v>7</v>
      </c>
      <c r="AG1006">
        <v>7</v>
      </c>
      <c r="AH1006">
        <v>0</v>
      </c>
      <c r="AI1006">
        <v>7</v>
      </c>
    </row>
    <row r="1007" spans="1:35" x14ac:dyDescent="0.25">
      <c r="A1007">
        <v>29</v>
      </c>
      <c r="B1007" t="str">
        <f t="shared" si="30"/>
        <v>25-34</v>
      </c>
      <c r="C1007" s="1" t="s">
        <v>38</v>
      </c>
      <c r="D1007" s="17">
        <f>IF(Table1[[#This Row],[Attrition]]="Yes",1,0)</f>
        <v>0</v>
      </c>
      <c r="E1007" t="s">
        <v>57</v>
      </c>
      <c r="F1007" s="2">
        <v>332</v>
      </c>
      <c r="G1007" t="s">
        <v>55</v>
      </c>
      <c r="H1007">
        <v>17</v>
      </c>
      <c r="I1007">
        <v>3</v>
      </c>
      <c r="J1007" t="str">
        <f t="shared" si="31"/>
        <v>Bachelor</v>
      </c>
      <c r="K1007" t="s">
        <v>43</v>
      </c>
      <c r="L1007">
        <v>2</v>
      </c>
      <c r="M1007" t="s">
        <v>40</v>
      </c>
      <c r="N1007" s="2">
        <v>51</v>
      </c>
      <c r="O1007">
        <v>2</v>
      </c>
      <c r="P1007">
        <v>3</v>
      </c>
      <c r="Q1007" t="s">
        <v>55</v>
      </c>
      <c r="R1007">
        <v>1</v>
      </c>
      <c r="S1007" t="s">
        <v>37</v>
      </c>
      <c r="T1007" s="2">
        <v>7988</v>
      </c>
      <c r="U1007" s="2">
        <v>9769</v>
      </c>
      <c r="V1007">
        <v>1</v>
      </c>
      <c r="W1007" t="s">
        <v>38</v>
      </c>
      <c r="X1007">
        <v>13</v>
      </c>
      <c r="Y1007">
        <v>3</v>
      </c>
      <c r="Z1007">
        <v>1</v>
      </c>
      <c r="AA1007">
        <v>80</v>
      </c>
      <c r="AB1007">
        <v>0</v>
      </c>
      <c r="AC1007">
        <v>10</v>
      </c>
      <c r="AD1007">
        <v>3</v>
      </c>
      <c r="AE1007">
        <v>2</v>
      </c>
      <c r="AF1007">
        <v>10</v>
      </c>
      <c r="AG1007">
        <v>9</v>
      </c>
      <c r="AH1007">
        <v>0</v>
      </c>
      <c r="AI1007">
        <v>9</v>
      </c>
    </row>
    <row r="1008" spans="1:35" x14ac:dyDescent="0.25">
      <c r="A1008">
        <v>49</v>
      </c>
      <c r="B1008" t="str">
        <f t="shared" si="30"/>
        <v>45-54</v>
      </c>
      <c r="C1008" s="1" t="s">
        <v>32</v>
      </c>
      <c r="D1008" s="17">
        <f>IF(Table1[[#This Row],[Attrition]]="Yes",1,0)</f>
        <v>1</v>
      </c>
      <c r="E1008" t="s">
        <v>58</v>
      </c>
      <c r="F1008" s="2">
        <v>1475</v>
      </c>
      <c r="G1008" t="s">
        <v>39</v>
      </c>
      <c r="H1008">
        <v>28</v>
      </c>
      <c r="I1008">
        <v>2</v>
      </c>
      <c r="J1008" t="str">
        <f t="shared" si="31"/>
        <v>College</v>
      </c>
      <c r="K1008" t="s">
        <v>34</v>
      </c>
      <c r="L1008">
        <v>1</v>
      </c>
      <c r="M1008" t="s">
        <v>40</v>
      </c>
      <c r="N1008" s="2">
        <v>97</v>
      </c>
      <c r="O1008">
        <v>2</v>
      </c>
      <c r="P1008">
        <v>2</v>
      </c>
      <c r="Q1008" t="s">
        <v>44</v>
      </c>
      <c r="R1008">
        <v>1</v>
      </c>
      <c r="S1008" t="s">
        <v>37</v>
      </c>
      <c r="T1008" s="2">
        <v>4284</v>
      </c>
      <c r="U1008" s="2">
        <v>22710</v>
      </c>
      <c r="V1008">
        <v>3</v>
      </c>
      <c r="W1008" t="s">
        <v>38</v>
      </c>
      <c r="X1008">
        <v>20</v>
      </c>
      <c r="Y1008">
        <v>4</v>
      </c>
      <c r="Z1008">
        <v>1</v>
      </c>
      <c r="AA1008">
        <v>80</v>
      </c>
      <c r="AB1008">
        <v>0</v>
      </c>
      <c r="AC1008">
        <v>20</v>
      </c>
      <c r="AD1008">
        <v>2</v>
      </c>
      <c r="AE1008">
        <v>3</v>
      </c>
      <c r="AF1008">
        <v>4</v>
      </c>
      <c r="AG1008">
        <v>3</v>
      </c>
      <c r="AH1008">
        <v>1</v>
      </c>
      <c r="AI1008">
        <v>3</v>
      </c>
    </row>
    <row r="1009" spans="1:35" x14ac:dyDescent="0.25">
      <c r="A1009">
        <v>29</v>
      </c>
      <c r="B1009" t="str">
        <f t="shared" si="30"/>
        <v>25-34</v>
      </c>
      <c r="C1009" s="1" t="s">
        <v>32</v>
      </c>
      <c r="D1009" s="17">
        <f>IF(Table1[[#This Row],[Attrition]]="Yes",1,0)</f>
        <v>1</v>
      </c>
      <c r="E1009" t="s">
        <v>58</v>
      </c>
      <c r="F1009" s="2">
        <v>337</v>
      </c>
      <c r="G1009" t="s">
        <v>39</v>
      </c>
      <c r="H1009">
        <v>14</v>
      </c>
      <c r="I1009">
        <v>1</v>
      </c>
      <c r="J1009" t="str">
        <f t="shared" si="31"/>
        <v>Below College</v>
      </c>
      <c r="K1009" t="s">
        <v>43</v>
      </c>
      <c r="L1009">
        <v>3</v>
      </c>
      <c r="M1009" t="s">
        <v>35</v>
      </c>
      <c r="N1009" s="2">
        <v>84</v>
      </c>
      <c r="O1009">
        <v>3</v>
      </c>
      <c r="P1009">
        <v>3</v>
      </c>
      <c r="Q1009" t="s">
        <v>48</v>
      </c>
      <c r="R1009">
        <v>4</v>
      </c>
      <c r="S1009" t="s">
        <v>37</v>
      </c>
      <c r="T1009" s="2">
        <v>7553</v>
      </c>
      <c r="U1009" s="2">
        <v>22930</v>
      </c>
      <c r="V1009">
        <v>0</v>
      </c>
      <c r="W1009" t="s">
        <v>32</v>
      </c>
      <c r="X1009">
        <v>12</v>
      </c>
      <c r="Y1009">
        <v>3</v>
      </c>
      <c r="Z1009">
        <v>1</v>
      </c>
      <c r="AA1009">
        <v>80</v>
      </c>
      <c r="AB1009">
        <v>0</v>
      </c>
      <c r="AC1009">
        <v>9</v>
      </c>
      <c r="AD1009">
        <v>1</v>
      </c>
      <c r="AE1009">
        <v>3</v>
      </c>
      <c r="AF1009">
        <v>8</v>
      </c>
      <c r="AG1009">
        <v>7</v>
      </c>
      <c r="AH1009">
        <v>7</v>
      </c>
      <c r="AI1009">
        <v>7</v>
      </c>
    </row>
    <row r="1010" spans="1:35" x14ac:dyDescent="0.25">
      <c r="A1010">
        <v>54</v>
      </c>
      <c r="B1010" t="str">
        <f t="shared" si="30"/>
        <v>45-54</v>
      </c>
      <c r="C1010" s="1" t="s">
        <v>38</v>
      </c>
      <c r="D1010" s="17">
        <f>IF(Table1[[#This Row],[Attrition]]="Yes",1,0)</f>
        <v>0</v>
      </c>
      <c r="E1010" t="s">
        <v>57</v>
      </c>
      <c r="F1010" s="2">
        <v>971</v>
      </c>
      <c r="G1010" t="s">
        <v>39</v>
      </c>
      <c r="H1010">
        <v>1</v>
      </c>
      <c r="I1010">
        <v>3</v>
      </c>
      <c r="J1010" t="str">
        <f t="shared" si="31"/>
        <v>Bachelor</v>
      </c>
      <c r="K1010" t="s">
        <v>45</v>
      </c>
      <c r="L1010">
        <v>4</v>
      </c>
      <c r="M1010" t="s">
        <v>35</v>
      </c>
      <c r="N1010" s="2">
        <v>54</v>
      </c>
      <c r="O1010">
        <v>3</v>
      </c>
      <c r="P1010">
        <v>4</v>
      </c>
      <c r="Q1010" t="s">
        <v>52</v>
      </c>
      <c r="R1010">
        <v>4</v>
      </c>
      <c r="S1010" t="s">
        <v>37</v>
      </c>
      <c r="T1010" s="2">
        <v>17328</v>
      </c>
      <c r="U1010" s="2">
        <v>5652</v>
      </c>
      <c r="V1010">
        <v>6</v>
      </c>
      <c r="W1010" t="s">
        <v>38</v>
      </c>
      <c r="X1010">
        <v>19</v>
      </c>
      <c r="Y1010">
        <v>3</v>
      </c>
      <c r="Z1010">
        <v>4</v>
      </c>
      <c r="AA1010">
        <v>80</v>
      </c>
      <c r="AB1010">
        <v>0</v>
      </c>
      <c r="AC1010">
        <v>29</v>
      </c>
      <c r="AD1010">
        <v>3</v>
      </c>
      <c r="AE1010">
        <v>2</v>
      </c>
      <c r="AF1010">
        <v>20</v>
      </c>
      <c r="AG1010">
        <v>7</v>
      </c>
      <c r="AH1010">
        <v>12</v>
      </c>
      <c r="AI1010">
        <v>7</v>
      </c>
    </row>
    <row r="1011" spans="1:35" x14ac:dyDescent="0.25">
      <c r="A1011">
        <v>58</v>
      </c>
      <c r="B1011" t="str">
        <f t="shared" si="30"/>
        <v>55-64</v>
      </c>
      <c r="C1011" s="1" t="s">
        <v>38</v>
      </c>
      <c r="D1011" s="17">
        <f>IF(Table1[[#This Row],[Attrition]]="Yes",1,0)</f>
        <v>0</v>
      </c>
      <c r="E1011" t="s">
        <v>57</v>
      </c>
      <c r="F1011" s="2">
        <v>1055</v>
      </c>
      <c r="G1011" t="s">
        <v>39</v>
      </c>
      <c r="H1011">
        <v>1</v>
      </c>
      <c r="I1011">
        <v>3</v>
      </c>
      <c r="J1011" t="str">
        <f t="shared" si="31"/>
        <v>Bachelor</v>
      </c>
      <c r="K1011" t="s">
        <v>45</v>
      </c>
      <c r="L1011">
        <v>4</v>
      </c>
      <c r="M1011" t="s">
        <v>35</v>
      </c>
      <c r="N1011" s="2">
        <v>76</v>
      </c>
      <c r="O1011">
        <v>3</v>
      </c>
      <c r="P1011">
        <v>5</v>
      </c>
      <c r="Q1011" t="s">
        <v>52</v>
      </c>
      <c r="R1011">
        <v>1</v>
      </c>
      <c r="S1011" t="s">
        <v>42</v>
      </c>
      <c r="T1011" s="2">
        <v>19701</v>
      </c>
      <c r="U1011" s="2">
        <v>22456</v>
      </c>
      <c r="V1011">
        <v>3</v>
      </c>
      <c r="W1011" t="s">
        <v>32</v>
      </c>
      <c r="X1011">
        <v>21</v>
      </c>
      <c r="Y1011">
        <v>4</v>
      </c>
      <c r="Z1011">
        <v>3</v>
      </c>
      <c r="AA1011">
        <v>80</v>
      </c>
      <c r="AB1011">
        <v>1</v>
      </c>
      <c r="AC1011">
        <v>32</v>
      </c>
      <c r="AD1011">
        <v>3</v>
      </c>
      <c r="AE1011">
        <v>3</v>
      </c>
      <c r="AF1011">
        <v>9</v>
      </c>
      <c r="AG1011">
        <v>8</v>
      </c>
      <c r="AH1011">
        <v>1</v>
      </c>
      <c r="AI1011">
        <v>5</v>
      </c>
    </row>
    <row r="1012" spans="1:35" x14ac:dyDescent="0.25">
      <c r="A1012">
        <v>55</v>
      </c>
      <c r="B1012" t="str">
        <f t="shared" si="30"/>
        <v>55-64</v>
      </c>
      <c r="C1012" s="1" t="s">
        <v>38</v>
      </c>
      <c r="D1012" s="17">
        <f>IF(Table1[[#This Row],[Attrition]]="Yes",1,0)</f>
        <v>0</v>
      </c>
      <c r="E1012" t="s">
        <v>57</v>
      </c>
      <c r="F1012" s="2">
        <v>1136</v>
      </c>
      <c r="G1012" t="s">
        <v>39</v>
      </c>
      <c r="H1012">
        <v>1</v>
      </c>
      <c r="I1012">
        <v>4</v>
      </c>
      <c r="J1012" t="str">
        <f t="shared" si="31"/>
        <v>Master</v>
      </c>
      <c r="K1012" t="s">
        <v>45</v>
      </c>
      <c r="L1012">
        <v>2</v>
      </c>
      <c r="M1012" t="s">
        <v>40</v>
      </c>
      <c r="N1012" s="2">
        <v>81</v>
      </c>
      <c r="O1012">
        <v>4</v>
      </c>
      <c r="P1012">
        <v>4</v>
      </c>
      <c r="Q1012" t="s">
        <v>52</v>
      </c>
      <c r="R1012">
        <v>4</v>
      </c>
      <c r="S1012" t="s">
        <v>46</v>
      </c>
      <c r="T1012" s="2">
        <v>14732</v>
      </c>
      <c r="U1012" s="2">
        <v>12414</v>
      </c>
      <c r="V1012">
        <v>2</v>
      </c>
      <c r="W1012" t="s">
        <v>38</v>
      </c>
      <c r="X1012">
        <v>13</v>
      </c>
      <c r="Y1012">
        <v>3</v>
      </c>
      <c r="Z1012">
        <v>4</v>
      </c>
      <c r="AA1012">
        <v>80</v>
      </c>
      <c r="AB1012">
        <v>2</v>
      </c>
      <c r="AC1012">
        <v>31</v>
      </c>
      <c r="AD1012">
        <v>4</v>
      </c>
      <c r="AE1012">
        <v>4</v>
      </c>
      <c r="AF1012">
        <v>7</v>
      </c>
      <c r="AG1012">
        <v>7</v>
      </c>
      <c r="AH1012">
        <v>0</v>
      </c>
      <c r="AI1012">
        <v>0</v>
      </c>
    </row>
    <row r="1013" spans="1:35" x14ac:dyDescent="0.25">
      <c r="A1013">
        <v>36</v>
      </c>
      <c r="B1013" t="str">
        <f t="shared" si="30"/>
        <v>35-44</v>
      </c>
      <c r="C1013" s="1" t="s">
        <v>38</v>
      </c>
      <c r="D1013" s="17">
        <f>IF(Table1[[#This Row],[Attrition]]="Yes",1,0)</f>
        <v>0</v>
      </c>
      <c r="E1013" t="s">
        <v>57</v>
      </c>
      <c r="F1013" s="2">
        <v>1174</v>
      </c>
      <c r="G1013" t="s">
        <v>33</v>
      </c>
      <c r="H1013">
        <v>3</v>
      </c>
      <c r="I1013">
        <v>4</v>
      </c>
      <c r="J1013" t="str">
        <f t="shared" si="31"/>
        <v>Master</v>
      </c>
      <c r="K1013" t="s">
        <v>53</v>
      </c>
      <c r="L1013">
        <v>1</v>
      </c>
      <c r="M1013" t="s">
        <v>35</v>
      </c>
      <c r="N1013" s="2">
        <v>99</v>
      </c>
      <c r="O1013">
        <v>3</v>
      </c>
      <c r="P1013">
        <v>2</v>
      </c>
      <c r="Q1013" t="s">
        <v>36</v>
      </c>
      <c r="R1013">
        <v>2</v>
      </c>
      <c r="S1013" t="s">
        <v>37</v>
      </c>
      <c r="T1013" s="2">
        <v>9278</v>
      </c>
      <c r="U1013" s="2">
        <v>20763</v>
      </c>
      <c r="V1013">
        <v>3</v>
      </c>
      <c r="W1013" t="s">
        <v>32</v>
      </c>
      <c r="X1013">
        <v>16</v>
      </c>
      <c r="Y1013">
        <v>3</v>
      </c>
      <c r="Z1013">
        <v>4</v>
      </c>
      <c r="AA1013">
        <v>80</v>
      </c>
      <c r="AB1013">
        <v>0</v>
      </c>
      <c r="AC1013">
        <v>15</v>
      </c>
      <c r="AD1013">
        <v>3</v>
      </c>
      <c r="AE1013">
        <v>3</v>
      </c>
      <c r="AF1013">
        <v>5</v>
      </c>
      <c r="AG1013">
        <v>4</v>
      </c>
      <c r="AH1013">
        <v>0</v>
      </c>
      <c r="AI1013">
        <v>1</v>
      </c>
    </row>
    <row r="1014" spans="1:35" x14ac:dyDescent="0.25">
      <c r="A1014">
        <v>31</v>
      </c>
      <c r="B1014" t="str">
        <f t="shared" si="30"/>
        <v>25-34</v>
      </c>
      <c r="C1014" s="1" t="s">
        <v>32</v>
      </c>
      <c r="D1014" s="17">
        <f>IF(Table1[[#This Row],[Attrition]]="Yes",1,0)</f>
        <v>1</v>
      </c>
      <c r="E1014" t="s">
        <v>58</v>
      </c>
      <c r="F1014" s="2">
        <v>667</v>
      </c>
      <c r="G1014" t="s">
        <v>33</v>
      </c>
      <c r="H1014">
        <v>1</v>
      </c>
      <c r="I1014">
        <v>4</v>
      </c>
      <c r="J1014" t="str">
        <f t="shared" si="31"/>
        <v>Master</v>
      </c>
      <c r="K1014" t="s">
        <v>34</v>
      </c>
      <c r="L1014">
        <v>2</v>
      </c>
      <c r="M1014" t="s">
        <v>35</v>
      </c>
      <c r="N1014" s="2">
        <v>50</v>
      </c>
      <c r="O1014">
        <v>1</v>
      </c>
      <c r="P1014">
        <v>1</v>
      </c>
      <c r="Q1014" t="s">
        <v>51</v>
      </c>
      <c r="R1014">
        <v>3</v>
      </c>
      <c r="S1014" t="s">
        <v>37</v>
      </c>
      <c r="T1014" s="2">
        <v>1359</v>
      </c>
      <c r="U1014" s="2">
        <v>16154</v>
      </c>
      <c r="V1014">
        <v>1</v>
      </c>
      <c r="W1014" t="s">
        <v>38</v>
      </c>
      <c r="X1014">
        <v>12</v>
      </c>
      <c r="Y1014">
        <v>3</v>
      </c>
      <c r="Z1014">
        <v>2</v>
      </c>
      <c r="AA1014">
        <v>80</v>
      </c>
      <c r="AB1014">
        <v>0</v>
      </c>
      <c r="AC1014">
        <v>1</v>
      </c>
      <c r="AD1014">
        <v>3</v>
      </c>
      <c r="AE1014">
        <v>3</v>
      </c>
      <c r="AF1014">
        <v>1</v>
      </c>
      <c r="AG1014">
        <v>0</v>
      </c>
      <c r="AH1014">
        <v>0</v>
      </c>
      <c r="AI1014">
        <v>0</v>
      </c>
    </row>
    <row r="1015" spans="1:35" x14ac:dyDescent="0.25">
      <c r="A1015">
        <v>30</v>
      </c>
      <c r="B1015" t="str">
        <f t="shared" si="30"/>
        <v>25-34</v>
      </c>
      <c r="C1015" s="1" t="s">
        <v>38</v>
      </c>
      <c r="D1015" s="17">
        <f>IF(Table1[[#This Row],[Attrition]]="Yes",1,0)</f>
        <v>0</v>
      </c>
      <c r="E1015" t="s">
        <v>57</v>
      </c>
      <c r="F1015" s="2">
        <v>855</v>
      </c>
      <c r="G1015" t="s">
        <v>33</v>
      </c>
      <c r="H1015">
        <v>7</v>
      </c>
      <c r="I1015">
        <v>4</v>
      </c>
      <c r="J1015" t="str">
        <f t="shared" si="31"/>
        <v>Master</v>
      </c>
      <c r="K1015" t="s">
        <v>53</v>
      </c>
      <c r="L1015">
        <v>4</v>
      </c>
      <c r="M1015" t="s">
        <v>35</v>
      </c>
      <c r="N1015" s="2">
        <v>73</v>
      </c>
      <c r="O1015">
        <v>3</v>
      </c>
      <c r="P1015">
        <v>2</v>
      </c>
      <c r="Q1015" t="s">
        <v>36</v>
      </c>
      <c r="R1015">
        <v>1</v>
      </c>
      <c r="S1015" t="s">
        <v>46</v>
      </c>
      <c r="T1015" s="2">
        <v>4779</v>
      </c>
      <c r="U1015" s="2">
        <v>12761</v>
      </c>
      <c r="V1015">
        <v>7</v>
      </c>
      <c r="W1015" t="s">
        <v>38</v>
      </c>
      <c r="X1015">
        <v>14</v>
      </c>
      <c r="Y1015">
        <v>3</v>
      </c>
      <c r="Z1015">
        <v>2</v>
      </c>
      <c r="AA1015">
        <v>80</v>
      </c>
      <c r="AB1015">
        <v>2</v>
      </c>
      <c r="AC1015">
        <v>8</v>
      </c>
      <c r="AD1015">
        <v>3</v>
      </c>
      <c r="AE1015">
        <v>3</v>
      </c>
      <c r="AF1015">
        <v>3</v>
      </c>
      <c r="AG1015">
        <v>2</v>
      </c>
      <c r="AH1015">
        <v>0</v>
      </c>
      <c r="AI1015">
        <v>2</v>
      </c>
    </row>
    <row r="1016" spans="1:35" x14ac:dyDescent="0.25">
      <c r="A1016">
        <v>31</v>
      </c>
      <c r="B1016" t="str">
        <f t="shared" si="30"/>
        <v>25-34</v>
      </c>
      <c r="C1016" s="1" t="s">
        <v>38</v>
      </c>
      <c r="D1016" s="17">
        <f>IF(Table1[[#This Row],[Attrition]]="Yes",1,0)</f>
        <v>0</v>
      </c>
      <c r="E1016" t="s">
        <v>57</v>
      </c>
      <c r="F1016" s="2">
        <v>182</v>
      </c>
      <c r="G1016" t="s">
        <v>39</v>
      </c>
      <c r="H1016">
        <v>8</v>
      </c>
      <c r="I1016">
        <v>5</v>
      </c>
      <c r="J1016" t="str">
        <f t="shared" si="31"/>
        <v>Doctor</v>
      </c>
      <c r="K1016" t="s">
        <v>34</v>
      </c>
      <c r="L1016">
        <v>1</v>
      </c>
      <c r="M1016" t="s">
        <v>35</v>
      </c>
      <c r="N1016" s="2">
        <v>93</v>
      </c>
      <c r="O1016">
        <v>3</v>
      </c>
      <c r="P1016">
        <v>4</v>
      </c>
      <c r="Q1016" t="s">
        <v>52</v>
      </c>
      <c r="R1016">
        <v>2</v>
      </c>
      <c r="S1016" t="s">
        <v>37</v>
      </c>
      <c r="T1016" s="2">
        <v>16422</v>
      </c>
      <c r="U1016" s="2">
        <v>8847</v>
      </c>
      <c r="V1016">
        <v>3</v>
      </c>
      <c r="W1016" t="s">
        <v>38</v>
      </c>
      <c r="X1016">
        <v>11</v>
      </c>
      <c r="Y1016">
        <v>3</v>
      </c>
      <c r="Z1016">
        <v>3</v>
      </c>
      <c r="AA1016">
        <v>80</v>
      </c>
      <c r="AB1016">
        <v>0</v>
      </c>
      <c r="AC1016">
        <v>9</v>
      </c>
      <c r="AD1016">
        <v>3</v>
      </c>
      <c r="AE1016">
        <v>4</v>
      </c>
      <c r="AF1016">
        <v>3</v>
      </c>
      <c r="AG1016">
        <v>2</v>
      </c>
      <c r="AH1016">
        <v>1</v>
      </c>
      <c r="AI1016">
        <v>0</v>
      </c>
    </row>
    <row r="1017" spans="1:35" x14ac:dyDescent="0.25">
      <c r="A1017">
        <v>34</v>
      </c>
      <c r="B1017" t="str">
        <f t="shared" si="30"/>
        <v>25-34</v>
      </c>
      <c r="C1017" s="1" t="s">
        <v>38</v>
      </c>
      <c r="D1017" s="17">
        <f>IF(Table1[[#This Row],[Attrition]]="Yes",1,0)</f>
        <v>0</v>
      </c>
      <c r="E1017" t="s">
        <v>58</v>
      </c>
      <c r="F1017" s="2">
        <v>560</v>
      </c>
      <c r="G1017" t="s">
        <v>39</v>
      </c>
      <c r="H1017">
        <v>1</v>
      </c>
      <c r="I1017">
        <v>4</v>
      </c>
      <c r="J1017" t="str">
        <f t="shared" si="31"/>
        <v>Master</v>
      </c>
      <c r="K1017" t="s">
        <v>43</v>
      </c>
      <c r="L1017">
        <v>4</v>
      </c>
      <c r="M1017" t="s">
        <v>40</v>
      </c>
      <c r="N1017" s="2">
        <v>91</v>
      </c>
      <c r="O1017">
        <v>3</v>
      </c>
      <c r="P1017">
        <v>1</v>
      </c>
      <c r="Q1017" t="s">
        <v>41</v>
      </c>
      <c r="R1017">
        <v>1</v>
      </c>
      <c r="S1017" t="s">
        <v>46</v>
      </c>
      <c r="T1017" s="2">
        <v>2996</v>
      </c>
      <c r="U1017" s="2">
        <v>20284</v>
      </c>
      <c r="V1017">
        <v>5</v>
      </c>
      <c r="W1017" t="s">
        <v>38</v>
      </c>
      <c r="X1017">
        <v>14</v>
      </c>
      <c r="Y1017">
        <v>3</v>
      </c>
      <c r="Z1017">
        <v>3</v>
      </c>
      <c r="AA1017">
        <v>80</v>
      </c>
      <c r="AB1017">
        <v>2</v>
      </c>
      <c r="AC1017">
        <v>10</v>
      </c>
      <c r="AD1017">
        <v>2</v>
      </c>
      <c r="AE1017">
        <v>3</v>
      </c>
      <c r="AF1017">
        <v>4</v>
      </c>
      <c r="AG1017">
        <v>3</v>
      </c>
      <c r="AH1017">
        <v>1</v>
      </c>
      <c r="AI1017">
        <v>3</v>
      </c>
    </row>
    <row r="1018" spans="1:35" x14ac:dyDescent="0.25">
      <c r="A1018">
        <v>31</v>
      </c>
      <c r="B1018" t="str">
        <f t="shared" si="30"/>
        <v>25-34</v>
      </c>
      <c r="C1018" s="1" t="s">
        <v>32</v>
      </c>
      <c r="D1018" s="17">
        <f>IF(Table1[[#This Row],[Attrition]]="Yes",1,0)</f>
        <v>1</v>
      </c>
      <c r="E1018" t="s">
        <v>57</v>
      </c>
      <c r="F1018" s="2">
        <v>202</v>
      </c>
      <c r="G1018" t="s">
        <v>39</v>
      </c>
      <c r="H1018">
        <v>8</v>
      </c>
      <c r="I1018">
        <v>3</v>
      </c>
      <c r="J1018" t="str">
        <f t="shared" si="31"/>
        <v>Bachelor</v>
      </c>
      <c r="K1018" t="s">
        <v>34</v>
      </c>
      <c r="L1018">
        <v>1</v>
      </c>
      <c r="M1018" t="s">
        <v>35</v>
      </c>
      <c r="N1018" s="2">
        <v>34</v>
      </c>
      <c r="O1018">
        <v>2</v>
      </c>
      <c r="P1018">
        <v>1</v>
      </c>
      <c r="Q1018" t="s">
        <v>41</v>
      </c>
      <c r="R1018">
        <v>2</v>
      </c>
      <c r="S1018" t="s">
        <v>37</v>
      </c>
      <c r="T1018" s="2">
        <v>1261</v>
      </c>
      <c r="U1018" s="2">
        <v>22262</v>
      </c>
      <c r="V1018">
        <v>1</v>
      </c>
      <c r="W1018" t="s">
        <v>38</v>
      </c>
      <c r="X1018">
        <v>12</v>
      </c>
      <c r="Y1018">
        <v>3</v>
      </c>
      <c r="Z1018">
        <v>3</v>
      </c>
      <c r="AA1018">
        <v>80</v>
      </c>
      <c r="AB1018">
        <v>0</v>
      </c>
      <c r="AC1018">
        <v>1</v>
      </c>
      <c r="AD1018">
        <v>3</v>
      </c>
      <c r="AE1018">
        <v>4</v>
      </c>
      <c r="AF1018">
        <v>1</v>
      </c>
      <c r="AG1018">
        <v>0</v>
      </c>
      <c r="AH1018">
        <v>0</v>
      </c>
      <c r="AI1018">
        <v>0</v>
      </c>
    </row>
    <row r="1019" spans="1:35" x14ac:dyDescent="0.25">
      <c r="A1019">
        <v>27</v>
      </c>
      <c r="B1019" t="str">
        <f t="shared" si="30"/>
        <v>25-34</v>
      </c>
      <c r="C1019" s="1" t="s">
        <v>38</v>
      </c>
      <c r="D1019" s="17">
        <f>IF(Table1[[#This Row],[Attrition]]="Yes",1,0)</f>
        <v>0</v>
      </c>
      <c r="E1019" t="s">
        <v>57</v>
      </c>
      <c r="F1019" s="2">
        <v>1377</v>
      </c>
      <c r="G1019" t="s">
        <v>39</v>
      </c>
      <c r="H1019">
        <v>11</v>
      </c>
      <c r="I1019">
        <v>1</v>
      </c>
      <c r="J1019" t="str">
        <f t="shared" si="31"/>
        <v>Below College</v>
      </c>
      <c r="K1019" t="s">
        <v>34</v>
      </c>
      <c r="L1019">
        <v>2</v>
      </c>
      <c r="M1019" t="s">
        <v>40</v>
      </c>
      <c r="N1019" s="2">
        <v>91</v>
      </c>
      <c r="O1019">
        <v>3</v>
      </c>
      <c r="P1019">
        <v>1</v>
      </c>
      <c r="Q1019" t="s">
        <v>44</v>
      </c>
      <c r="R1019">
        <v>1</v>
      </c>
      <c r="S1019" t="s">
        <v>42</v>
      </c>
      <c r="T1019" s="2">
        <v>2099</v>
      </c>
      <c r="U1019" s="2">
        <v>7679</v>
      </c>
      <c r="V1019">
        <v>0</v>
      </c>
      <c r="W1019" t="s">
        <v>38</v>
      </c>
      <c r="X1019">
        <v>14</v>
      </c>
      <c r="Y1019">
        <v>3</v>
      </c>
      <c r="Z1019">
        <v>2</v>
      </c>
      <c r="AA1019">
        <v>80</v>
      </c>
      <c r="AB1019">
        <v>0</v>
      </c>
      <c r="AC1019">
        <v>6</v>
      </c>
      <c r="AD1019">
        <v>3</v>
      </c>
      <c r="AE1019">
        <v>4</v>
      </c>
      <c r="AF1019">
        <v>5</v>
      </c>
      <c r="AG1019">
        <v>0</v>
      </c>
      <c r="AH1019">
        <v>1</v>
      </c>
      <c r="AI1019">
        <v>4</v>
      </c>
    </row>
    <row r="1020" spans="1:35" x14ac:dyDescent="0.25">
      <c r="A1020">
        <v>36</v>
      </c>
      <c r="B1020" t="str">
        <f t="shared" si="30"/>
        <v>35-44</v>
      </c>
      <c r="C1020" s="1" t="s">
        <v>38</v>
      </c>
      <c r="D1020" s="17">
        <f>IF(Table1[[#This Row],[Attrition]]="Yes",1,0)</f>
        <v>0</v>
      </c>
      <c r="E1020" t="s">
        <v>57</v>
      </c>
      <c r="F1020" s="2">
        <v>172</v>
      </c>
      <c r="G1020" t="s">
        <v>39</v>
      </c>
      <c r="H1020">
        <v>4</v>
      </c>
      <c r="I1020">
        <v>4</v>
      </c>
      <c r="J1020" t="str">
        <f t="shared" si="31"/>
        <v>Master</v>
      </c>
      <c r="K1020" t="s">
        <v>34</v>
      </c>
      <c r="L1020">
        <v>1</v>
      </c>
      <c r="M1020" t="s">
        <v>40</v>
      </c>
      <c r="N1020" s="2">
        <v>37</v>
      </c>
      <c r="O1020">
        <v>2</v>
      </c>
      <c r="P1020">
        <v>2</v>
      </c>
      <c r="Q1020" t="s">
        <v>44</v>
      </c>
      <c r="R1020">
        <v>4</v>
      </c>
      <c r="S1020" t="s">
        <v>37</v>
      </c>
      <c r="T1020" s="2">
        <v>5810</v>
      </c>
      <c r="U1020" s="2">
        <v>22604</v>
      </c>
      <c r="V1020">
        <v>1</v>
      </c>
      <c r="W1020" t="s">
        <v>38</v>
      </c>
      <c r="X1020">
        <v>16</v>
      </c>
      <c r="Y1020">
        <v>3</v>
      </c>
      <c r="Z1020">
        <v>3</v>
      </c>
      <c r="AA1020">
        <v>80</v>
      </c>
      <c r="AB1020">
        <v>0</v>
      </c>
      <c r="AC1020">
        <v>10</v>
      </c>
      <c r="AD1020">
        <v>2</v>
      </c>
      <c r="AE1020">
        <v>2</v>
      </c>
      <c r="AF1020">
        <v>10</v>
      </c>
      <c r="AG1020">
        <v>4</v>
      </c>
      <c r="AH1020">
        <v>1</v>
      </c>
      <c r="AI1020">
        <v>8</v>
      </c>
    </row>
    <row r="1021" spans="1:35" x14ac:dyDescent="0.25">
      <c r="A1021">
        <v>36</v>
      </c>
      <c r="B1021" t="str">
        <f t="shared" si="30"/>
        <v>35-44</v>
      </c>
      <c r="C1021" s="1" t="s">
        <v>38</v>
      </c>
      <c r="D1021" s="17">
        <f>IF(Table1[[#This Row],[Attrition]]="Yes",1,0)</f>
        <v>0</v>
      </c>
      <c r="E1021" t="s">
        <v>57</v>
      </c>
      <c r="F1021" s="2">
        <v>329</v>
      </c>
      <c r="G1021" t="s">
        <v>33</v>
      </c>
      <c r="H1021">
        <v>16</v>
      </c>
      <c r="I1021">
        <v>4</v>
      </c>
      <c r="J1021" t="str">
        <f t="shared" si="31"/>
        <v>Master</v>
      </c>
      <c r="K1021" t="s">
        <v>53</v>
      </c>
      <c r="L1021">
        <v>3</v>
      </c>
      <c r="M1021" t="s">
        <v>35</v>
      </c>
      <c r="N1021" s="2">
        <v>98</v>
      </c>
      <c r="O1021">
        <v>2</v>
      </c>
      <c r="P1021">
        <v>2</v>
      </c>
      <c r="Q1021" t="s">
        <v>36</v>
      </c>
      <c r="R1021">
        <v>1</v>
      </c>
      <c r="S1021" t="s">
        <v>42</v>
      </c>
      <c r="T1021" s="2">
        <v>5647</v>
      </c>
      <c r="U1021" s="2">
        <v>13494</v>
      </c>
      <c r="V1021">
        <v>4</v>
      </c>
      <c r="W1021" t="s">
        <v>38</v>
      </c>
      <c r="X1021">
        <v>13</v>
      </c>
      <c r="Y1021">
        <v>3</v>
      </c>
      <c r="Z1021">
        <v>1</v>
      </c>
      <c r="AA1021">
        <v>80</v>
      </c>
      <c r="AB1021">
        <v>2</v>
      </c>
      <c r="AC1021">
        <v>11</v>
      </c>
      <c r="AD1021">
        <v>3</v>
      </c>
      <c r="AE1021">
        <v>2</v>
      </c>
      <c r="AF1021">
        <v>3</v>
      </c>
      <c r="AG1021">
        <v>2</v>
      </c>
      <c r="AH1021">
        <v>0</v>
      </c>
      <c r="AI1021">
        <v>2</v>
      </c>
    </row>
    <row r="1022" spans="1:35" x14ac:dyDescent="0.25">
      <c r="A1022">
        <v>47</v>
      </c>
      <c r="B1022" t="str">
        <f t="shared" si="30"/>
        <v>45-54</v>
      </c>
      <c r="C1022" s="1" t="s">
        <v>38</v>
      </c>
      <c r="D1022" s="17">
        <f>IF(Table1[[#This Row],[Attrition]]="Yes",1,0)</f>
        <v>0</v>
      </c>
      <c r="E1022" t="s">
        <v>57</v>
      </c>
      <c r="F1022" s="2">
        <v>465</v>
      </c>
      <c r="G1022" t="s">
        <v>39</v>
      </c>
      <c r="H1022">
        <v>1</v>
      </c>
      <c r="I1022">
        <v>3</v>
      </c>
      <c r="J1022" t="str">
        <f t="shared" si="31"/>
        <v>Bachelor</v>
      </c>
      <c r="K1022" t="s">
        <v>54</v>
      </c>
      <c r="L1022">
        <v>1</v>
      </c>
      <c r="M1022" t="s">
        <v>40</v>
      </c>
      <c r="N1022" s="2">
        <v>74</v>
      </c>
      <c r="O1022">
        <v>3</v>
      </c>
      <c r="P1022">
        <v>1</v>
      </c>
      <c r="Q1022" t="s">
        <v>41</v>
      </c>
      <c r="R1022">
        <v>4</v>
      </c>
      <c r="S1022" t="s">
        <v>42</v>
      </c>
      <c r="T1022" s="2">
        <v>3420</v>
      </c>
      <c r="U1022" s="2">
        <v>10205</v>
      </c>
      <c r="V1022">
        <v>7</v>
      </c>
      <c r="W1022" t="s">
        <v>38</v>
      </c>
      <c r="X1022">
        <v>12</v>
      </c>
      <c r="Y1022">
        <v>3</v>
      </c>
      <c r="Z1022">
        <v>3</v>
      </c>
      <c r="AA1022">
        <v>80</v>
      </c>
      <c r="AB1022">
        <v>1</v>
      </c>
      <c r="AC1022">
        <v>17</v>
      </c>
      <c r="AD1022">
        <v>2</v>
      </c>
      <c r="AE1022">
        <v>2</v>
      </c>
      <c r="AF1022">
        <v>6</v>
      </c>
      <c r="AG1022">
        <v>5</v>
      </c>
      <c r="AH1022">
        <v>1</v>
      </c>
      <c r="AI1022">
        <v>2</v>
      </c>
    </row>
    <row r="1023" spans="1:35" x14ac:dyDescent="0.25">
      <c r="A1023">
        <v>25</v>
      </c>
      <c r="B1023" t="str">
        <f t="shared" si="30"/>
        <v>25-34</v>
      </c>
      <c r="C1023" s="1" t="s">
        <v>32</v>
      </c>
      <c r="D1023" s="17">
        <f>IF(Table1[[#This Row],[Attrition]]="Yes",1,0)</f>
        <v>1</v>
      </c>
      <c r="E1023" t="s">
        <v>57</v>
      </c>
      <c r="F1023" s="2">
        <v>383</v>
      </c>
      <c r="G1023" t="s">
        <v>33</v>
      </c>
      <c r="H1023">
        <v>9</v>
      </c>
      <c r="I1023">
        <v>2</v>
      </c>
      <c r="J1023" t="str">
        <f t="shared" si="31"/>
        <v>College</v>
      </c>
      <c r="K1023" t="s">
        <v>34</v>
      </c>
      <c r="L1023">
        <v>1</v>
      </c>
      <c r="M1023" t="s">
        <v>40</v>
      </c>
      <c r="N1023" s="2">
        <v>68</v>
      </c>
      <c r="O1023">
        <v>2</v>
      </c>
      <c r="P1023">
        <v>1</v>
      </c>
      <c r="Q1023" t="s">
        <v>51</v>
      </c>
      <c r="R1023">
        <v>1</v>
      </c>
      <c r="S1023" t="s">
        <v>42</v>
      </c>
      <c r="T1023" s="2">
        <v>4400</v>
      </c>
      <c r="U1023" s="2">
        <v>15182</v>
      </c>
      <c r="V1023">
        <v>3</v>
      </c>
      <c r="W1023" t="s">
        <v>38</v>
      </c>
      <c r="X1023">
        <v>12</v>
      </c>
      <c r="Y1023">
        <v>3</v>
      </c>
      <c r="Z1023">
        <v>1</v>
      </c>
      <c r="AA1023">
        <v>80</v>
      </c>
      <c r="AB1023">
        <v>0</v>
      </c>
      <c r="AC1023">
        <v>6</v>
      </c>
      <c r="AD1023">
        <v>2</v>
      </c>
      <c r="AE1023">
        <v>3</v>
      </c>
      <c r="AF1023">
        <v>3</v>
      </c>
      <c r="AG1023">
        <v>2</v>
      </c>
      <c r="AH1023">
        <v>2</v>
      </c>
      <c r="AI1023">
        <v>2</v>
      </c>
    </row>
    <row r="1024" spans="1:35" x14ac:dyDescent="0.25">
      <c r="A1024">
        <v>37</v>
      </c>
      <c r="B1024" t="str">
        <f t="shared" si="30"/>
        <v>35-44</v>
      </c>
      <c r="C1024" s="1" t="s">
        <v>38</v>
      </c>
      <c r="D1024" s="17">
        <f>IF(Table1[[#This Row],[Attrition]]="Yes",1,0)</f>
        <v>0</v>
      </c>
      <c r="E1024" t="s">
        <v>49</v>
      </c>
      <c r="F1024" s="2">
        <v>1413</v>
      </c>
      <c r="G1024" t="s">
        <v>39</v>
      </c>
      <c r="H1024">
        <v>5</v>
      </c>
      <c r="I1024">
        <v>2</v>
      </c>
      <c r="J1024" t="str">
        <f t="shared" si="31"/>
        <v>College</v>
      </c>
      <c r="K1024" t="s">
        <v>54</v>
      </c>
      <c r="L1024">
        <v>3</v>
      </c>
      <c r="M1024" t="s">
        <v>40</v>
      </c>
      <c r="N1024" s="2">
        <v>84</v>
      </c>
      <c r="O1024">
        <v>4</v>
      </c>
      <c r="P1024">
        <v>1</v>
      </c>
      <c r="Q1024" t="s">
        <v>44</v>
      </c>
      <c r="R1024">
        <v>3</v>
      </c>
      <c r="S1024" t="s">
        <v>37</v>
      </c>
      <c r="T1024" s="2">
        <v>3500</v>
      </c>
      <c r="U1024" s="2">
        <v>25470</v>
      </c>
      <c r="V1024">
        <v>0</v>
      </c>
      <c r="W1024" t="s">
        <v>38</v>
      </c>
      <c r="X1024">
        <v>14</v>
      </c>
      <c r="Y1024">
        <v>3</v>
      </c>
      <c r="Z1024">
        <v>1</v>
      </c>
      <c r="AA1024">
        <v>80</v>
      </c>
      <c r="AB1024">
        <v>0</v>
      </c>
      <c r="AC1024">
        <v>7</v>
      </c>
      <c r="AD1024">
        <v>2</v>
      </c>
      <c r="AE1024">
        <v>1</v>
      </c>
      <c r="AF1024">
        <v>6</v>
      </c>
      <c r="AG1024">
        <v>5</v>
      </c>
      <c r="AH1024">
        <v>1</v>
      </c>
      <c r="AI1024">
        <v>3</v>
      </c>
    </row>
    <row r="1025" spans="1:35" x14ac:dyDescent="0.25">
      <c r="A1025">
        <v>56</v>
      </c>
      <c r="B1025" t="str">
        <f t="shared" si="30"/>
        <v>55-64</v>
      </c>
      <c r="C1025" s="1" t="s">
        <v>38</v>
      </c>
      <c r="D1025" s="17">
        <f>IF(Table1[[#This Row],[Attrition]]="Yes",1,0)</f>
        <v>0</v>
      </c>
      <c r="E1025" t="s">
        <v>57</v>
      </c>
      <c r="F1025" s="2">
        <v>1255</v>
      </c>
      <c r="G1025" t="s">
        <v>39</v>
      </c>
      <c r="H1025">
        <v>1</v>
      </c>
      <c r="I1025">
        <v>2</v>
      </c>
      <c r="J1025" t="str">
        <f t="shared" si="31"/>
        <v>College</v>
      </c>
      <c r="K1025" t="s">
        <v>34</v>
      </c>
      <c r="L1025">
        <v>1</v>
      </c>
      <c r="M1025" t="s">
        <v>35</v>
      </c>
      <c r="N1025" s="2">
        <v>90</v>
      </c>
      <c r="O1025">
        <v>3</v>
      </c>
      <c r="P1025">
        <v>1</v>
      </c>
      <c r="Q1025" t="s">
        <v>41</v>
      </c>
      <c r="R1025">
        <v>1</v>
      </c>
      <c r="S1025" t="s">
        <v>42</v>
      </c>
      <c r="T1025" s="2">
        <v>2066</v>
      </c>
      <c r="U1025" s="2">
        <v>10494</v>
      </c>
      <c r="V1025">
        <v>2</v>
      </c>
      <c r="W1025" t="s">
        <v>38</v>
      </c>
      <c r="X1025">
        <v>22</v>
      </c>
      <c r="Y1025">
        <v>4</v>
      </c>
      <c r="Z1025">
        <v>4</v>
      </c>
      <c r="AA1025">
        <v>80</v>
      </c>
      <c r="AB1025">
        <v>1</v>
      </c>
      <c r="AC1025">
        <v>5</v>
      </c>
      <c r="AD1025">
        <v>3</v>
      </c>
      <c r="AE1025">
        <v>4</v>
      </c>
      <c r="AF1025">
        <v>3</v>
      </c>
      <c r="AG1025">
        <v>2</v>
      </c>
      <c r="AH1025">
        <v>1</v>
      </c>
      <c r="AI1025">
        <v>0</v>
      </c>
    </row>
    <row r="1026" spans="1:35" x14ac:dyDescent="0.25">
      <c r="A1026">
        <v>47</v>
      </c>
      <c r="B1026" t="str">
        <f t="shared" ref="B1026:B1089" si="32">IF(A1026="","",IF(A1026&lt;25,"18-24",
 IF(A1026&lt;35,"25-34",
 IF(A1026&lt;45,"35-44",
 IF(A1026&lt;55,"45-54",
 IF(A1026&lt;65,"55-64","65+"))))))</f>
        <v>45-54</v>
      </c>
      <c r="C1026" s="1" t="s">
        <v>38</v>
      </c>
      <c r="D1026" s="17">
        <f>IF(Table1[[#This Row],[Attrition]]="Yes",1,0)</f>
        <v>0</v>
      </c>
      <c r="E1026" t="s">
        <v>57</v>
      </c>
      <c r="F1026" s="2">
        <v>359</v>
      </c>
      <c r="G1026" t="s">
        <v>39</v>
      </c>
      <c r="H1026">
        <v>2</v>
      </c>
      <c r="I1026">
        <v>4</v>
      </c>
      <c r="J1026" t="str">
        <f t="shared" ref="J1026:J1089" si="33">CHOOSE(I1026,"Below College","College","Bachelor","Master","Doctor")</f>
        <v>Master</v>
      </c>
      <c r="K1026" t="s">
        <v>45</v>
      </c>
      <c r="L1026">
        <v>1</v>
      </c>
      <c r="M1026" t="s">
        <v>35</v>
      </c>
      <c r="N1026" s="2">
        <v>82</v>
      </c>
      <c r="O1026">
        <v>3</v>
      </c>
      <c r="P1026">
        <v>4</v>
      </c>
      <c r="Q1026" t="s">
        <v>52</v>
      </c>
      <c r="R1026">
        <v>3</v>
      </c>
      <c r="S1026" t="s">
        <v>42</v>
      </c>
      <c r="T1026" s="2">
        <v>17169</v>
      </c>
      <c r="U1026" s="2">
        <v>26703</v>
      </c>
      <c r="V1026">
        <v>3</v>
      </c>
      <c r="W1026" t="s">
        <v>38</v>
      </c>
      <c r="X1026">
        <v>19</v>
      </c>
      <c r="Y1026">
        <v>3</v>
      </c>
      <c r="Z1026">
        <v>2</v>
      </c>
      <c r="AA1026">
        <v>80</v>
      </c>
      <c r="AB1026">
        <v>2</v>
      </c>
      <c r="AC1026">
        <v>26</v>
      </c>
      <c r="AD1026">
        <v>2</v>
      </c>
      <c r="AE1026">
        <v>4</v>
      </c>
      <c r="AF1026">
        <v>20</v>
      </c>
      <c r="AG1026">
        <v>17</v>
      </c>
      <c r="AH1026">
        <v>5</v>
      </c>
      <c r="AI1026">
        <v>6</v>
      </c>
    </row>
    <row r="1027" spans="1:35" x14ac:dyDescent="0.25">
      <c r="A1027">
        <v>24</v>
      </c>
      <c r="B1027" t="str">
        <f t="shared" si="32"/>
        <v>18-24</v>
      </c>
      <c r="C1027" s="1" t="s">
        <v>38</v>
      </c>
      <c r="D1027" s="17">
        <f>IF(Table1[[#This Row],[Attrition]]="Yes",1,0)</f>
        <v>0</v>
      </c>
      <c r="E1027" t="s">
        <v>57</v>
      </c>
      <c r="F1027" s="2">
        <v>1476</v>
      </c>
      <c r="G1027" t="s">
        <v>33</v>
      </c>
      <c r="H1027">
        <v>4</v>
      </c>
      <c r="I1027">
        <v>1</v>
      </c>
      <c r="J1027" t="str">
        <f t="shared" si="33"/>
        <v>Below College</v>
      </c>
      <c r="K1027" t="s">
        <v>45</v>
      </c>
      <c r="L1027">
        <v>4</v>
      </c>
      <c r="M1027" t="s">
        <v>35</v>
      </c>
      <c r="N1027" s="2">
        <v>42</v>
      </c>
      <c r="O1027">
        <v>3</v>
      </c>
      <c r="P1027">
        <v>2</v>
      </c>
      <c r="Q1027" t="s">
        <v>36</v>
      </c>
      <c r="R1027">
        <v>3</v>
      </c>
      <c r="S1027" t="s">
        <v>42</v>
      </c>
      <c r="T1027" s="2">
        <v>4162</v>
      </c>
      <c r="U1027" s="2">
        <v>15211</v>
      </c>
      <c r="V1027">
        <v>1</v>
      </c>
      <c r="W1027" t="s">
        <v>32</v>
      </c>
      <c r="X1027">
        <v>12</v>
      </c>
      <c r="Y1027">
        <v>3</v>
      </c>
      <c r="Z1027">
        <v>3</v>
      </c>
      <c r="AA1027">
        <v>80</v>
      </c>
      <c r="AB1027">
        <v>2</v>
      </c>
      <c r="AC1027">
        <v>5</v>
      </c>
      <c r="AD1027">
        <v>3</v>
      </c>
      <c r="AE1027">
        <v>3</v>
      </c>
      <c r="AF1027">
        <v>5</v>
      </c>
      <c r="AG1027">
        <v>4</v>
      </c>
      <c r="AH1027">
        <v>0</v>
      </c>
      <c r="AI1027">
        <v>3</v>
      </c>
    </row>
    <row r="1028" spans="1:35" x14ac:dyDescent="0.25">
      <c r="A1028">
        <v>32</v>
      </c>
      <c r="B1028" t="str">
        <f t="shared" si="32"/>
        <v>25-34</v>
      </c>
      <c r="C1028" s="1" t="s">
        <v>38</v>
      </c>
      <c r="D1028" s="17">
        <f>IF(Table1[[#This Row],[Attrition]]="Yes",1,0)</f>
        <v>0</v>
      </c>
      <c r="E1028" t="s">
        <v>57</v>
      </c>
      <c r="F1028" s="2">
        <v>601</v>
      </c>
      <c r="G1028" t="s">
        <v>33</v>
      </c>
      <c r="H1028">
        <v>7</v>
      </c>
      <c r="I1028">
        <v>5</v>
      </c>
      <c r="J1028" t="str">
        <f t="shared" si="33"/>
        <v>Doctor</v>
      </c>
      <c r="K1028" t="s">
        <v>53</v>
      </c>
      <c r="L1028">
        <v>4</v>
      </c>
      <c r="M1028" t="s">
        <v>40</v>
      </c>
      <c r="N1028" s="2">
        <v>97</v>
      </c>
      <c r="O1028">
        <v>3</v>
      </c>
      <c r="P1028">
        <v>2</v>
      </c>
      <c r="Q1028" t="s">
        <v>36</v>
      </c>
      <c r="R1028">
        <v>4</v>
      </c>
      <c r="S1028" t="s">
        <v>42</v>
      </c>
      <c r="T1028" s="2">
        <v>9204</v>
      </c>
      <c r="U1028" s="2">
        <v>23343</v>
      </c>
      <c r="V1028">
        <v>4</v>
      </c>
      <c r="W1028" t="s">
        <v>38</v>
      </c>
      <c r="X1028">
        <v>12</v>
      </c>
      <c r="Y1028">
        <v>3</v>
      </c>
      <c r="Z1028">
        <v>3</v>
      </c>
      <c r="AA1028">
        <v>80</v>
      </c>
      <c r="AB1028">
        <v>1</v>
      </c>
      <c r="AC1028">
        <v>7</v>
      </c>
      <c r="AD1028">
        <v>3</v>
      </c>
      <c r="AE1028">
        <v>2</v>
      </c>
      <c r="AF1028">
        <v>4</v>
      </c>
      <c r="AG1028">
        <v>3</v>
      </c>
      <c r="AH1028">
        <v>0</v>
      </c>
      <c r="AI1028">
        <v>3</v>
      </c>
    </row>
    <row r="1029" spans="1:35" x14ac:dyDescent="0.25">
      <c r="A1029">
        <v>34</v>
      </c>
      <c r="B1029" t="str">
        <f t="shared" si="32"/>
        <v>25-34</v>
      </c>
      <c r="C1029" s="1" t="s">
        <v>38</v>
      </c>
      <c r="D1029" s="17">
        <f>IF(Table1[[#This Row],[Attrition]]="Yes",1,0)</f>
        <v>0</v>
      </c>
      <c r="E1029" t="s">
        <v>57</v>
      </c>
      <c r="F1029" s="2">
        <v>401</v>
      </c>
      <c r="G1029" t="s">
        <v>39</v>
      </c>
      <c r="H1029">
        <v>1</v>
      </c>
      <c r="I1029">
        <v>3</v>
      </c>
      <c r="J1029" t="str">
        <f t="shared" si="33"/>
        <v>Bachelor</v>
      </c>
      <c r="K1029" t="s">
        <v>34</v>
      </c>
      <c r="L1029">
        <v>4</v>
      </c>
      <c r="M1029" t="s">
        <v>35</v>
      </c>
      <c r="N1029" s="2">
        <v>86</v>
      </c>
      <c r="O1029">
        <v>2</v>
      </c>
      <c r="P1029">
        <v>1</v>
      </c>
      <c r="Q1029" t="s">
        <v>44</v>
      </c>
      <c r="R1029">
        <v>2</v>
      </c>
      <c r="S1029" t="s">
        <v>42</v>
      </c>
      <c r="T1029" s="2">
        <v>3294</v>
      </c>
      <c r="U1029" s="2">
        <v>3708</v>
      </c>
      <c r="V1029">
        <v>5</v>
      </c>
      <c r="W1029" t="s">
        <v>38</v>
      </c>
      <c r="X1029">
        <v>17</v>
      </c>
      <c r="Y1029">
        <v>3</v>
      </c>
      <c r="Z1029">
        <v>1</v>
      </c>
      <c r="AA1029">
        <v>80</v>
      </c>
      <c r="AB1029">
        <v>1</v>
      </c>
      <c r="AC1029">
        <v>7</v>
      </c>
      <c r="AD1029">
        <v>2</v>
      </c>
      <c r="AE1029">
        <v>2</v>
      </c>
      <c r="AF1029">
        <v>5</v>
      </c>
      <c r="AG1029">
        <v>4</v>
      </c>
      <c r="AH1029">
        <v>0</v>
      </c>
      <c r="AI1029">
        <v>2</v>
      </c>
    </row>
    <row r="1030" spans="1:35" x14ac:dyDescent="0.25">
      <c r="A1030">
        <v>41</v>
      </c>
      <c r="B1030" t="str">
        <f t="shared" si="32"/>
        <v>35-44</v>
      </c>
      <c r="C1030" s="1" t="s">
        <v>38</v>
      </c>
      <c r="D1030" s="17">
        <f>IF(Table1[[#This Row],[Attrition]]="Yes",1,0)</f>
        <v>0</v>
      </c>
      <c r="E1030" t="s">
        <v>57</v>
      </c>
      <c r="F1030" s="2">
        <v>1283</v>
      </c>
      <c r="G1030" t="s">
        <v>39</v>
      </c>
      <c r="H1030">
        <v>5</v>
      </c>
      <c r="I1030">
        <v>5</v>
      </c>
      <c r="J1030" t="str">
        <f t="shared" si="33"/>
        <v>Doctor</v>
      </c>
      <c r="K1030" t="s">
        <v>45</v>
      </c>
      <c r="L1030">
        <v>2</v>
      </c>
      <c r="M1030" t="s">
        <v>40</v>
      </c>
      <c r="N1030" s="2">
        <v>90</v>
      </c>
      <c r="O1030">
        <v>4</v>
      </c>
      <c r="P1030">
        <v>1</v>
      </c>
      <c r="Q1030" t="s">
        <v>41</v>
      </c>
      <c r="R1030">
        <v>3</v>
      </c>
      <c r="S1030" t="s">
        <v>42</v>
      </c>
      <c r="T1030" s="2">
        <v>2127</v>
      </c>
      <c r="U1030" s="2">
        <v>5561</v>
      </c>
      <c r="V1030">
        <v>2</v>
      </c>
      <c r="W1030" t="s">
        <v>32</v>
      </c>
      <c r="X1030">
        <v>12</v>
      </c>
      <c r="Y1030">
        <v>3</v>
      </c>
      <c r="Z1030">
        <v>1</v>
      </c>
      <c r="AA1030">
        <v>80</v>
      </c>
      <c r="AB1030">
        <v>0</v>
      </c>
      <c r="AC1030">
        <v>7</v>
      </c>
      <c r="AD1030">
        <v>5</v>
      </c>
      <c r="AE1030">
        <v>2</v>
      </c>
      <c r="AF1030">
        <v>4</v>
      </c>
      <c r="AG1030">
        <v>2</v>
      </c>
      <c r="AH1030">
        <v>0</v>
      </c>
      <c r="AI1030">
        <v>3</v>
      </c>
    </row>
    <row r="1031" spans="1:35" x14ac:dyDescent="0.25">
      <c r="A1031">
        <v>40</v>
      </c>
      <c r="B1031" t="str">
        <f t="shared" si="32"/>
        <v>35-44</v>
      </c>
      <c r="C1031" s="1" t="s">
        <v>38</v>
      </c>
      <c r="D1031" s="17">
        <f>IF(Table1[[#This Row],[Attrition]]="Yes",1,0)</f>
        <v>0</v>
      </c>
      <c r="E1031" t="s">
        <v>49</v>
      </c>
      <c r="F1031" s="2">
        <v>663</v>
      </c>
      <c r="G1031" t="s">
        <v>39</v>
      </c>
      <c r="H1031">
        <v>9</v>
      </c>
      <c r="I1031">
        <v>4</v>
      </c>
      <c r="J1031" t="str">
        <f t="shared" si="33"/>
        <v>Master</v>
      </c>
      <c r="K1031" t="s">
        <v>43</v>
      </c>
      <c r="L1031">
        <v>3</v>
      </c>
      <c r="M1031" t="s">
        <v>40</v>
      </c>
      <c r="N1031" s="2">
        <v>81</v>
      </c>
      <c r="O1031">
        <v>3</v>
      </c>
      <c r="P1031">
        <v>2</v>
      </c>
      <c r="Q1031" t="s">
        <v>44</v>
      </c>
      <c r="R1031">
        <v>3</v>
      </c>
      <c r="S1031" t="s">
        <v>46</v>
      </c>
      <c r="T1031" s="2">
        <v>3975</v>
      </c>
      <c r="U1031" s="2">
        <v>23099</v>
      </c>
      <c r="V1031">
        <v>3</v>
      </c>
      <c r="W1031" t="s">
        <v>38</v>
      </c>
      <c r="X1031">
        <v>11</v>
      </c>
      <c r="Y1031">
        <v>3</v>
      </c>
      <c r="Z1031">
        <v>3</v>
      </c>
      <c r="AA1031">
        <v>80</v>
      </c>
      <c r="AB1031">
        <v>2</v>
      </c>
      <c r="AC1031">
        <v>11</v>
      </c>
      <c r="AD1031">
        <v>2</v>
      </c>
      <c r="AE1031">
        <v>4</v>
      </c>
      <c r="AF1031">
        <v>8</v>
      </c>
      <c r="AG1031">
        <v>7</v>
      </c>
      <c r="AH1031">
        <v>0</v>
      </c>
      <c r="AI1031">
        <v>7</v>
      </c>
    </row>
    <row r="1032" spans="1:35" x14ac:dyDescent="0.25">
      <c r="A1032">
        <v>31</v>
      </c>
      <c r="B1032" t="str">
        <f t="shared" si="32"/>
        <v>25-34</v>
      </c>
      <c r="C1032" s="1" t="s">
        <v>38</v>
      </c>
      <c r="D1032" s="17">
        <f>IF(Table1[[#This Row],[Attrition]]="Yes",1,0)</f>
        <v>0</v>
      </c>
      <c r="E1032" t="s">
        <v>57</v>
      </c>
      <c r="F1032" s="2">
        <v>326</v>
      </c>
      <c r="G1032" t="s">
        <v>33</v>
      </c>
      <c r="H1032">
        <v>8</v>
      </c>
      <c r="I1032">
        <v>2</v>
      </c>
      <c r="J1032" t="str">
        <f t="shared" si="33"/>
        <v>College</v>
      </c>
      <c r="K1032" t="s">
        <v>34</v>
      </c>
      <c r="L1032">
        <v>1</v>
      </c>
      <c r="M1032" t="s">
        <v>40</v>
      </c>
      <c r="N1032" s="2">
        <v>31</v>
      </c>
      <c r="O1032">
        <v>3</v>
      </c>
      <c r="P1032">
        <v>3</v>
      </c>
      <c r="Q1032" t="s">
        <v>36</v>
      </c>
      <c r="R1032">
        <v>4</v>
      </c>
      <c r="S1032" t="s">
        <v>46</v>
      </c>
      <c r="T1032" s="2">
        <v>10793</v>
      </c>
      <c r="U1032" s="2">
        <v>8386</v>
      </c>
      <c r="V1032">
        <v>1</v>
      </c>
      <c r="W1032" t="s">
        <v>38</v>
      </c>
      <c r="X1032">
        <v>18</v>
      </c>
      <c r="Y1032">
        <v>3</v>
      </c>
      <c r="Z1032">
        <v>1</v>
      </c>
      <c r="AA1032">
        <v>80</v>
      </c>
      <c r="AB1032">
        <v>1</v>
      </c>
      <c r="AC1032">
        <v>13</v>
      </c>
      <c r="AD1032">
        <v>5</v>
      </c>
      <c r="AE1032">
        <v>3</v>
      </c>
      <c r="AF1032">
        <v>13</v>
      </c>
      <c r="AG1032">
        <v>7</v>
      </c>
      <c r="AH1032">
        <v>9</v>
      </c>
      <c r="AI1032">
        <v>9</v>
      </c>
    </row>
    <row r="1033" spans="1:35" x14ac:dyDescent="0.25">
      <c r="A1033">
        <v>46</v>
      </c>
      <c r="B1033" t="str">
        <f t="shared" si="32"/>
        <v>45-54</v>
      </c>
      <c r="C1033" s="1" t="s">
        <v>32</v>
      </c>
      <c r="D1033" s="17">
        <f>IF(Table1[[#This Row],[Attrition]]="Yes",1,0)</f>
        <v>1</v>
      </c>
      <c r="E1033" t="s">
        <v>57</v>
      </c>
      <c r="F1033" s="2">
        <v>377</v>
      </c>
      <c r="G1033" t="s">
        <v>33</v>
      </c>
      <c r="H1033">
        <v>9</v>
      </c>
      <c r="I1033">
        <v>3</v>
      </c>
      <c r="J1033" t="str">
        <f t="shared" si="33"/>
        <v>Bachelor</v>
      </c>
      <c r="K1033" t="s">
        <v>53</v>
      </c>
      <c r="L1033">
        <v>1</v>
      </c>
      <c r="M1033" t="s">
        <v>40</v>
      </c>
      <c r="N1033" s="2">
        <v>52</v>
      </c>
      <c r="O1033">
        <v>3</v>
      </c>
      <c r="P1033">
        <v>3</v>
      </c>
      <c r="Q1033" t="s">
        <v>36</v>
      </c>
      <c r="R1033">
        <v>4</v>
      </c>
      <c r="S1033" t="s">
        <v>46</v>
      </c>
      <c r="T1033" s="2">
        <v>10096</v>
      </c>
      <c r="U1033" s="2">
        <v>15986</v>
      </c>
      <c r="V1033">
        <v>4</v>
      </c>
      <c r="W1033" t="s">
        <v>38</v>
      </c>
      <c r="X1033">
        <v>11</v>
      </c>
      <c r="Y1033">
        <v>3</v>
      </c>
      <c r="Z1033">
        <v>1</v>
      </c>
      <c r="AA1033">
        <v>80</v>
      </c>
      <c r="AB1033">
        <v>1</v>
      </c>
      <c r="AC1033">
        <v>28</v>
      </c>
      <c r="AD1033">
        <v>1</v>
      </c>
      <c r="AE1033">
        <v>4</v>
      </c>
      <c r="AF1033">
        <v>7</v>
      </c>
      <c r="AG1033">
        <v>7</v>
      </c>
      <c r="AH1033">
        <v>4</v>
      </c>
      <c r="AI1033">
        <v>3</v>
      </c>
    </row>
    <row r="1034" spans="1:35" x14ac:dyDescent="0.25">
      <c r="A1034">
        <v>39</v>
      </c>
      <c r="B1034" t="str">
        <f t="shared" si="32"/>
        <v>35-44</v>
      </c>
      <c r="C1034" s="1" t="s">
        <v>32</v>
      </c>
      <c r="D1034" s="17">
        <f>IF(Table1[[#This Row],[Attrition]]="Yes",1,0)</f>
        <v>1</v>
      </c>
      <c r="E1034" t="s">
        <v>49</v>
      </c>
      <c r="F1034" s="2">
        <v>592</v>
      </c>
      <c r="G1034" t="s">
        <v>39</v>
      </c>
      <c r="H1034">
        <v>2</v>
      </c>
      <c r="I1034">
        <v>3</v>
      </c>
      <c r="J1034" t="str">
        <f t="shared" si="33"/>
        <v>Bachelor</v>
      </c>
      <c r="K1034" t="s">
        <v>34</v>
      </c>
      <c r="L1034">
        <v>1</v>
      </c>
      <c r="M1034" t="s">
        <v>35</v>
      </c>
      <c r="N1034" s="2">
        <v>54</v>
      </c>
      <c r="O1034">
        <v>2</v>
      </c>
      <c r="P1034">
        <v>1</v>
      </c>
      <c r="Q1034" t="s">
        <v>44</v>
      </c>
      <c r="R1034">
        <v>1</v>
      </c>
      <c r="S1034" t="s">
        <v>37</v>
      </c>
      <c r="T1034" s="2">
        <v>3646</v>
      </c>
      <c r="U1034" s="2">
        <v>17181</v>
      </c>
      <c r="V1034">
        <v>2</v>
      </c>
      <c r="W1034" t="s">
        <v>32</v>
      </c>
      <c r="X1034">
        <v>23</v>
      </c>
      <c r="Y1034">
        <v>4</v>
      </c>
      <c r="Z1034">
        <v>2</v>
      </c>
      <c r="AA1034">
        <v>80</v>
      </c>
      <c r="AB1034">
        <v>0</v>
      </c>
      <c r="AC1034">
        <v>11</v>
      </c>
      <c r="AD1034">
        <v>2</v>
      </c>
      <c r="AE1034">
        <v>4</v>
      </c>
      <c r="AF1034">
        <v>1</v>
      </c>
      <c r="AG1034">
        <v>0</v>
      </c>
      <c r="AH1034">
        <v>0</v>
      </c>
      <c r="AI1034">
        <v>0</v>
      </c>
    </row>
    <row r="1035" spans="1:35" x14ac:dyDescent="0.25">
      <c r="A1035">
        <v>31</v>
      </c>
      <c r="B1035" t="str">
        <f t="shared" si="32"/>
        <v>25-34</v>
      </c>
      <c r="C1035" s="1" t="s">
        <v>32</v>
      </c>
      <c r="D1035" s="17">
        <f>IF(Table1[[#This Row],[Attrition]]="Yes",1,0)</f>
        <v>1</v>
      </c>
      <c r="E1035" t="s">
        <v>58</v>
      </c>
      <c r="F1035" s="2">
        <v>1445</v>
      </c>
      <c r="G1035" t="s">
        <v>39</v>
      </c>
      <c r="H1035">
        <v>1</v>
      </c>
      <c r="I1035">
        <v>5</v>
      </c>
      <c r="J1035" t="str">
        <f t="shared" si="33"/>
        <v>Doctor</v>
      </c>
      <c r="K1035" t="s">
        <v>34</v>
      </c>
      <c r="L1035">
        <v>3</v>
      </c>
      <c r="M1035" t="s">
        <v>35</v>
      </c>
      <c r="N1035" s="2">
        <v>100</v>
      </c>
      <c r="O1035">
        <v>4</v>
      </c>
      <c r="P1035">
        <v>3</v>
      </c>
      <c r="Q1035" t="s">
        <v>47</v>
      </c>
      <c r="R1035">
        <v>2</v>
      </c>
      <c r="S1035" t="s">
        <v>37</v>
      </c>
      <c r="T1035" s="2">
        <v>7446</v>
      </c>
      <c r="U1035" s="2">
        <v>8931</v>
      </c>
      <c r="V1035">
        <v>1</v>
      </c>
      <c r="W1035" t="s">
        <v>38</v>
      </c>
      <c r="X1035">
        <v>11</v>
      </c>
      <c r="Y1035">
        <v>3</v>
      </c>
      <c r="Z1035">
        <v>1</v>
      </c>
      <c r="AA1035">
        <v>80</v>
      </c>
      <c r="AB1035">
        <v>0</v>
      </c>
      <c r="AC1035">
        <v>10</v>
      </c>
      <c r="AD1035">
        <v>2</v>
      </c>
      <c r="AE1035">
        <v>3</v>
      </c>
      <c r="AF1035">
        <v>10</v>
      </c>
      <c r="AG1035">
        <v>8</v>
      </c>
      <c r="AH1035">
        <v>4</v>
      </c>
      <c r="AI1035">
        <v>7</v>
      </c>
    </row>
    <row r="1036" spans="1:35" x14ac:dyDescent="0.25">
      <c r="A1036">
        <v>45</v>
      </c>
      <c r="B1036" t="str">
        <f t="shared" si="32"/>
        <v>45-54</v>
      </c>
      <c r="C1036" s="1" t="s">
        <v>38</v>
      </c>
      <c r="D1036" s="17">
        <f>IF(Table1[[#This Row],[Attrition]]="Yes",1,0)</f>
        <v>0</v>
      </c>
      <c r="E1036" t="s">
        <v>57</v>
      </c>
      <c r="F1036" s="2">
        <v>1038</v>
      </c>
      <c r="G1036" t="s">
        <v>39</v>
      </c>
      <c r="H1036">
        <v>20</v>
      </c>
      <c r="I1036">
        <v>3</v>
      </c>
      <c r="J1036" t="str">
        <f t="shared" si="33"/>
        <v>Bachelor</v>
      </c>
      <c r="K1036" t="s">
        <v>45</v>
      </c>
      <c r="L1036">
        <v>2</v>
      </c>
      <c r="M1036" t="s">
        <v>40</v>
      </c>
      <c r="N1036" s="2">
        <v>95</v>
      </c>
      <c r="O1036">
        <v>1</v>
      </c>
      <c r="P1036">
        <v>3</v>
      </c>
      <c r="Q1036" t="s">
        <v>48</v>
      </c>
      <c r="R1036">
        <v>1</v>
      </c>
      <c r="S1036" t="s">
        <v>46</v>
      </c>
      <c r="T1036" s="2">
        <v>10851</v>
      </c>
      <c r="U1036" s="2">
        <v>19863</v>
      </c>
      <c r="V1036">
        <v>2</v>
      </c>
      <c r="W1036" t="s">
        <v>32</v>
      </c>
      <c r="X1036">
        <v>18</v>
      </c>
      <c r="Y1036">
        <v>3</v>
      </c>
      <c r="Z1036">
        <v>2</v>
      </c>
      <c r="AA1036">
        <v>80</v>
      </c>
      <c r="AB1036">
        <v>1</v>
      </c>
      <c r="AC1036">
        <v>24</v>
      </c>
      <c r="AD1036">
        <v>2</v>
      </c>
      <c r="AE1036">
        <v>3</v>
      </c>
      <c r="AF1036">
        <v>7</v>
      </c>
      <c r="AG1036">
        <v>7</v>
      </c>
      <c r="AH1036">
        <v>0</v>
      </c>
      <c r="AI1036">
        <v>7</v>
      </c>
    </row>
    <row r="1037" spans="1:35" x14ac:dyDescent="0.25">
      <c r="A1037">
        <v>31</v>
      </c>
      <c r="B1037" t="str">
        <f t="shared" si="32"/>
        <v>25-34</v>
      </c>
      <c r="C1037" s="1" t="s">
        <v>38</v>
      </c>
      <c r="D1037" s="17">
        <f>IF(Table1[[#This Row],[Attrition]]="Yes",1,0)</f>
        <v>0</v>
      </c>
      <c r="E1037" t="s">
        <v>57</v>
      </c>
      <c r="F1037" s="2">
        <v>1398</v>
      </c>
      <c r="G1037" t="s">
        <v>55</v>
      </c>
      <c r="H1037">
        <v>8</v>
      </c>
      <c r="I1037">
        <v>2</v>
      </c>
      <c r="J1037" t="str">
        <f t="shared" si="33"/>
        <v>College</v>
      </c>
      <c r="K1037" t="s">
        <v>45</v>
      </c>
      <c r="L1037">
        <v>4</v>
      </c>
      <c r="M1037" t="s">
        <v>35</v>
      </c>
      <c r="N1037" s="2">
        <v>96</v>
      </c>
      <c r="O1037">
        <v>4</v>
      </c>
      <c r="P1037">
        <v>1</v>
      </c>
      <c r="Q1037" t="s">
        <v>55</v>
      </c>
      <c r="R1037">
        <v>2</v>
      </c>
      <c r="S1037" t="s">
        <v>37</v>
      </c>
      <c r="T1037" s="2">
        <v>2109</v>
      </c>
      <c r="U1037" s="2">
        <v>24609</v>
      </c>
      <c r="V1037">
        <v>9</v>
      </c>
      <c r="W1037" t="s">
        <v>38</v>
      </c>
      <c r="X1037">
        <v>18</v>
      </c>
      <c r="Y1037">
        <v>3</v>
      </c>
      <c r="Z1037">
        <v>4</v>
      </c>
      <c r="AA1037">
        <v>80</v>
      </c>
      <c r="AB1037">
        <v>0</v>
      </c>
      <c r="AC1037">
        <v>8</v>
      </c>
      <c r="AD1037">
        <v>3</v>
      </c>
      <c r="AE1037">
        <v>3</v>
      </c>
      <c r="AF1037">
        <v>3</v>
      </c>
      <c r="AG1037">
        <v>2</v>
      </c>
      <c r="AH1037">
        <v>0</v>
      </c>
      <c r="AI1037">
        <v>2</v>
      </c>
    </row>
    <row r="1038" spans="1:35" x14ac:dyDescent="0.25">
      <c r="A1038">
        <v>31</v>
      </c>
      <c r="B1038" t="str">
        <f t="shared" si="32"/>
        <v>25-34</v>
      </c>
      <c r="C1038" s="1" t="s">
        <v>32</v>
      </c>
      <c r="D1038" s="17">
        <f>IF(Table1[[#This Row],[Attrition]]="Yes",1,0)</f>
        <v>1</v>
      </c>
      <c r="E1038" t="s">
        <v>58</v>
      </c>
      <c r="F1038" s="2">
        <v>523</v>
      </c>
      <c r="G1038" t="s">
        <v>39</v>
      </c>
      <c r="H1038">
        <v>2</v>
      </c>
      <c r="I1038">
        <v>3</v>
      </c>
      <c r="J1038" t="str">
        <f t="shared" si="33"/>
        <v>Bachelor</v>
      </c>
      <c r="K1038" t="s">
        <v>34</v>
      </c>
      <c r="L1038">
        <v>2</v>
      </c>
      <c r="M1038" t="s">
        <v>40</v>
      </c>
      <c r="N1038" s="2">
        <v>94</v>
      </c>
      <c r="O1038">
        <v>3</v>
      </c>
      <c r="P1038">
        <v>1</v>
      </c>
      <c r="Q1038" t="s">
        <v>44</v>
      </c>
      <c r="R1038">
        <v>4</v>
      </c>
      <c r="S1038" t="s">
        <v>42</v>
      </c>
      <c r="T1038" s="2">
        <v>3722</v>
      </c>
      <c r="U1038" s="2">
        <v>21081</v>
      </c>
      <c r="V1038">
        <v>6</v>
      </c>
      <c r="W1038" t="s">
        <v>32</v>
      </c>
      <c r="X1038">
        <v>13</v>
      </c>
      <c r="Y1038">
        <v>3</v>
      </c>
      <c r="Z1038">
        <v>3</v>
      </c>
      <c r="AA1038">
        <v>80</v>
      </c>
      <c r="AB1038">
        <v>1</v>
      </c>
      <c r="AC1038">
        <v>7</v>
      </c>
      <c r="AD1038">
        <v>2</v>
      </c>
      <c r="AE1038">
        <v>1</v>
      </c>
      <c r="AF1038">
        <v>2</v>
      </c>
      <c r="AG1038">
        <v>2</v>
      </c>
      <c r="AH1038">
        <v>2</v>
      </c>
      <c r="AI1038">
        <v>2</v>
      </c>
    </row>
    <row r="1039" spans="1:35" x14ac:dyDescent="0.25">
      <c r="A1039">
        <v>45</v>
      </c>
      <c r="B1039" t="str">
        <f t="shared" si="32"/>
        <v>45-54</v>
      </c>
      <c r="C1039" s="1" t="s">
        <v>38</v>
      </c>
      <c r="D1039" s="17">
        <f>IF(Table1[[#This Row],[Attrition]]="Yes",1,0)</f>
        <v>0</v>
      </c>
      <c r="E1039" t="s">
        <v>57</v>
      </c>
      <c r="F1039" s="2">
        <v>1448</v>
      </c>
      <c r="G1039" t="s">
        <v>39</v>
      </c>
      <c r="H1039">
        <v>29</v>
      </c>
      <c r="I1039">
        <v>3</v>
      </c>
      <c r="J1039" t="str">
        <f t="shared" si="33"/>
        <v>Bachelor</v>
      </c>
      <c r="K1039" t="s">
        <v>54</v>
      </c>
      <c r="L1039">
        <v>2</v>
      </c>
      <c r="M1039" t="s">
        <v>40</v>
      </c>
      <c r="N1039" s="2">
        <v>55</v>
      </c>
      <c r="O1039">
        <v>3</v>
      </c>
      <c r="P1039">
        <v>3</v>
      </c>
      <c r="Q1039" t="s">
        <v>47</v>
      </c>
      <c r="R1039">
        <v>4</v>
      </c>
      <c r="S1039" t="s">
        <v>42</v>
      </c>
      <c r="T1039" s="2">
        <v>9380</v>
      </c>
      <c r="U1039" s="2">
        <v>14720</v>
      </c>
      <c r="V1039">
        <v>4</v>
      </c>
      <c r="W1039" t="s">
        <v>32</v>
      </c>
      <c r="X1039">
        <v>18</v>
      </c>
      <c r="Y1039">
        <v>3</v>
      </c>
      <c r="Z1039">
        <v>4</v>
      </c>
      <c r="AA1039">
        <v>80</v>
      </c>
      <c r="AB1039">
        <v>2</v>
      </c>
      <c r="AC1039">
        <v>10</v>
      </c>
      <c r="AD1039">
        <v>4</v>
      </c>
      <c r="AE1039">
        <v>4</v>
      </c>
      <c r="AF1039">
        <v>3</v>
      </c>
      <c r="AG1039">
        <v>1</v>
      </c>
      <c r="AH1039">
        <v>1</v>
      </c>
      <c r="AI1039">
        <v>2</v>
      </c>
    </row>
    <row r="1040" spans="1:35" x14ac:dyDescent="0.25">
      <c r="A1040">
        <v>48</v>
      </c>
      <c r="B1040" t="str">
        <f t="shared" si="32"/>
        <v>45-54</v>
      </c>
      <c r="C1040" s="1" t="s">
        <v>38</v>
      </c>
      <c r="D1040" s="17">
        <f>IF(Table1[[#This Row],[Attrition]]="Yes",1,0)</f>
        <v>0</v>
      </c>
      <c r="E1040" t="s">
        <v>57</v>
      </c>
      <c r="F1040" s="2">
        <v>1221</v>
      </c>
      <c r="G1040" t="s">
        <v>33</v>
      </c>
      <c r="H1040">
        <v>7</v>
      </c>
      <c r="I1040">
        <v>3</v>
      </c>
      <c r="J1040" t="str">
        <f t="shared" si="33"/>
        <v>Bachelor</v>
      </c>
      <c r="K1040" t="s">
        <v>53</v>
      </c>
      <c r="L1040">
        <v>3</v>
      </c>
      <c r="M1040" t="s">
        <v>40</v>
      </c>
      <c r="N1040" s="2">
        <v>96</v>
      </c>
      <c r="O1040">
        <v>3</v>
      </c>
      <c r="P1040">
        <v>2</v>
      </c>
      <c r="Q1040" t="s">
        <v>36</v>
      </c>
      <c r="R1040">
        <v>1</v>
      </c>
      <c r="S1040" t="s">
        <v>46</v>
      </c>
      <c r="T1040" s="2">
        <v>5486</v>
      </c>
      <c r="U1040" s="2">
        <v>24795</v>
      </c>
      <c r="V1040">
        <v>4</v>
      </c>
      <c r="W1040" t="s">
        <v>38</v>
      </c>
      <c r="X1040">
        <v>11</v>
      </c>
      <c r="Y1040">
        <v>3</v>
      </c>
      <c r="Z1040">
        <v>1</v>
      </c>
      <c r="AA1040">
        <v>80</v>
      </c>
      <c r="AB1040">
        <v>3</v>
      </c>
      <c r="AC1040">
        <v>15</v>
      </c>
      <c r="AD1040">
        <v>3</v>
      </c>
      <c r="AE1040">
        <v>3</v>
      </c>
      <c r="AF1040">
        <v>2</v>
      </c>
      <c r="AG1040">
        <v>2</v>
      </c>
      <c r="AH1040">
        <v>2</v>
      </c>
      <c r="AI1040">
        <v>2</v>
      </c>
    </row>
    <row r="1041" spans="1:35" x14ac:dyDescent="0.25">
      <c r="A1041">
        <v>34</v>
      </c>
      <c r="B1041" t="str">
        <f t="shared" si="32"/>
        <v>25-34</v>
      </c>
      <c r="C1041" s="1" t="s">
        <v>32</v>
      </c>
      <c r="D1041" s="17">
        <f>IF(Table1[[#This Row],[Attrition]]="Yes",1,0)</f>
        <v>1</v>
      </c>
      <c r="E1041" t="s">
        <v>57</v>
      </c>
      <c r="F1041" s="2">
        <v>1107</v>
      </c>
      <c r="G1041" t="s">
        <v>55</v>
      </c>
      <c r="H1041">
        <v>9</v>
      </c>
      <c r="I1041">
        <v>4</v>
      </c>
      <c r="J1041" t="str">
        <f t="shared" si="33"/>
        <v>Master</v>
      </c>
      <c r="K1041" t="s">
        <v>54</v>
      </c>
      <c r="L1041">
        <v>1</v>
      </c>
      <c r="M1041" t="s">
        <v>35</v>
      </c>
      <c r="N1041" s="2">
        <v>52</v>
      </c>
      <c r="O1041">
        <v>3</v>
      </c>
      <c r="P1041">
        <v>1</v>
      </c>
      <c r="Q1041" t="s">
        <v>55</v>
      </c>
      <c r="R1041">
        <v>3</v>
      </c>
      <c r="S1041" t="s">
        <v>42</v>
      </c>
      <c r="T1041" s="2">
        <v>2742</v>
      </c>
      <c r="U1041" s="2">
        <v>3072</v>
      </c>
      <c r="V1041">
        <v>1</v>
      </c>
      <c r="W1041" t="s">
        <v>38</v>
      </c>
      <c r="X1041">
        <v>15</v>
      </c>
      <c r="Y1041">
        <v>3</v>
      </c>
      <c r="Z1041">
        <v>4</v>
      </c>
      <c r="AA1041">
        <v>80</v>
      </c>
      <c r="AB1041">
        <v>0</v>
      </c>
      <c r="AC1041">
        <v>2</v>
      </c>
      <c r="AD1041">
        <v>0</v>
      </c>
      <c r="AE1041">
        <v>3</v>
      </c>
      <c r="AF1041">
        <v>2</v>
      </c>
      <c r="AG1041">
        <v>2</v>
      </c>
      <c r="AH1041">
        <v>2</v>
      </c>
      <c r="AI1041">
        <v>2</v>
      </c>
    </row>
    <row r="1042" spans="1:35" x14ac:dyDescent="0.25">
      <c r="A1042">
        <v>40</v>
      </c>
      <c r="B1042" t="str">
        <f t="shared" si="32"/>
        <v>35-44</v>
      </c>
      <c r="C1042" s="1" t="s">
        <v>38</v>
      </c>
      <c r="D1042" s="17">
        <f>IF(Table1[[#This Row],[Attrition]]="Yes",1,0)</f>
        <v>0</v>
      </c>
      <c r="E1042" t="s">
        <v>49</v>
      </c>
      <c r="F1042" s="2">
        <v>218</v>
      </c>
      <c r="G1042" t="s">
        <v>39</v>
      </c>
      <c r="H1042">
        <v>8</v>
      </c>
      <c r="I1042">
        <v>1</v>
      </c>
      <c r="J1042" t="str">
        <f t="shared" si="33"/>
        <v>Below College</v>
      </c>
      <c r="K1042" t="s">
        <v>45</v>
      </c>
      <c r="L1042">
        <v>4</v>
      </c>
      <c r="M1042" t="s">
        <v>40</v>
      </c>
      <c r="N1042" s="2">
        <v>55</v>
      </c>
      <c r="O1042">
        <v>2</v>
      </c>
      <c r="P1042">
        <v>3</v>
      </c>
      <c r="Q1042" t="s">
        <v>52</v>
      </c>
      <c r="R1042">
        <v>2</v>
      </c>
      <c r="S1042" t="s">
        <v>46</v>
      </c>
      <c r="T1042" s="2">
        <v>13757</v>
      </c>
      <c r="U1042" s="2">
        <v>25178</v>
      </c>
      <c r="V1042">
        <v>2</v>
      </c>
      <c r="W1042" t="s">
        <v>38</v>
      </c>
      <c r="X1042">
        <v>11</v>
      </c>
      <c r="Y1042">
        <v>3</v>
      </c>
      <c r="Z1042">
        <v>3</v>
      </c>
      <c r="AA1042">
        <v>80</v>
      </c>
      <c r="AB1042">
        <v>1</v>
      </c>
      <c r="AC1042">
        <v>16</v>
      </c>
      <c r="AD1042">
        <v>5</v>
      </c>
      <c r="AE1042">
        <v>3</v>
      </c>
      <c r="AF1042">
        <v>9</v>
      </c>
      <c r="AG1042">
        <v>8</v>
      </c>
      <c r="AH1042">
        <v>4</v>
      </c>
      <c r="AI1042">
        <v>8</v>
      </c>
    </row>
    <row r="1043" spans="1:35" x14ac:dyDescent="0.25">
      <c r="A1043">
        <v>28</v>
      </c>
      <c r="B1043" t="str">
        <f t="shared" si="32"/>
        <v>25-34</v>
      </c>
      <c r="C1043" s="1" t="s">
        <v>38</v>
      </c>
      <c r="D1043" s="17">
        <f>IF(Table1[[#This Row],[Attrition]]="Yes",1,0)</f>
        <v>0</v>
      </c>
      <c r="E1043" t="s">
        <v>57</v>
      </c>
      <c r="F1043" s="2">
        <v>866</v>
      </c>
      <c r="G1043" t="s">
        <v>33</v>
      </c>
      <c r="H1043">
        <v>5</v>
      </c>
      <c r="I1043">
        <v>3</v>
      </c>
      <c r="J1043" t="str">
        <f t="shared" si="33"/>
        <v>Bachelor</v>
      </c>
      <c r="K1043" t="s">
        <v>45</v>
      </c>
      <c r="L1043">
        <v>4</v>
      </c>
      <c r="M1043" t="s">
        <v>40</v>
      </c>
      <c r="N1043" s="2">
        <v>84</v>
      </c>
      <c r="O1043">
        <v>3</v>
      </c>
      <c r="P1043">
        <v>2</v>
      </c>
      <c r="Q1043" t="s">
        <v>36</v>
      </c>
      <c r="R1043">
        <v>1</v>
      </c>
      <c r="S1043" t="s">
        <v>37</v>
      </c>
      <c r="T1043" s="2">
        <v>8463</v>
      </c>
      <c r="U1043" s="2">
        <v>23490</v>
      </c>
      <c r="V1043">
        <v>0</v>
      </c>
      <c r="W1043" t="s">
        <v>38</v>
      </c>
      <c r="X1043">
        <v>18</v>
      </c>
      <c r="Y1043">
        <v>3</v>
      </c>
      <c r="Z1043">
        <v>4</v>
      </c>
      <c r="AA1043">
        <v>80</v>
      </c>
      <c r="AB1043">
        <v>0</v>
      </c>
      <c r="AC1043">
        <v>6</v>
      </c>
      <c r="AD1043">
        <v>4</v>
      </c>
      <c r="AE1043">
        <v>3</v>
      </c>
      <c r="AF1043">
        <v>5</v>
      </c>
      <c r="AG1043">
        <v>4</v>
      </c>
      <c r="AH1043">
        <v>1</v>
      </c>
      <c r="AI1043">
        <v>3</v>
      </c>
    </row>
    <row r="1044" spans="1:35" x14ac:dyDescent="0.25">
      <c r="A1044">
        <v>44</v>
      </c>
      <c r="B1044" t="str">
        <f t="shared" si="32"/>
        <v>35-44</v>
      </c>
      <c r="C1044" s="1" t="s">
        <v>38</v>
      </c>
      <c r="D1044" s="17">
        <f>IF(Table1[[#This Row],[Attrition]]="Yes",1,0)</f>
        <v>0</v>
      </c>
      <c r="E1044" t="s">
        <v>49</v>
      </c>
      <c r="F1044" s="2">
        <v>981</v>
      </c>
      <c r="G1044" t="s">
        <v>39</v>
      </c>
      <c r="H1044">
        <v>5</v>
      </c>
      <c r="I1044">
        <v>3</v>
      </c>
      <c r="J1044" t="str">
        <f t="shared" si="33"/>
        <v>Bachelor</v>
      </c>
      <c r="K1044" t="s">
        <v>34</v>
      </c>
      <c r="L1044">
        <v>3</v>
      </c>
      <c r="M1044" t="s">
        <v>40</v>
      </c>
      <c r="N1044" s="2">
        <v>90</v>
      </c>
      <c r="O1044">
        <v>2</v>
      </c>
      <c r="P1044">
        <v>1</v>
      </c>
      <c r="Q1044" t="s">
        <v>44</v>
      </c>
      <c r="R1044">
        <v>3</v>
      </c>
      <c r="S1044" t="s">
        <v>37</v>
      </c>
      <c r="T1044" s="2">
        <v>3162</v>
      </c>
      <c r="U1044" s="2">
        <v>7973</v>
      </c>
      <c r="V1044">
        <v>3</v>
      </c>
      <c r="W1044" t="s">
        <v>38</v>
      </c>
      <c r="X1044">
        <v>14</v>
      </c>
      <c r="Y1044">
        <v>3</v>
      </c>
      <c r="Z1044">
        <v>4</v>
      </c>
      <c r="AA1044">
        <v>80</v>
      </c>
      <c r="AB1044">
        <v>0</v>
      </c>
      <c r="AC1044">
        <v>7</v>
      </c>
      <c r="AD1044">
        <v>5</v>
      </c>
      <c r="AE1044">
        <v>3</v>
      </c>
      <c r="AF1044">
        <v>5</v>
      </c>
      <c r="AG1044">
        <v>2</v>
      </c>
      <c r="AH1044">
        <v>0</v>
      </c>
      <c r="AI1044">
        <v>3</v>
      </c>
    </row>
    <row r="1045" spans="1:35" x14ac:dyDescent="0.25">
      <c r="A1045">
        <v>53</v>
      </c>
      <c r="B1045" t="str">
        <f t="shared" si="32"/>
        <v>45-54</v>
      </c>
      <c r="C1045" s="1" t="s">
        <v>38</v>
      </c>
      <c r="D1045" s="17">
        <f>IF(Table1[[#This Row],[Attrition]]="Yes",1,0)</f>
        <v>0</v>
      </c>
      <c r="E1045" t="s">
        <v>57</v>
      </c>
      <c r="F1045" s="2">
        <v>447</v>
      </c>
      <c r="G1045" t="s">
        <v>39</v>
      </c>
      <c r="H1045">
        <v>2</v>
      </c>
      <c r="I1045">
        <v>3</v>
      </c>
      <c r="J1045" t="str">
        <f t="shared" si="33"/>
        <v>Bachelor</v>
      </c>
      <c r="K1045" t="s">
        <v>45</v>
      </c>
      <c r="L1045">
        <v>4</v>
      </c>
      <c r="M1045" t="s">
        <v>40</v>
      </c>
      <c r="N1045" s="2">
        <v>39</v>
      </c>
      <c r="O1045">
        <v>4</v>
      </c>
      <c r="P1045">
        <v>4</v>
      </c>
      <c r="Q1045" t="s">
        <v>52</v>
      </c>
      <c r="R1045">
        <v>2</v>
      </c>
      <c r="S1045" t="s">
        <v>37</v>
      </c>
      <c r="T1045" s="2">
        <v>16598</v>
      </c>
      <c r="U1045" s="2">
        <v>19764</v>
      </c>
      <c r="V1045">
        <v>4</v>
      </c>
      <c r="W1045" t="s">
        <v>38</v>
      </c>
      <c r="X1045">
        <v>12</v>
      </c>
      <c r="Y1045">
        <v>3</v>
      </c>
      <c r="Z1045">
        <v>2</v>
      </c>
      <c r="AA1045">
        <v>80</v>
      </c>
      <c r="AB1045">
        <v>0</v>
      </c>
      <c r="AC1045">
        <v>35</v>
      </c>
      <c r="AD1045">
        <v>2</v>
      </c>
      <c r="AE1045">
        <v>2</v>
      </c>
      <c r="AF1045">
        <v>9</v>
      </c>
      <c r="AG1045">
        <v>8</v>
      </c>
      <c r="AH1045">
        <v>8</v>
      </c>
      <c r="AI1045">
        <v>8</v>
      </c>
    </row>
    <row r="1046" spans="1:35" x14ac:dyDescent="0.25">
      <c r="A1046">
        <v>49</v>
      </c>
      <c r="B1046" t="str">
        <f t="shared" si="32"/>
        <v>45-54</v>
      </c>
      <c r="C1046" s="1" t="s">
        <v>38</v>
      </c>
      <c r="D1046" s="17">
        <f>IF(Table1[[#This Row],[Attrition]]="Yes",1,0)</f>
        <v>0</v>
      </c>
      <c r="E1046" t="s">
        <v>57</v>
      </c>
      <c r="F1046" s="2">
        <v>1495</v>
      </c>
      <c r="G1046" t="s">
        <v>39</v>
      </c>
      <c r="H1046">
        <v>5</v>
      </c>
      <c r="I1046">
        <v>4</v>
      </c>
      <c r="J1046" t="str">
        <f t="shared" si="33"/>
        <v>Master</v>
      </c>
      <c r="K1046" t="s">
        <v>54</v>
      </c>
      <c r="L1046">
        <v>1</v>
      </c>
      <c r="M1046" t="s">
        <v>40</v>
      </c>
      <c r="N1046" s="2">
        <v>96</v>
      </c>
      <c r="O1046">
        <v>3</v>
      </c>
      <c r="P1046">
        <v>2</v>
      </c>
      <c r="Q1046" t="s">
        <v>48</v>
      </c>
      <c r="R1046">
        <v>3</v>
      </c>
      <c r="S1046" t="s">
        <v>42</v>
      </c>
      <c r="T1046" s="2">
        <v>6651</v>
      </c>
      <c r="U1046" s="2">
        <v>21534</v>
      </c>
      <c r="V1046">
        <v>2</v>
      </c>
      <c r="W1046" t="s">
        <v>38</v>
      </c>
      <c r="X1046">
        <v>14</v>
      </c>
      <c r="Y1046">
        <v>3</v>
      </c>
      <c r="Z1046">
        <v>2</v>
      </c>
      <c r="AA1046">
        <v>80</v>
      </c>
      <c r="AB1046">
        <v>1</v>
      </c>
      <c r="AC1046">
        <v>20</v>
      </c>
      <c r="AD1046">
        <v>0</v>
      </c>
      <c r="AE1046">
        <v>2</v>
      </c>
      <c r="AF1046">
        <v>3</v>
      </c>
      <c r="AG1046">
        <v>2</v>
      </c>
      <c r="AH1046">
        <v>1</v>
      </c>
      <c r="AI1046">
        <v>2</v>
      </c>
    </row>
    <row r="1047" spans="1:35" x14ac:dyDescent="0.25">
      <c r="A1047">
        <v>40</v>
      </c>
      <c r="B1047" t="str">
        <f t="shared" si="32"/>
        <v>35-44</v>
      </c>
      <c r="C1047" s="1" t="s">
        <v>38</v>
      </c>
      <c r="D1047" s="17">
        <f>IF(Table1[[#This Row],[Attrition]]="Yes",1,0)</f>
        <v>0</v>
      </c>
      <c r="E1047" t="s">
        <v>57</v>
      </c>
      <c r="F1047" s="2">
        <v>896</v>
      </c>
      <c r="G1047" t="s">
        <v>39</v>
      </c>
      <c r="H1047">
        <v>2</v>
      </c>
      <c r="I1047">
        <v>3</v>
      </c>
      <c r="J1047" t="str">
        <f t="shared" si="33"/>
        <v>Bachelor</v>
      </c>
      <c r="K1047" t="s">
        <v>45</v>
      </c>
      <c r="L1047">
        <v>3</v>
      </c>
      <c r="M1047" t="s">
        <v>40</v>
      </c>
      <c r="N1047" s="2">
        <v>68</v>
      </c>
      <c r="O1047">
        <v>3</v>
      </c>
      <c r="P1047">
        <v>1</v>
      </c>
      <c r="Q1047" t="s">
        <v>41</v>
      </c>
      <c r="R1047">
        <v>3</v>
      </c>
      <c r="S1047" t="s">
        <v>46</v>
      </c>
      <c r="T1047" s="2">
        <v>2345</v>
      </c>
      <c r="U1047" s="2">
        <v>8045</v>
      </c>
      <c r="V1047">
        <v>2</v>
      </c>
      <c r="W1047" t="s">
        <v>38</v>
      </c>
      <c r="X1047">
        <v>14</v>
      </c>
      <c r="Y1047">
        <v>3</v>
      </c>
      <c r="Z1047">
        <v>3</v>
      </c>
      <c r="AA1047">
        <v>80</v>
      </c>
      <c r="AB1047">
        <v>1</v>
      </c>
      <c r="AC1047">
        <v>8</v>
      </c>
      <c r="AD1047">
        <v>3</v>
      </c>
      <c r="AE1047">
        <v>4</v>
      </c>
      <c r="AF1047">
        <v>3</v>
      </c>
      <c r="AG1047">
        <v>1</v>
      </c>
      <c r="AH1047">
        <v>1</v>
      </c>
      <c r="AI1047">
        <v>2</v>
      </c>
    </row>
    <row r="1048" spans="1:35" x14ac:dyDescent="0.25">
      <c r="A1048">
        <v>44</v>
      </c>
      <c r="B1048" t="str">
        <f t="shared" si="32"/>
        <v>35-44</v>
      </c>
      <c r="C1048" s="1" t="s">
        <v>38</v>
      </c>
      <c r="D1048" s="17">
        <f>IF(Table1[[#This Row],[Attrition]]="Yes",1,0)</f>
        <v>0</v>
      </c>
      <c r="E1048" t="s">
        <v>57</v>
      </c>
      <c r="F1048" s="2">
        <v>1467</v>
      </c>
      <c r="G1048" t="s">
        <v>39</v>
      </c>
      <c r="H1048">
        <v>20</v>
      </c>
      <c r="I1048">
        <v>3</v>
      </c>
      <c r="J1048" t="str">
        <f t="shared" si="33"/>
        <v>Bachelor</v>
      </c>
      <c r="K1048" t="s">
        <v>34</v>
      </c>
      <c r="L1048">
        <v>4</v>
      </c>
      <c r="M1048" t="s">
        <v>40</v>
      </c>
      <c r="N1048" s="2">
        <v>49</v>
      </c>
      <c r="O1048">
        <v>3</v>
      </c>
      <c r="P1048">
        <v>1</v>
      </c>
      <c r="Q1048" t="s">
        <v>41</v>
      </c>
      <c r="R1048">
        <v>2</v>
      </c>
      <c r="S1048" t="s">
        <v>37</v>
      </c>
      <c r="T1048" s="2">
        <v>3420</v>
      </c>
      <c r="U1048" s="2">
        <v>21158</v>
      </c>
      <c r="V1048">
        <v>1</v>
      </c>
      <c r="W1048" t="s">
        <v>38</v>
      </c>
      <c r="X1048">
        <v>13</v>
      </c>
      <c r="Y1048">
        <v>3</v>
      </c>
      <c r="Z1048">
        <v>3</v>
      </c>
      <c r="AA1048">
        <v>80</v>
      </c>
      <c r="AB1048">
        <v>0</v>
      </c>
      <c r="AC1048">
        <v>6</v>
      </c>
      <c r="AD1048">
        <v>3</v>
      </c>
      <c r="AE1048">
        <v>2</v>
      </c>
      <c r="AF1048">
        <v>5</v>
      </c>
      <c r="AG1048">
        <v>2</v>
      </c>
      <c r="AH1048">
        <v>1</v>
      </c>
      <c r="AI1048">
        <v>3</v>
      </c>
    </row>
    <row r="1049" spans="1:35" x14ac:dyDescent="0.25">
      <c r="A1049">
        <v>33</v>
      </c>
      <c r="B1049" t="str">
        <f t="shared" si="32"/>
        <v>25-34</v>
      </c>
      <c r="C1049" s="1" t="s">
        <v>38</v>
      </c>
      <c r="D1049" s="17">
        <f>IF(Table1[[#This Row],[Attrition]]="Yes",1,0)</f>
        <v>0</v>
      </c>
      <c r="E1049" t="s">
        <v>58</v>
      </c>
      <c r="F1049" s="2">
        <v>430</v>
      </c>
      <c r="G1049" t="s">
        <v>33</v>
      </c>
      <c r="H1049">
        <v>7</v>
      </c>
      <c r="I1049">
        <v>3</v>
      </c>
      <c r="J1049" t="str">
        <f t="shared" si="33"/>
        <v>Bachelor</v>
      </c>
      <c r="K1049" t="s">
        <v>45</v>
      </c>
      <c r="L1049">
        <v>4</v>
      </c>
      <c r="M1049" t="s">
        <v>40</v>
      </c>
      <c r="N1049" s="2">
        <v>54</v>
      </c>
      <c r="O1049">
        <v>3</v>
      </c>
      <c r="P1049">
        <v>2</v>
      </c>
      <c r="Q1049" t="s">
        <v>36</v>
      </c>
      <c r="R1049">
        <v>1</v>
      </c>
      <c r="S1049" t="s">
        <v>42</v>
      </c>
      <c r="T1049" s="2">
        <v>4373</v>
      </c>
      <c r="U1049" s="2">
        <v>17456</v>
      </c>
      <c r="V1049">
        <v>0</v>
      </c>
      <c r="W1049" t="s">
        <v>38</v>
      </c>
      <c r="X1049">
        <v>14</v>
      </c>
      <c r="Y1049">
        <v>3</v>
      </c>
      <c r="Z1049">
        <v>1</v>
      </c>
      <c r="AA1049">
        <v>80</v>
      </c>
      <c r="AB1049">
        <v>2</v>
      </c>
      <c r="AC1049">
        <v>5</v>
      </c>
      <c r="AD1049">
        <v>2</v>
      </c>
      <c r="AE1049">
        <v>3</v>
      </c>
      <c r="AF1049">
        <v>4</v>
      </c>
      <c r="AG1049">
        <v>3</v>
      </c>
      <c r="AH1049">
        <v>0</v>
      </c>
      <c r="AI1049">
        <v>3</v>
      </c>
    </row>
    <row r="1050" spans="1:35" x14ac:dyDescent="0.25">
      <c r="A1050">
        <v>34</v>
      </c>
      <c r="B1050" t="str">
        <f t="shared" si="32"/>
        <v>25-34</v>
      </c>
      <c r="C1050" s="1" t="s">
        <v>38</v>
      </c>
      <c r="D1050" s="17">
        <f>IF(Table1[[#This Row],[Attrition]]="Yes",1,0)</f>
        <v>0</v>
      </c>
      <c r="E1050" t="s">
        <v>57</v>
      </c>
      <c r="F1050" s="2">
        <v>1326</v>
      </c>
      <c r="G1050" t="s">
        <v>33</v>
      </c>
      <c r="H1050">
        <v>3</v>
      </c>
      <c r="I1050">
        <v>3</v>
      </c>
      <c r="J1050" t="str">
        <f t="shared" si="33"/>
        <v>Bachelor</v>
      </c>
      <c r="K1050" t="s">
        <v>43</v>
      </c>
      <c r="L1050">
        <v>4</v>
      </c>
      <c r="M1050" t="s">
        <v>40</v>
      </c>
      <c r="N1050" s="2">
        <v>81</v>
      </c>
      <c r="O1050">
        <v>1</v>
      </c>
      <c r="P1050">
        <v>2</v>
      </c>
      <c r="Q1050" t="s">
        <v>36</v>
      </c>
      <c r="R1050">
        <v>1</v>
      </c>
      <c r="S1050" t="s">
        <v>37</v>
      </c>
      <c r="T1050" s="2">
        <v>4759</v>
      </c>
      <c r="U1050" s="2">
        <v>15891</v>
      </c>
      <c r="V1050">
        <v>3</v>
      </c>
      <c r="W1050" t="s">
        <v>38</v>
      </c>
      <c r="X1050">
        <v>18</v>
      </c>
      <c r="Y1050">
        <v>3</v>
      </c>
      <c r="Z1050">
        <v>4</v>
      </c>
      <c r="AA1050">
        <v>80</v>
      </c>
      <c r="AB1050">
        <v>0</v>
      </c>
      <c r="AC1050">
        <v>15</v>
      </c>
      <c r="AD1050">
        <v>2</v>
      </c>
      <c r="AE1050">
        <v>3</v>
      </c>
      <c r="AF1050">
        <v>13</v>
      </c>
      <c r="AG1050">
        <v>9</v>
      </c>
      <c r="AH1050">
        <v>3</v>
      </c>
      <c r="AI1050">
        <v>12</v>
      </c>
    </row>
    <row r="1051" spans="1:35" x14ac:dyDescent="0.25">
      <c r="A1051">
        <v>30</v>
      </c>
      <c r="B1051" t="str">
        <f t="shared" si="32"/>
        <v>25-34</v>
      </c>
      <c r="C1051" s="1" t="s">
        <v>38</v>
      </c>
      <c r="D1051" s="17">
        <f>IF(Table1[[#This Row],[Attrition]]="Yes",1,0)</f>
        <v>0</v>
      </c>
      <c r="E1051" t="s">
        <v>57</v>
      </c>
      <c r="F1051" s="2">
        <v>1358</v>
      </c>
      <c r="G1051" t="s">
        <v>33</v>
      </c>
      <c r="H1051">
        <v>16</v>
      </c>
      <c r="I1051">
        <v>1</v>
      </c>
      <c r="J1051" t="str">
        <f t="shared" si="33"/>
        <v>Below College</v>
      </c>
      <c r="K1051" t="s">
        <v>34</v>
      </c>
      <c r="L1051">
        <v>4</v>
      </c>
      <c r="M1051" t="s">
        <v>40</v>
      </c>
      <c r="N1051" s="2">
        <v>96</v>
      </c>
      <c r="O1051">
        <v>3</v>
      </c>
      <c r="P1051">
        <v>2</v>
      </c>
      <c r="Q1051" t="s">
        <v>36</v>
      </c>
      <c r="R1051">
        <v>3</v>
      </c>
      <c r="S1051" t="s">
        <v>42</v>
      </c>
      <c r="T1051" s="2">
        <v>5301</v>
      </c>
      <c r="U1051" s="2">
        <v>2939</v>
      </c>
      <c r="V1051">
        <v>8</v>
      </c>
      <c r="W1051" t="s">
        <v>38</v>
      </c>
      <c r="X1051">
        <v>15</v>
      </c>
      <c r="Y1051">
        <v>3</v>
      </c>
      <c r="Z1051">
        <v>3</v>
      </c>
      <c r="AA1051">
        <v>80</v>
      </c>
      <c r="AB1051">
        <v>2</v>
      </c>
      <c r="AC1051">
        <v>4</v>
      </c>
      <c r="AD1051">
        <v>2</v>
      </c>
      <c r="AE1051">
        <v>2</v>
      </c>
      <c r="AF1051">
        <v>2</v>
      </c>
      <c r="AG1051">
        <v>1</v>
      </c>
      <c r="AH1051">
        <v>2</v>
      </c>
      <c r="AI1051">
        <v>2</v>
      </c>
    </row>
    <row r="1052" spans="1:35" x14ac:dyDescent="0.25">
      <c r="A1052">
        <v>42</v>
      </c>
      <c r="B1052" t="str">
        <f t="shared" si="32"/>
        <v>35-44</v>
      </c>
      <c r="C1052" s="1" t="s">
        <v>38</v>
      </c>
      <c r="D1052" s="17">
        <f>IF(Table1[[#This Row],[Attrition]]="Yes",1,0)</f>
        <v>0</v>
      </c>
      <c r="E1052" t="s">
        <v>58</v>
      </c>
      <c r="F1052" s="2">
        <v>748</v>
      </c>
      <c r="G1052" t="s">
        <v>39</v>
      </c>
      <c r="H1052">
        <v>9</v>
      </c>
      <c r="I1052">
        <v>2</v>
      </c>
      <c r="J1052" t="str">
        <f t="shared" si="33"/>
        <v>College</v>
      </c>
      <c r="K1052" t="s">
        <v>45</v>
      </c>
      <c r="L1052">
        <v>1</v>
      </c>
      <c r="M1052" t="s">
        <v>35</v>
      </c>
      <c r="N1052" s="2">
        <v>74</v>
      </c>
      <c r="O1052">
        <v>3</v>
      </c>
      <c r="P1052">
        <v>1</v>
      </c>
      <c r="Q1052" t="s">
        <v>44</v>
      </c>
      <c r="R1052">
        <v>4</v>
      </c>
      <c r="S1052" t="s">
        <v>37</v>
      </c>
      <c r="T1052" s="2">
        <v>3673</v>
      </c>
      <c r="U1052" s="2">
        <v>16458</v>
      </c>
      <c r="V1052">
        <v>1</v>
      </c>
      <c r="W1052" t="s">
        <v>38</v>
      </c>
      <c r="X1052">
        <v>13</v>
      </c>
      <c r="Y1052">
        <v>3</v>
      </c>
      <c r="Z1052">
        <v>3</v>
      </c>
      <c r="AA1052">
        <v>80</v>
      </c>
      <c r="AB1052">
        <v>0</v>
      </c>
      <c r="AC1052">
        <v>12</v>
      </c>
      <c r="AD1052">
        <v>3</v>
      </c>
      <c r="AE1052">
        <v>3</v>
      </c>
      <c r="AF1052">
        <v>12</v>
      </c>
      <c r="AG1052">
        <v>9</v>
      </c>
      <c r="AH1052">
        <v>5</v>
      </c>
      <c r="AI1052">
        <v>8</v>
      </c>
    </row>
    <row r="1053" spans="1:35" x14ac:dyDescent="0.25">
      <c r="A1053">
        <v>44</v>
      </c>
      <c r="B1053" t="str">
        <f t="shared" si="32"/>
        <v>35-44</v>
      </c>
      <c r="C1053" s="1" t="s">
        <v>38</v>
      </c>
      <c r="D1053" s="17">
        <f>IF(Table1[[#This Row],[Attrition]]="Yes",1,0)</f>
        <v>0</v>
      </c>
      <c r="E1053" t="s">
        <v>58</v>
      </c>
      <c r="F1053" s="2">
        <v>383</v>
      </c>
      <c r="G1053" t="s">
        <v>33</v>
      </c>
      <c r="H1053">
        <v>1</v>
      </c>
      <c r="I1053">
        <v>5</v>
      </c>
      <c r="J1053" t="str">
        <f t="shared" si="33"/>
        <v>Doctor</v>
      </c>
      <c r="K1053" t="s">
        <v>53</v>
      </c>
      <c r="L1053">
        <v>1</v>
      </c>
      <c r="M1053" t="s">
        <v>35</v>
      </c>
      <c r="N1053" s="2">
        <v>79</v>
      </c>
      <c r="O1053">
        <v>3</v>
      </c>
      <c r="P1053">
        <v>2</v>
      </c>
      <c r="Q1053" t="s">
        <v>36</v>
      </c>
      <c r="R1053">
        <v>3</v>
      </c>
      <c r="S1053" t="s">
        <v>42</v>
      </c>
      <c r="T1053" s="2">
        <v>4768</v>
      </c>
      <c r="U1053" s="2">
        <v>9282</v>
      </c>
      <c r="V1053">
        <v>7</v>
      </c>
      <c r="W1053" t="s">
        <v>38</v>
      </c>
      <c r="X1053">
        <v>12</v>
      </c>
      <c r="Y1053">
        <v>3</v>
      </c>
      <c r="Z1053">
        <v>3</v>
      </c>
      <c r="AA1053">
        <v>80</v>
      </c>
      <c r="AB1053">
        <v>1</v>
      </c>
      <c r="AC1053">
        <v>11</v>
      </c>
      <c r="AD1053">
        <v>4</v>
      </c>
      <c r="AE1053">
        <v>2</v>
      </c>
      <c r="AF1053">
        <v>1</v>
      </c>
      <c r="AG1053">
        <v>0</v>
      </c>
      <c r="AH1053">
        <v>0</v>
      </c>
      <c r="AI1053">
        <v>0</v>
      </c>
    </row>
    <row r="1054" spans="1:35" x14ac:dyDescent="0.25">
      <c r="A1054">
        <v>30</v>
      </c>
      <c r="B1054" t="str">
        <f t="shared" si="32"/>
        <v>25-34</v>
      </c>
      <c r="C1054" s="1" t="s">
        <v>38</v>
      </c>
      <c r="D1054" s="17">
        <f>IF(Table1[[#This Row],[Attrition]]="Yes",1,0)</f>
        <v>0</v>
      </c>
      <c r="E1054" t="s">
        <v>49</v>
      </c>
      <c r="F1054" s="2">
        <v>990</v>
      </c>
      <c r="G1054" t="s">
        <v>39</v>
      </c>
      <c r="H1054">
        <v>7</v>
      </c>
      <c r="I1054">
        <v>3</v>
      </c>
      <c r="J1054" t="str">
        <f t="shared" si="33"/>
        <v>Bachelor</v>
      </c>
      <c r="K1054" t="s">
        <v>54</v>
      </c>
      <c r="L1054">
        <v>3</v>
      </c>
      <c r="M1054" t="s">
        <v>40</v>
      </c>
      <c r="N1054" s="2">
        <v>64</v>
      </c>
      <c r="O1054">
        <v>3</v>
      </c>
      <c r="P1054">
        <v>1</v>
      </c>
      <c r="Q1054" t="s">
        <v>41</v>
      </c>
      <c r="R1054">
        <v>3</v>
      </c>
      <c r="S1054" t="s">
        <v>46</v>
      </c>
      <c r="T1054" s="2">
        <v>1274</v>
      </c>
      <c r="U1054" s="2">
        <v>7152</v>
      </c>
      <c r="V1054">
        <v>1</v>
      </c>
      <c r="W1054" t="s">
        <v>38</v>
      </c>
      <c r="X1054">
        <v>13</v>
      </c>
      <c r="Y1054">
        <v>3</v>
      </c>
      <c r="Z1054">
        <v>2</v>
      </c>
      <c r="AA1054">
        <v>80</v>
      </c>
      <c r="AB1054">
        <v>2</v>
      </c>
      <c r="AC1054">
        <v>1</v>
      </c>
      <c r="AD1054">
        <v>2</v>
      </c>
      <c r="AE1054">
        <v>2</v>
      </c>
      <c r="AF1054">
        <v>1</v>
      </c>
      <c r="AG1054">
        <v>0</v>
      </c>
      <c r="AH1054">
        <v>0</v>
      </c>
      <c r="AI1054">
        <v>0</v>
      </c>
    </row>
    <row r="1055" spans="1:35" x14ac:dyDescent="0.25">
      <c r="A1055">
        <v>57</v>
      </c>
      <c r="B1055" t="str">
        <f t="shared" si="32"/>
        <v>55-64</v>
      </c>
      <c r="C1055" s="1" t="s">
        <v>38</v>
      </c>
      <c r="D1055" s="17">
        <f>IF(Table1[[#This Row],[Attrition]]="Yes",1,0)</f>
        <v>0</v>
      </c>
      <c r="E1055" t="s">
        <v>57</v>
      </c>
      <c r="F1055" s="2">
        <v>405</v>
      </c>
      <c r="G1055" t="s">
        <v>39</v>
      </c>
      <c r="H1055">
        <v>1</v>
      </c>
      <c r="I1055">
        <v>2</v>
      </c>
      <c r="J1055" t="str">
        <f t="shared" si="33"/>
        <v>College</v>
      </c>
      <c r="K1055" t="s">
        <v>34</v>
      </c>
      <c r="L1055">
        <v>2</v>
      </c>
      <c r="M1055" t="s">
        <v>40</v>
      </c>
      <c r="N1055" s="2">
        <v>93</v>
      </c>
      <c r="O1055">
        <v>4</v>
      </c>
      <c r="P1055">
        <v>2</v>
      </c>
      <c r="Q1055" t="s">
        <v>41</v>
      </c>
      <c r="R1055">
        <v>3</v>
      </c>
      <c r="S1055" t="s">
        <v>42</v>
      </c>
      <c r="T1055" s="2">
        <v>4900</v>
      </c>
      <c r="U1055" s="2">
        <v>2721</v>
      </c>
      <c r="V1055">
        <v>0</v>
      </c>
      <c r="W1055" t="s">
        <v>38</v>
      </c>
      <c r="X1055">
        <v>24</v>
      </c>
      <c r="Y1055">
        <v>4</v>
      </c>
      <c r="Z1055">
        <v>1</v>
      </c>
      <c r="AA1055">
        <v>80</v>
      </c>
      <c r="AB1055">
        <v>1</v>
      </c>
      <c r="AC1055">
        <v>13</v>
      </c>
      <c r="AD1055">
        <v>2</v>
      </c>
      <c r="AE1055">
        <v>2</v>
      </c>
      <c r="AF1055">
        <v>12</v>
      </c>
      <c r="AG1055">
        <v>9</v>
      </c>
      <c r="AH1055">
        <v>2</v>
      </c>
      <c r="AI1055">
        <v>8</v>
      </c>
    </row>
    <row r="1056" spans="1:35" x14ac:dyDescent="0.25">
      <c r="A1056">
        <v>49</v>
      </c>
      <c r="B1056" t="str">
        <f t="shared" si="32"/>
        <v>45-54</v>
      </c>
      <c r="C1056" s="1" t="s">
        <v>38</v>
      </c>
      <c r="D1056" s="17">
        <f>IF(Table1[[#This Row],[Attrition]]="Yes",1,0)</f>
        <v>0</v>
      </c>
      <c r="E1056" t="s">
        <v>57</v>
      </c>
      <c r="F1056" s="2">
        <v>1490</v>
      </c>
      <c r="G1056" t="s">
        <v>39</v>
      </c>
      <c r="H1056">
        <v>7</v>
      </c>
      <c r="I1056">
        <v>4</v>
      </c>
      <c r="J1056" t="str">
        <f t="shared" si="33"/>
        <v>Master</v>
      </c>
      <c r="K1056" t="s">
        <v>34</v>
      </c>
      <c r="L1056">
        <v>3</v>
      </c>
      <c r="M1056" t="s">
        <v>40</v>
      </c>
      <c r="N1056" s="2">
        <v>35</v>
      </c>
      <c r="O1056">
        <v>3</v>
      </c>
      <c r="P1056">
        <v>3</v>
      </c>
      <c r="Q1056" t="s">
        <v>48</v>
      </c>
      <c r="R1056">
        <v>2</v>
      </c>
      <c r="S1056" t="s">
        <v>46</v>
      </c>
      <c r="T1056" s="2">
        <v>10466</v>
      </c>
      <c r="U1056" s="2">
        <v>20948</v>
      </c>
      <c r="V1056">
        <v>3</v>
      </c>
      <c r="W1056" t="s">
        <v>38</v>
      </c>
      <c r="X1056">
        <v>14</v>
      </c>
      <c r="Y1056">
        <v>3</v>
      </c>
      <c r="Z1056">
        <v>2</v>
      </c>
      <c r="AA1056">
        <v>80</v>
      </c>
      <c r="AB1056">
        <v>2</v>
      </c>
      <c r="AC1056">
        <v>29</v>
      </c>
      <c r="AD1056">
        <v>3</v>
      </c>
      <c r="AE1056">
        <v>3</v>
      </c>
      <c r="AF1056">
        <v>8</v>
      </c>
      <c r="AG1056">
        <v>7</v>
      </c>
      <c r="AH1056">
        <v>0</v>
      </c>
      <c r="AI1056">
        <v>7</v>
      </c>
    </row>
    <row r="1057" spans="1:35" x14ac:dyDescent="0.25">
      <c r="A1057">
        <v>34</v>
      </c>
      <c r="B1057" t="str">
        <f t="shared" si="32"/>
        <v>25-34</v>
      </c>
      <c r="C1057" s="1" t="s">
        <v>38</v>
      </c>
      <c r="D1057" s="17">
        <f>IF(Table1[[#This Row],[Attrition]]="Yes",1,0)</f>
        <v>0</v>
      </c>
      <c r="E1057" t="s">
        <v>58</v>
      </c>
      <c r="F1057" s="2">
        <v>829</v>
      </c>
      <c r="G1057" t="s">
        <v>39</v>
      </c>
      <c r="H1057">
        <v>15</v>
      </c>
      <c r="I1057">
        <v>3</v>
      </c>
      <c r="J1057" t="str">
        <f t="shared" si="33"/>
        <v>Bachelor</v>
      </c>
      <c r="K1057" t="s">
        <v>45</v>
      </c>
      <c r="L1057">
        <v>2</v>
      </c>
      <c r="M1057" t="s">
        <v>40</v>
      </c>
      <c r="N1057" s="2">
        <v>71</v>
      </c>
      <c r="O1057">
        <v>3</v>
      </c>
      <c r="P1057">
        <v>4</v>
      </c>
      <c r="Q1057" t="s">
        <v>52</v>
      </c>
      <c r="R1057">
        <v>1</v>
      </c>
      <c r="S1057" t="s">
        <v>46</v>
      </c>
      <c r="T1057" s="2">
        <v>17007</v>
      </c>
      <c r="U1057" s="2">
        <v>11929</v>
      </c>
      <c r="V1057">
        <v>7</v>
      </c>
      <c r="W1057" t="s">
        <v>38</v>
      </c>
      <c r="X1057">
        <v>14</v>
      </c>
      <c r="Y1057">
        <v>3</v>
      </c>
      <c r="Z1057">
        <v>4</v>
      </c>
      <c r="AA1057">
        <v>80</v>
      </c>
      <c r="AB1057">
        <v>2</v>
      </c>
      <c r="AC1057">
        <v>16</v>
      </c>
      <c r="AD1057">
        <v>3</v>
      </c>
      <c r="AE1057">
        <v>2</v>
      </c>
      <c r="AF1057">
        <v>14</v>
      </c>
      <c r="AG1057">
        <v>8</v>
      </c>
      <c r="AH1057">
        <v>6</v>
      </c>
      <c r="AI1057">
        <v>9</v>
      </c>
    </row>
    <row r="1058" spans="1:35" x14ac:dyDescent="0.25">
      <c r="A1058">
        <v>28</v>
      </c>
      <c r="B1058" t="str">
        <f t="shared" si="32"/>
        <v>25-34</v>
      </c>
      <c r="C1058" s="1" t="s">
        <v>32</v>
      </c>
      <c r="D1058" s="17">
        <f>IF(Table1[[#This Row],[Attrition]]="Yes",1,0)</f>
        <v>1</v>
      </c>
      <c r="E1058" t="s">
        <v>58</v>
      </c>
      <c r="F1058" s="2">
        <v>1496</v>
      </c>
      <c r="G1058" t="s">
        <v>33</v>
      </c>
      <c r="H1058">
        <v>1</v>
      </c>
      <c r="I1058">
        <v>3</v>
      </c>
      <c r="J1058" t="str">
        <f t="shared" si="33"/>
        <v>Bachelor</v>
      </c>
      <c r="K1058" t="s">
        <v>54</v>
      </c>
      <c r="L1058">
        <v>1</v>
      </c>
      <c r="M1058" t="s">
        <v>40</v>
      </c>
      <c r="N1058" s="2">
        <v>92</v>
      </c>
      <c r="O1058">
        <v>3</v>
      </c>
      <c r="P1058">
        <v>1</v>
      </c>
      <c r="Q1058" t="s">
        <v>51</v>
      </c>
      <c r="R1058">
        <v>3</v>
      </c>
      <c r="S1058" t="s">
        <v>42</v>
      </c>
      <c r="T1058" s="2">
        <v>2909</v>
      </c>
      <c r="U1058" s="2">
        <v>15747</v>
      </c>
      <c r="V1058">
        <v>3</v>
      </c>
      <c r="W1058" t="s">
        <v>38</v>
      </c>
      <c r="X1058">
        <v>15</v>
      </c>
      <c r="Y1058">
        <v>3</v>
      </c>
      <c r="Z1058">
        <v>4</v>
      </c>
      <c r="AA1058">
        <v>80</v>
      </c>
      <c r="AB1058">
        <v>1</v>
      </c>
      <c r="AC1058">
        <v>5</v>
      </c>
      <c r="AD1058">
        <v>3</v>
      </c>
      <c r="AE1058">
        <v>4</v>
      </c>
      <c r="AF1058">
        <v>3</v>
      </c>
      <c r="AG1058">
        <v>2</v>
      </c>
      <c r="AH1058">
        <v>1</v>
      </c>
      <c r="AI1058">
        <v>2</v>
      </c>
    </row>
    <row r="1059" spans="1:35" x14ac:dyDescent="0.25">
      <c r="A1059">
        <v>29</v>
      </c>
      <c r="B1059" t="str">
        <f t="shared" si="32"/>
        <v>25-34</v>
      </c>
      <c r="C1059" s="1" t="s">
        <v>32</v>
      </c>
      <c r="D1059" s="17">
        <f>IF(Table1[[#This Row],[Attrition]]="Yes",1,0)</f>
        <v>1</v>
      </c>
      <c r="E1059" t="s">
        <v>58</v>
      </c>
      <c r="F1059" s="2">
        <v>115</v>
      </c>
      <c r="G1059" t="s">
        <v>33</v>
      </c>
      <c r="H1059">
        <v>13</v>
      </c>
      <c r="I1059">
        <v>3</v>
      </c>
      <c r="J1059" t="str">
        <f t="shared" si="33"/>
        <v>Bachelor</v>
      </c>
      <c r="K1059" t="s">
        <v>54</v>
      </c>
      <c r="L1059">
        <v>1</v>
      </c>
      <c r="M1059" t="s">
        <v>35</v>
      </c>
      <c r="N1059" s="2">
        <v>51</v>
      </c>
      <c r="O1059">
        <v>3</v>
      </c>
      <c r="P1059">
        <v>2</v>
      </c>
      <c r="Q1059" t="s">
        <v>36</v>
      </c>
      <c r="R1059">
        <v>2</v>
      </c>
      <c r="S1059" t="s">
        <v>37</v>
      </c>
      <c r="T1059" s="2">
        <v>5765</v>
      </c>
      <c r="U1059" s="2">
        <v>17485</v>
      </c>
      <c r="V1059">
        <v>5</v>
      </c>
      <c r="W1059" t="s">
        <v>38</v>
      </c>
      <c r="X1059">
        <v>11</v>
      </c>
      <c r="Y1059">
        <v>3</v>
      </c>
      <c r="Z1059">
        <v>1</v>
      </c>
      <c r="AA1059">
        <v>80</v>
      </c>
      <c r="AB1059">
        <v>0</v>
      </c>
      <c r="AC1059">
        <v>7</v>
      </c>
      <c r="AD1059">
        <v>4</v>
      </c>
      <c r="AE1059">
        <v>1</v>
      </c>
      <c r="AF1059">
        <v>5</v>
      </c>
      <c r="AG1059">
        <v>3</v>
      </c>
      <c r="AH1059">
        <v>0</v>
      </c>
      <c r="AI1059">
        <v>0</v>
      </c>
    </row>
    <row r="1060" spans="1:35" x14ac:dyDescent="0.25">
      <c r="A1060">
        <v>34</v>
      </c>
      <c r="B1060" t="str">
        <f t="shared" si="32"/>
        <v>25-34</v>
      </c>
      <c r="C1060" s="1" t="s">
        <v>32</v>
      </c>
      <c r="D1060" s="17">
        <f>IF(Table1[[#This Row],[Attrition]]="Yes",1,0)</f>
        <v>1</v>
      </c>
      <c r="E1060" t="s">
        <v>57</v>
      </c>
      <c r="F1060" s="2">
        <v>790</v>
      </c>
      <c r="G1060" t="s">
        <v>33</v>
      </c>
      <c r="H1060">
        <v>24</v>
      </c>
      <c r="I1060">
        <v>4</v>
      </c>
      <c r="J1060" t="str">
        <f t="shared" si="33"/>
        <v>Master</v>
      </c>
      <c r="K1060" t="s">
        <v>45</v>
      </c>
      <c r="L1060">
        <v>1</v>
      </c>
      <c r="M1060" t="s">
        <v>35</v>
      </c>
      <c r="N1060" s="2">
        <v>40</v>
      </c>
      <c r="O1060">
        <v>2</v>
      </c>
      <c r="P1060">
        <v>2</v>
      </c>
      <c r="Q1060" t="s">
        <v>36</v>
      </c>
      <c r="R1060">
        <v>2</v>
      </c>
      <c r="S1060" t="s">
        <v>37</v>
      </c>
      <c r="T1060" s="2">
        <v>4599</v>
      </c>
      <c r="U1060" s="2">
        <v>7815</v>
      </c>
      <c r="V1060">
        <v>0</v>
      </c>
      <c r="W1060" t="s">
        <v>32</v>
      </c>
      <c r="X1060">
        <v>23</v>
      </c>
      <c r="Y1060">
        <v>4</v>
      </c>
      <c r="Z1060">
        <v>3</v>
      </c>
      <c r="AA1060">
        <v>80</v>
      </c>
      <c r="AB1060">
        <v>0</v>
      </c>
      <c r="AC1060">
        <v>16</v>
      </c>
      <c r="AD1060">
        <v>2</v>
      </c>
      <c r="AE1060">
        <v>4</v>
      </c>
      <c r="AF1060">
        <v>15</v>
      </c>
      <c r="AG1060">
        <v>9</v>
      </c>
      <c r="AH1060">
        <v>10</v>
      </c>
      <c r="AI1060">
        <v>10</v>
      </c>
    </row>
    <row r="1061" spans="1:35" x14ac:dyDescent="0.25">
      <c r="A1061">
        <v>35</v>
      </c>
      <c r="B1061" t="str">
        <f t="shared" si="32"/>
        <v>35-44</v>
      </c>
      <c r="C1061" s="1" t="s">
        <v>38</v>
      </c>
      <c r="D1061" s="17">
        <f>IF(Table1[[#This Row],[Attrition]]="Yes",1,0)</f>
        <v>0</v>
      </c>
      <c r="E1061" t="s">
        <v>57</v>
      </c>
      <c r="F1061" s="2">
        <v>660</v>
      </c>
      <c r="G1061" t="s">
        <v>33</v>
      </c>
      <c r="H1061">
        <v>7</v>
      </c>
      <c r="I1061">
        <v>1</v>
      </c>
      <c r="J1061" t="str">
        <f t="shared" si="33"/>
        <v>Below College</v>
      </c>
      <c r="K1061" t="s">
        <v>34</v>
      </c>
      <c r="L1061">
        <v>4</v>
      </c>
      <c r="M1061" t="s">
        <v>40</v>
      </c>
      <c r="N1061" s="2">
        <v>76</v>
      </c>
      <c r="O1061">
        <v>3</v>
      </c>
      <c r="P1061">
        <v>1</v>
      </c>
      <c r="Q1061" t="s">
        <v>51</v>
      </c>
      <c r="R1061">
        <v>3</v>
      </c>
      <c r="S1061" t="s">
        <v>42</v>
      </c>
      <c r="T1061" s="2">
        <v>2404</v>
      </c>
      <c r="U1061" s="2">
        <v>16192</v>
      </c>
      <c r="V1061">
        <v>1</v>
      </c>
      <c r="W1061" t="s">
        <v>38</v>
      </c>
      <c r="X1061">
        <v>13</v>
      </c>
      <c r="Y1061">
        <v>3</v>
      </c>
      <c r="Z1061">
        <v>1</v>
      </c>
      <c r="AA1061">
        <v>80</v>
      </c>
      <c r="AB1061">
        <v>1</v>
      </c>
      <c r="AC1061">
        <v>1</v>
      </c>
      <c r="AD1061">
        <v>3</v>
      </c>
      <c r="AE1061">
        <v>3</v>
      </c>
      <c r="AF1061">
        <v>1</v>
      </c>
      <c r="AG1061">
        <v>0</v>
      </c>
      <c r="AH1061">
        <v>0</v>
      </c>
      <c r="AI1061">
        <v>0</v>
      </c>
    </row>
    <row r="1062" spans="1:35" x14ac:dyDescent="0.25">
      <c r="A1062">
        <v>24</v>
      </c>
      <c r="B1062" t="str">
        <f t="shared" si="32"/>
        <v>18-24</v>
      </c>
      <c r="C1062" s="1" t="s">
        <v>32</v>
      </c>
      <c r="D1062" s="17">
        <f>IF(Table1[[#This Row],[Attrition]]="Yes",1,0)</f>
        <v>1</v>
      </c>
      <c r="E1062" t="s">
        <v>58</v>
      </c>
      <c r="F1062" s="2">
        <v>381</v>
      </c>
      <c r="G1062" t="s">
        <v>39</v>
      </c>
      <c r="H1062">
        <v>9</v>
      </c>
      <c r="I1062">
        <v>3</v>
      </c>
      <c r="J1062" t="str">
        <f t="shared" si="33"/>
        <v>Bachelor</v>
      </c>
      <c r="K1062" t="s">
        <v>45</v>
      </c>
      <c r="L1062">
        <v>2</v>
      </c>
      <c r="M1062" t="s">
        <v>40</v>
      </c>
      <c r="N1062" s="2">
        <v>89</v>
      </c>
      <c r="O1062">
        <v>3</v>
      </c>
      <c r="P1062">
        <v>1</v>
      </c>
      <c r="Q1062" t="s">
        <v>44</v>
      </c>
      <c r="R1062">
        <v>1</v>
      </c>
      <c r="S1062" t="s">
        <v>37</v>
      </c>
      <c r="T1062" s="2">
        <v>3172</v>
      </c>
      <c r="U1062" s="2">
        <v>16998</v>
      </c>
      <c r="V1062">
        <v>2</v>
      </c>
      <c r="W1062" t="s">
        <v>32</v>
      </c>
      <c r="X1062">
        <v>11</v>
      </c>
      <c r="Y1062">
        <v>3</v>
      </c>
      <c r="Z1062">
        <v>3</v>
      </c>
      <c r="AA1062">
        <v>80</v>
      </c>
      <c r="AB1062">
        <v>0</v>
      </c>
      <c r="AC1062">
        <v>4</v>
      </c>
      <c r="AD1062">
        <v>2</v>
      </c>
      <c r="AE1062">
        <v>2</v>
      </c>
      <c r="AF1062">
        <v>0</v>
      </c>
      <c r="AG1062">
        <v>0</v>
      </c>
      <c r="AH1062">
        <v>0</v>
      </c>
      <c r="AI1062">
        <v>0</v>
      </c>
    </row>
    <row r="1063" spans="1:35" x14ac:dyDescent="0.25">
      <c r="A1063">
        <v>24</v>
      </c>
      <c r="B1063" t="str">
        <f t="shared" si="32"/>
        <v>18-24</v>
      </c>
      <c r="C1063" s="1" t="s">
        <v>38</v>
      </c>
      <c r="D1063" s="17">
        <f>IF(Table1[[#This Row],[Attrition]]="Yes",1,0)</f>
        <v>0</v>
      </c>
      <c r="E1063" t="s">
        <v>49</v>
      </c>
      <c r="F1063" s="2">
        <v>830</v>
      </c>
      <c r="G1063" t="s">
        <v>33</v>
      </c>
      <c r="H1063">
        <v>13</v>
      </c>
      <c r="I1063">
        <v>2</v>
      </c>
      <c r="J1063" t="str">
        <f t="shared" si="33"/>
        <v>College</v>
      </c>
      <c r="K1063" t="s">
        <v>34</v>
      </c>
      <c r="L1063">
        <v>4</v>
      </c>
      <c r="M1063" t="s">
        <v>35</v>
      </c>
      <c r="N1063" s="2">
        <v>78</v>
      </c>
      <c r="O1063">
        <v>3</v>
      </c>
      <c r="P1063">
        <v>1</v>
      </c>
      <c r="Q1063" t="s">
        <v>51</v>
      </c>
      <c r="R1063">
        <v>2</v>
      </c>
      <c r="S1063" t="s">
        <v>42</v>
      </c>
      <c r="T1063" s="2">
        <v>2033</v>
      </c>
      <c r="U1063" s="2">
        <v>7103</v>
      </c>
      <c r="V1063">
        <v>1</v>
      </c>
      <c r="W1063" t="s">
        <v>38</v>
      </c>
      <c r="X1063">
        <v>13</v>
      </c>
      <c r="Y1063">
        <v>3</v>
      </c>
      <c r="Z1063">
        <v>3</v>
      </c>
      <c r="AA1063">
        <v>80</v>
      </c>
      <c r="AB1063">
        <v>1</v>
      </c>
      <c r="AC1063">
        <v>1</v>
      </c>
      <c r="AD1063">
        <v>2</v>
      </c>
      <c r="AE1063">
        <v>3</v>
      </c>
      <c r="AF1063">
        <v>1</v>
      </c>
      <c r="AG1063">
        <v>0</v>
      </c>
      <c r="AH1063">
        <v>0</v>
      </c>
      <c r="AI1063">
        <v>0</v>
      </c>
    </row>
    <row r="1064" spans="1:35" x14ac:dyDescent="0.25">
      <c r="A1064">
        <v>44</v>
      </c>
      <c r="B1064" t="str">
        <f t="shared" si="32"/>
        <v>35-44</v>
      </c>
      <c r="C1064" s="1" t="s">
        <v>38</v>
      </c>
      <c r="D1064" s="17">
        <f>IF(Table1[[#This Row],[Attrition]]="Yes",1,0)</f>
        <v>0</v>
      </c>
      <c r="E1064" t="s">
        <v>58</v>
      </c>
      <c r="F1064" s="2">
        <v>1193</v>
      </c>
      <c r="G1064" t="s">
        <v>39</v>
      </c>
      <c r="H1064">
        <v>2</v>
      </c>
      <c r="I1064">
        <v>1</v>
      </c>
      <c r="J1064" t="str">
        <f t="shared" si="33"/>
        <v>Below College</v>
      </c>
      <c r="K1064" t="s">
        <v>45</v>
      </c>
      <c r="L1064">
        <v>2</v>
      </c>
      <c r="M1064" t="s">
        <v>40</v>
      </c>
      <c r="N1064" s="2">
        <v>86</v>
      </c>
      <c r="O1064">
        <v>3</v>
      </c>
      <c r="P1064">
        <v>3</v>
      </c>
      <c r="Q1064" t="s">
        <v>47</v>
      </c>
      <c r="R1064">
        <v>3</v>
      </c>
      <c r="S1064" t="s">
        <v>37</v>
      </c>
      <c r="T1064" s="2">
        <v>10209</v>
      </c>
      <c r="U1064" s="2">
        <v>19719</v>
      </c>
      <c r="V1064">
        <v>5</v>
      </c>
      <c r="W1064" t="s">
        <v>32</v>
      </c>
      <c r="X1064">
        <v>18</v>
      </c>
      <c r="Y1064">
        <v>3</v>
      </c>
      <c r="Z1064">
        <v>2</v>
      </c>
      <c r="AA1064">
        <v>80</v>
      </c>
      <c r="AB1064">
        <v>0</v>
      </c>
      <c r="AC1064">
        <v>16</v>
      </c>
      <c r="AD1064">
        <v>2</v>
      </c>
      <c r="AE1064">
        <v>2</v>
      </c>
      <c r="AF1064">
        <v>2</v>
      </c>
      <c r="AG1064">
        <v>2</v>
      </c>
      <c r="AH1064">
        <v>2</v>
      </c>
      <c r="AI1064">
        <v>2</v>
      </c>
    </row>
    <row r="1065" spans="1:35" x14ac:dyDescent="0.25">
      <c r="A1065">
        <v>29</v>
      </c>
      <c r="B1065" t="str">
        <f t="shared" si="32"/>
        <v>25-34</v>
      </c>
      <c r="C1065" s="1" t="s">
        <v>38</v>
      </c>
      <c r="D1065" s="17">
        <f>IF(Table1[[#This Row],[Attrition]]="Yes",1,0)</f>
        <v>0</v>
      </c>
      <c r="E1065" t="s">
        <v>57</v>
      </c>
      <c r="F1065" s="2">
        <v>1246</v>
      </c>
      <c r="G1065" t="s">
        <v>33</v>
      </c>
      <c r="H1065">
        <v>19</v>
      </c>
      <c r="I1065">
        <v>3</v>
      </c>
      <c r="J1065" t="str">
        <f t="shared" si="33"/>
        <v>Bachelor</v>
      </c>
      <c r="K1065" t="s">
        <v>34</v>
      </c>
      <c r="L1065">
        <v>3</v>
      </c>
      <c r="M1065" t="s">
        <v>40</v>
      </c>
      <c r="N1065" s="2">
        <v>77</v>
      </c>
      <c r="O1065">
        <v>2</v>
      </c>
      <c r="P1065">
        <v>2</v>
      </c>
      <c r="Q1065" t="s">
        <v>36</v>
      </c>
      <c r="R1065">
        <v>3</v>
      </c>
      <c r="S1065" t="s">
        <v>46</v>
      </c>
      <c r="T1065" s="2">
        <v>8620</v>
      </c>
      <c r="U1065" s="2">
        <v>23757</v>
      </c>
      <c r="V1065">
        <v>1</v>
      </c>
      <c r="W1065" t="s">
        <v>38</v>
      </c>
      <c r="X1065">
        <v>14</v>
      </c>
      <c r="Y1065">
        <v>3</v>
      </c>
      <c r="Z1065">
        <v>3</v>
      </c>
      <c r="AA1065">
        <v>80</v>
      </c>
      <c r="AB1065">
        <v>2</v>
      </c>
      <c r="AC1065">
        <v>10</v>
      </c>
      <c r="AD1065">
        <v>3</v>
      </c>
      <c r="AE1065">
        <v>3</v>
      </c>
      <c r="AF1065">
        <v>10</v>
      </c>
      <c r="AG1065">
        <v>7</v>
      </c>
      <c r="AH1065">
        <v>0</v>
      </c>
      <c r="AI1065">
        <v>4</v>
      </c>
    </row>
    <row r="1066" spans="1:35" x14ac:dyDescent="0.25">
      <c r="A1066">
        <v>30</v>
      </c>
      <c r="B1066" t="str">
        <f t="shared" si="32"/>
        <v>25-34</v>
      </c>
      <c r="C1066" s="1" t="s">
        <v>38</v>
      </c>
      <c r="D1066" s="17">
        <f>IF(Table1[[#This Row],[Attrition]]="Yes",1,0)</f>
        <v>0</v>
      </c>
      <c r="E1066" t="s">
        <v>57</v>
      </c>
      <c r="F1066" s="2">
        <v>330</v>
      </c>
      <c r="G1066" t="s">
        <v>55</v>
      </c>
      <c r="H1066">
        <v>1</v>
      </c>
      <c r="I1066">
        <v>3</v>
      </c>
      <c r="J1066" t="str">
        <f t="shared" si="33"/>
        <v>Bachelor</v>
      </c>
      <c r="K1066" t="s">
        <v>34</v>
      </c>
      <c r="L1066">
        <v>3</v>
      </c>
      <c r="M1066" t="s">
        <v>40</v>
      </c>
      <c r="N1066" s="2">
        <v>46</v>
      </c>
      <c r="O1066">
        <v>3</v>
      </c>
      <c r="P1066">
        <v>1</v>
      </c>
      <c r="Q1066" t="s">
        <v>55</v>
      </c>
      <c r="R1066">
        <v>3</v>
      </c>
      <c r="S1066" t="s">
        <v>46</v>
      </c>
      <c r="T1066" s="2">
        <v>2064</v>
      </c>
      <c r="U1066" s="2">
        <v>15428</v>
      </c>
      <c r="V1066">
        <v>0</v>
      </c>
      <c r="W1066" t="s">
        <v>38</v>
      </c>
      <c r="X1066">
        <v>21</v>
      </c>
      <c r="Y1066">
        <v>4</v>
      </c>
      <c r="Z1066">
        <v>1</v>
      </c>
      <c r="AA1066">
        <v>80</v>
      </c>
      <c r="AB1066">
        <v>1</v>
      </c>
      <c r="AC1066">
        <v>6</v>
      </c>
      <c r="AD1066">
        <v>3</v>
      </c>
      <c r="AE1066">
        <v>4</v>
      </c>
      <c r="AF1066">
        <v>5</v>
      </c>
      <c r="AG1066">
        <v>3</v>
      </c>
      <c r="AH1066">
        <v>1</v>
      </c>
      <c r="AI1066">
        <v>3</v>
      </c>
    </row>
    <row r="1067" spans="1:35" x14ac:dyDescent="0.25">
      <c r="A1067">
        <v>55</v>
      </c>
      <c r="B1067" t="str">
        <f t="shared" si="32"/>
        <v>55-64</v>
      </c>
      <c r="C1067" s="1" t="s">
        <v>38</v>
      </c>
      <c r="D1067" s="17">
        <f>IF(Table1[[#This Row],[Attrition]]="Yes",1,0)</f>
        <v>0</v>
      </c>
      <c r="E1067" t="s">
        <v>57</v>
      </c>
      <c r="F1067" s="2">
        <v>1229</v>
      </c>
      <c r="G1067" t="s">
        <v>39</v>
      </c>
      <c r="H1067">
        <v>4</v>
      </c>
      <c r="I1067">
        <v>4</v>
      </c>
      <c r="J1067" t="str">
        <f t="shared" si="33"/>
        <v>Master</v>
      </c>
      <c r="K1067" t="s">
        <v>34</v>
      </c>
      <c r="L1067">
        <v>4</v>
      </c>
      <c r="M1067" t="s">
        <v>40</v>
      </c>
      <c r="N1067" s="2">
        <v>30</v>
      </c>
      <c r="O1067">
        <v>3</v>
      </c>
      <c r="P1067">
        <v>2</v>
      </c>
      <c r="Q1067" t="s">
        <v>48</v>
      </c>
      <c r="R1067">
        <v>3</v>
      </c>
      <c r="S1067" t="s">
        <v>42</v>
      </c>
      <c r="T1067" s="2">
        <v>4035</v>
      </c>
      <c r="U1067" s="2">
        <v>16143</v>
      </c>
      <c r="V1067">
        <v>0</v>
      </c>
      <c r="W1067" t="s">
        <v>32</v>
      </c>
      <c r="X1067">
        <v>16</v>
      </c>
      <c r="Y1067">
        <v>3</v>
      </c>
      <c r="Z1067">
        <v>2</v>
      </c>
      <c r="AA1067">
        <v>80</v>
      </c>
      <c r="AB1067">
        <v>0</v>
      </c>
      <c r="AC1067">
        <v>4</v>
      </c>
      <c r="AD1067">
        <v>2</v>
      </c>
      <c r="AE1067">
        <v>3</v>
      </c>
      <c r="AF1067">
        <v>3</v>
      </c>
      <c r="AG1067">
        <v>2</v>
      </c>
      <c r="AH1067">
        <v>1</v>
      </c>
      <c r="AI1067">
        <v>2</v>
      </c>
    </row>
    <row r="1068" spans="1:35" x14ac:dyDescent="0.25">
      <c r="A1068">
        <v>33</v>
      </c>
      <c r="B1068" t="str">
        <f t="shared" si="32"/>
        <v>25-34</v>
      </c>
      <c r="C1068" s="1" t="s">
        <v>38</v>
      </c>
      <c r="D1068" s="17">
        <f>IF(Table1[[#This Row],[Attrition]]="Yes",1,0)</f>
        <v>0</v>
      </c>
      <c r="E1068" t="s">
        <v>57</v>
      </c>
      <c r="F1068" s="2">
        <v>1099</v>
      </c>
      <c r="G1068" t="s">
        <v>39</v>
      </c>
      <c r="H1068">
        <v>4</v>
      </c>
      <c r="I1068">
        <v>4</v>
      </c>
      <c r="J1068" t="str">
        <f t="shared" si="33"/>
        <v>Master</v>
      </c>
      <c r="K1068" t="s">
        <v>45</v>
      </c>
      <c r="L1068">
        <v>1</v>
      </c>
      <c r="M1068" t="s">
        <v>35</v>
      </c>
      <c r="N1068" s="2">
        <v>82</v>
      </c>
      <c r="O1068">
        <v>2</v>
      </c>
      <c r="P1068">
        <v>1</v>
      </c>
      <c r="Q1068" t="s">
        <v>44</v>
      </c>
      <c r="R1068">
        <v>2</v>
      </c>
      <c r="S1068" t="s">
        <v>42</v>
      </c>
      <c r="T1068" s="2">
        <v>3838</v>
      </c>
      <c r="U1068" s="2">
        <v>8192</v>
      </c>
      <c r="V1068">
        <v>8</v>
      </c>
      <c r="W1068" t="s">
        <v>38</v>
      </c>
      <c r="X1068">
        <v>11</v>
      </c>
      <c r="Y1068">
        <v>3</v>
      </c>
      <c r="Z1068">
        <v>4</v>
      </c>
      <c r="AA1068">
        <v>80</v>
      </c>
      <c r="AB1068">
        <v>0</v>
      </c>
      <c r="AC1068">
        <v>8</v>
      </c>
      <c r="AD1068">
        <v>5</v>
      </c>
      <c r="AE1068">
        <v>3</v>
      </c>
      <c r="AF1068">
        <v>5</v>
      </c>
      <c r="AG1068">
        <v>4</v>
      </c>
      <c r="AH1068">
        <v>0</v>
      </c>
      <c r="AI1068">
        <v>2</v>
      </c>
    </row>
    <row r="1069" spans="1:35" x14ac:dyDescent="0.25">
      <c r="A1069">
        <v>47</v>
      </c>
      <c r="B1069" t="str">
        <f t="shared" si="32"/>
        <v>45-54</v>
      </c>
      <c r="C1069" s="1" t="s">
        <v>38</v>
      </c>
      <c r="D1069" s="17">
        <f>IF(Table1[[#This Row],[Attrition]]="Yes",1,0)</f>
        <v>0</v>
      </c>
      <c r="E1069" t="s">
        <v>57</v>
      </c>
      <c r="F1069" s="2">
        <v>571</v>
      </c>
      <c r="G1069" t="s">
        <v>33</v>
      </c>
      <c r="H1069">
        <v>14</v>
      </c>
      <c r="I1069">
        <v>3</v>
      </c>
      <c r="J1069" t="str">
        <f t="shared" si="33"/>
        <v>Bachelor</v>
      </c>
      <c r="K1069" t="s">
        <v>45</v>
      </c>
      <c r="L1069">
        <v>3</v>
      </c>
      <c r="M1069" t="s">
        <v>35</v>
      </c>
      <c r="N1069" s="2">
        <v>78</v>
      </c>
      <c r="O1069">
        <v>3</v>
      </c>
      <c r="P1069">
        <v>2</v>
      </c>
      <c r="Q1069" t="s">
        <v>36</v>
      </c>
      <c r="R1069">
        <v>3</v>
      </c>
      <c r="S1069" t="s">
        <v>42</v>
      </c>
      <c r="T1069" s="2">
        <v>4591</v>
      </c>
      <c r="U1069" s="2">
        <v>24200</v>
      </c>
      <c r="V1069">
        <v>3</v>
      </c>
      <c r="W1069" t="s">
        <v>32</v>
      </c>
      <c r="X1069">
        <v>17</v>
      </c>
      <c r="Y1069">
        <v>3</v>
      </c>
      <c r="Z1069">
        <v>3</v>
      </c>
      <c r="AA1069">
        <v>80</v>
      </c>
      <c r="AB1069">
        <v>1</v>
      </c>
      <c r="AC1069">
        <v>11</v>
      </c>
      <c r="AD1069">
        <v>4</v>
      </c>
      <c r="AE1069">
        <v>2</v>
      </c>
      <c r="AF1069">
        <v>5</v>
      </c>
      <c r="AG1069">
        <v>4</v>
      </c>
      <c r="AH1069">
        <v>1</v>
      </c>
      <c r="AI1069">
        <v>2</v>
      </c>
    </row>
    <row r="1070" spans="1:35" x14ac:dyDescent="0.25">
      <c r="A1070">
        <v>28</v>
      </c>
      <c r="B1070" t="str">
        <f t="shared" si="32"/>
        <v>25-34</v>
      </c>
      <c r="C1070" s="1" t="s">
        <v>32</v>
      </c>
      <c r="D1070" s="17">
        <f>IF(Table1[[#This Row],[Attrition]]="Yes",1,0)</f>
        <v>1</v>
      </c>
      <c r="E1070" t="s">
        <v>58</v>
      </c>
      <c r="F1070" s="2">
        <v>289</v>
      </c>
      <c r="G1070" t="s">
        <v>39</v>
      </c>
      <c r="H1070">
        <v>2</v>
      </c>
      <c r="I1070">
        <v>2</v>
      </c>
      <c r="J1070" t="str">
        <f t="shared" si="33"/>
        <v>College</v>
      </c>
      <c r="K1070" t="s">
        <v>45</v>
      </c>
      <c r="L1070">
        <v>3</v>
      </c>
      <c r="M1070" t="s">
        <v>40</v>
      </c>
      <c r="N1070" s="2">
        <v>38</v>
      </c>
      <c r="O1070">
        <v>2</v>
      </c>
      <c r="P1070">
        <v>1</v>
      </c>
      <c r="Q1070" t="s">
        <v>44</v>
      </c>
      <c r="R1070">
        <v>1</v>
      </c>
      <c r="S1070" t="s">
        <v>37</v>
      </c>
      <c r="T1070" s="2">
        <v>2561</v>
      </c>
      <c r="U1070" s="2">
        <v>5355</v>
      </c>
      <c r="V1070">
        <v>7</v>
      </c>
      <c r="W1070" t="s">
        <v>38</v>
      </c>
      <c r="X1070">
        <v>11</v>
      </c>
      <c r="Y1070">
        <v>3</v>
      </c>
      <c r="Z1070">
        <v>3</v>
      </c>
      <c r="AA1070">
        <v>80</v>
      </c>
      <c r="AB1070">
        <v>0</v>
      </c>
      <c r="AC1070">
        <v>8</v>
      </c>
      <c r="AD1070">
        <v>2</v>
      </c>
      <c r="AE1070">
        <v>2</v>
      </c>
      <c r="AF1070">
        <v>0</v>
      </c>
      <c r="AG1070">
        <v>0</v>
      </c>
      <c r="AH1070">
        <v>0</v>
      </c>
      <c r="AI1070">
        <v>0</v>
      </c>
    </row>
    <row r="1071" spans="1:35" x14ac:dyDescent="0.25">
      <c r="A1071">
        <v>28</v>
      </c>
      <c r="B1071" t="str">
        <f t="shared" si="32"/>
        <v>25-34</v>
      </c>
      <c r="C1071" s="1" t="s">
        <v>38</v>
      </c>
      <c r="D1071" s="17">
        <f>IF(Table1[[#This Row],[Attrition]]="Yes",1,0)</f>
        <v>0</v>
      </c>
      <c r="E1071" t="s">
        <v>57</v>
      </c>
      <c r="F1071" s="2">
        <v>1423</v>
      </c>
      <c r="G1071" t="s">
        <v>39</v>
      </c>
      <c r="H1071">
        <v>1</v>
      </c>
      <c r="I1071">
        <v>3</v>
      </c>
      <c r="J1071" t="str">
        <f t="shared" si="33"/>
        <v>Bachelor</v>
      </c>
      <c r="K1071" t="s">
        <v>34</v>
      </c>
      <c r="L1071">
        <v>1</v>
      </c>
      <c r="M1071" t="s">
        <v>40</v>
      </c>
      <c r="N1071" s="2">
        <v>72</v>
      </c>
      <c r="O1071">
        <v>2</v>
      </c>
      <c r="P1071">
        <v>1</v>
      </c>
      <c r="Q1071" t="s">
        <v>41</v>
      </c>
      <c r="R1071">
        <v>3</v>
      </c>
      <c r="S1071" t="s">
        <v>46</v>
      </c>
      <c r="T1071" s="2">
        <v>1563</v>
      </c>
      <c r="U1071" s="2">
        <v>12530</v>
      </c>
      <c r="V1071">
        <v>1</v>
      </c>
      <c r="W1071" t="s">
        <v>38</v>
      </c>
      <c r="X1071">
        <v>14</v>
      </c>
      <c r="Y1071">
        <v>3</v>
      </c>
      <c r="Z1071">
        <v>4</v>
      </c>
      <c r="AA1071">
        <v>80</v>
      </c>
      <c r="AB1071">
        <v>1</v>
      </c>
      <c r="AC1071">
        <v>1</v>
      </c>
      <c r="AD1071">
        <v>2</v>
      </c>
      <c r="AE1071">
        <v>1</v>
      </c>
      <c r="AF1071">
        <v>1</v>
      </c>
      <c r="AG1071">
        <v>0</v>
      </c>
      <c r="AH1071">
        <v>0</v>
      </c>
      <c r="AI1071">
        <v>0</v>
      </c>
    </row>
    <row r="1072" spans="1:35" x14ac:dyDescent="0.25">
      <c r="A1072">
        <v>28</v>
      </c>
      <c r="B1072" t="str">
        <f t="shared" si="32"/>
        <v>25-34</v>
      </c>
      <c r="C1072" s="1" t="s">
        <v>38</v>
      </c>
      <c r="D1072" s="17">
        <f>IF(Table1[[#This Row],[Attrition]]="Yes",1,0)</f>
        <v>0</v>
      </c>
      <c r="E1072" t="s">
        <v>58</v>
      </c>
      <c r="F1072" s="2">
        <v>467</v>
      </c>
      <c r="G1072" t="s">
        <v>33</v>
      </c>
      <c r="H1072">
        <v>7</v>
      </c>
      <c r="I1072">
        <v>3</v>
      </c>
      <c r="J1072" t="str">
        <f t="shared" si="33"/>
        <v>Bachelor</v>
      </c>
      <c r="K1072" t="s">
        <v>34</v>
      </c>
      <c r="L1072">
        <v>3</v>
      </c>
      <c r="M1072" t="s">
        <v>40</v>
      </c>
      <c r="N1072" s="2">
        <v>55</v>
      </c>
      <c r="O1072">
        <v>3</v>
      </c>
      <c r="P1072">
        <v>2</v>
      </c>
      <c r="Q1072" t="s">
        <v>36</v>
      </c>
      <c r="R1072">
        <v>1</v>
      </c>
      <c r="S1072" t="s">
        <v>37</v>
      </c>
      <c r="T1072" s="2">
        <v>4898</v>
      </c>
      <c r="U1072" s="2">
        <v>11827</v>
      </c>
      <c r="V1072">
        <v>0</v>
      </c>
      <c r="W1072" t="s">
        <v>38</v>
      </c>
      <c r="X1072">
        <v>14</v>
      </c>
      <c r="Y1072">
        <v>3</v>
      </c>
      <c r="Z1072">
        <v>4</v>
      </c>
      <c r="AA1072">
        <v>80</v>
      </c>
      <c r="AB1072">
        <v>0</v>
      </c>
      <c r="AC1072">
        <v>5</v>
      </c>
      <c r="AD1072">
        <v>5</v>
      </c>
      <c r="AE1072">
        <v>3</v>
      </c>
      <c r="AF1072">
        <v>4</v>
      </c>
      <c r="AG1072">
        <v>2</v>
      </c>
      <c r="AH1072">
        <v>1</v>
      </c>
      <c r="AI1072">
        <v>3</v>
      </c>
    </row>
    <row r="1073" spans="1:35" x14ac:dyDescent="0.25">
      <c r="A1073">
        <v>49</v>
      </c>
      <c r="B1073" t="str">
        <f t="shared" si="32"/>
        <v>45-54</v>
      </c>
      <c r="C1073" s="1" t="s">
        <v>38</v>
      </c>
      <c r="D1073" s="17">
        <f>IF(Table1[[#This Row],[Attrition]]="Yes",1,0)</f>
        <v>0</v>
      </c>
      <c r="E1073" t="s">
        <v>57</v>
      </c>
      <c r="F1073" s="2">
        <v>271</v>
      </c>
      <c r="G1073" t="s">
        <v>39</v>
      </c>
      <c r="H1073">
        <v>3</v>
      </c>
      <c r="I1073">
        <v>2</v>
      </c>
      <c r="J1073" t="str">
        <f t="shared" si="33"/>
        <v>College</v>
      </c>
      <c r="K1073" t="s">
        <v>45</v>
      </c>
      <c r="L1073">
        <v>3</v>
      </c>
      <c r="M1073" t="s">
        <v>35</v>
      </c>
      <c r="N1073" s="2">
        <v>43</v>
      </c>
      <c r="O1073">
        <v>2</v>
      </c>
      <c r="P1073">
        <v>2</v>
      </c>
      <c r="Q1073" t="s">
        <v>44</v>
      </c>
      <c r="R1073">
        <v>1</v>
      </c>
      <c r="S1073" t="s">
        <v>42</v>
      </c>
      <c r="T1073" s="2">
        <v>4789</v>
      </c>
      <c r="U1073" s="2">
        <v>23070</v>
      </c>
      <c r="V1073">
        <v>4</v>
      </c>
      <c r="W1073" t="s">
        <v>38</v>
      </c>
      <c r="X1073">
        <v>25</v>
      </c>
      <c r="Y1073">
        <v>4</v>
      </c>
      <c r="Z1073">
        <v>1</v>
      </c>
      <c r="AA1073">
        <v>80</v>
      </c>
      <c r="AB1073">
        <v>1</v>
      </c>
      <c r="AC1073">
        <v>10</v>
      </c>
      <c r="AD1073">
        <v>3</v>
      </c>
      <c r="AE1073">
        <v>3</v>
      </c>
      <c r="AF1073">
        <v>3</v>
      </c>
      <c r="AG1073">
        <v>2</v>
      </c>
      <c r="AH1073">
        <v>1</v>
      </c>
      <c r="AI1073">
        <v>2</v>
      </c>
    </row>
    <row r="1074" spans="1:35" x14ac:dyDescent="0.25">
      <c r="A1074">
        <v>29</v>
      </c>
      <c r="B1074" t="str">
        <f t="shared" si="32"/>
        <v>25-34</v>
      </c>
      <c r="C1074" s="1" t="s">
        <v>38</v>
      </c>
      <c r="D1074" s="17">
        <f>IF(Table1[[#This Row],[Attrition]]="Yes",1,0)</f>
        <v>0</v>
      </c>
      <c r="E1074" t="s">
        <v>58</v>
      </c>
      <c r="F1074" s="2">
        <v>410</v>
      </c>
      <c r="G1074" t="s">
        <v>39</v>
      </c>
      <c r="H1074">
        <v>2</v>
      </c>
      <c r="I1074">
        <v>1</v>
      </c>
      <c r="J1074" t="str">
        <f t="shared" si="33"/>
        <v>Below College</v>
      </c>
      <c r="K1074" t="s">
        <v>34</v>
      </c>
      <c r="L1074">
        <v>4</v>
      </c>
      <c r="M1074" t="s">
        <v>35</v>
      </c>
      <c r="N1074" s="2">
        <v>97</v>
      </c>
      <c r="O1074">
        <v>3</v>
      </c>
      <c r="P1074">
        <v>1</v>
      </c>
      <c r="Q1074" t="s">
        <v>44</v>
      </c>
      <c r="R1074">
        <v>2</v>
      </c>
      <c r="S1074" t="s">
        <v>42</v>
      </c>
      <c r="T1074" s="2">
        <v>3180</v>
      </c>
      <c r="U1074" s="2">
        <v>4668</v>
      </c>
      <c r="V1074">
        <v>0</v>
      </c>
      <c r="W1074" t="s">
        <v>38</v>
      </c>
      <c r="X1074">
        <v>13</v>
      </c>
      <c r="Y1074">
        <v>3</v>
      </c>
      <c r="Z1074">
        <v>3</v>
      </c>
      <c r="AA1074">
        <v>80</v>
      </c>
      <c r="AB1074">
        <v>3</v>
      </c>
      <c r="AC1074">
        <v>4</v>
      </c>
      <c r="AD1074">
        <v>3</v>
      </c>
      <c r="AE1074">
        <v>3</v>
      </c>
      <c r="AF1074">
        <v>3</v>
      </c>
      <c r="AG1074">
        <v>2</v>
      </c>
      <c r="AH1074">
        <v>0</v>
      </c>
      <c r="AI1074">
        <v>2</v>
      </c>
    </row>
    <row r="1075" spans="1:35" x14ac:dyDescent="0.25">
      <c r="A1075">
        <v>28</v>
      </c>
      <c r="B1075" t="str">
        <f t="shared" si="32"/>
        <v>25-34</v>
      </c>
      <c r="C1075" s="1" t="s">
        <v>38</v>
      </c>
      <c r="D1075" s="17">
        <f>IF(Table1[[#This Row],[Attrition]]="Yes",1,0)</f>
        <v>0</v>
      </c>
      <c r="E1075" t="s">
        <v>57</v>
      </c>
      <c r="F1075" s="2">
        <v>1083</v>
      </c>
      <c r="G1075" t="s">
        <v>39</v>
      </c>
      <c r="H1075">
        <v>29</v>
      </c>
      <c r="I1075">
        <v>1</v>
      </c>
      <c r="J1075" t="str">
        <f t="shared" si="33"/>
        <v>Below College</v>
      </c>
      <c r="K1075" t="s">
        <v>34</v>
      </c>
      <c r="L1075">
        <v>3</v>
      </c>
      <c r="M1075" t="s">
        <v>40</v>
      </c>
      <c r="N1075" s="2">
        <v>96</v>
      </c>
      <c r="O1075">
        <v>1</v>
      </c>
      <c r="P1075">
        <v>2</v>
      </c>
      <c r="Q1075" t="s">
        <v>47</v>
      </c>
      <c r="R1075">
        <v>2</v>
      </c>
      <c r="S1075" t="s">
        <v>42</v>
      </c>
      <c r="T1075" s="2">
        <v>6549</v>
      </c>
      <c r="U1075" s="2">
        <v>3173</v>
      </c>
      <c r="V1075">
        <v>1</v>
      </c>
      <c r="W1075" t="s">
        <v>38</v>
      </c>
      <c r="X1075">
        <v>14</v>
      </c>
      <c r="Y1075">
        <v>3</v>
      </c>
      <c r="Z1075">
        <v>2</v>
      </c>
      <c r="AA1075">
        <v>80</v>
      </c>
      <c r="AB1075">
        <v>2</v>
      </c>
      <c r="AC1075">
        <v>8</v>
      </c>
      <c r="AD1075">
        <v>2</v>
      </c>
      <c r="AE1075">
        <v>2</v>
      </c>
      <c r="AF1075">
        <v>8</v>
      </c>
      <c r="AG1075">
        <v>6</v>
      </c>
      <c r="AH1075">
        <v>1</v>
      </c>
      <c r="AI1075">
        <v>7</v>
      </c>
    </row>
    <row r="1076" spans="1:35" x14ac:dyDescent="0.25">
      <c r="A1076">
        <v>33</v>
      </c>
      <c r="B1076" t="str">
        <f t="shared" si="32"/>
        <v>25-34</v>
      </c>
      <c r="C1076" s="1" t="s">
        <v>38</v>
      </c>
      <c r="D1076" s="17">
        <f>IF(Table1[[#This Row],[Attrition]]="Yes",1,0)</f>
        <v>0</v>
      </c>
      <c r="E1076" t="s">
        <v>57</v>
      </c>
      <c r="F1076" s="2">
        <v>516</v>
      </c>
      <c r="G1076" t="s">
        <v>39</v>
      </c>
      <c r="H1076">
        <v>8</v>
      </c>
      <c r="I1076">
        <v>5</v>
      </c>
      <c r="J1076" t="str">
        <f t="shared" si="33"/>
        <v>Doctor</v>
      </c>
      <c r="K1076" t="s">
        <v>34</v>
      </c>
      <c r="L1076">
        <v>4</v>
      </c>
      <c r="M1076" t="s">
        <v>40</v>
      </c>
      <c r="N1076" s="2">
        <v>69</v>
      </c>
      <c r="O1076">
        <v>3</v>
      </c>
      <c r="P1076">
        <v>2</v>
      </c>
      <c r="Q1076" t="s">
        <v>48</v>
      </c>
      <c r="R1076">
        <v>3</v>
      </c>
      <c r="S1076" t="s">
        <v>37</v>
      </c>
      <c r="T1076" s="2">
        <v>6388</v>
      </c>
      <c r="U1076" s="2">
        <v>22049</v>
      </c>
      <c r="V1076">
        <v>2</v>
      </c>
      <c r="W1076" t="s">
        <v>32</v>
      </c>
      <c r="X1076">
        <v>17</v>
      </c>
      <c r="Y1076">
        <v>3</v>
      </c>
      <c r="Z1076">
        <v>1</v>
      </c>
      <c r="AA1076">
        <v>80</v>
      </c>
      <c r="AB1076">
        <v>0</v>
      </c>
      <c r="AC1076">
        <v>14</v>
      </c>
      <c r="AD1076">
        <v>6</v>
      </c>
      <c r="AE1076">
        <v>3</v>
      </c>
      <c r="AF1076">
        <v>0</v>
      </c>
      <c r="AG1076">
        <v>0</v>
      </c>
      <c r="AH1076">
        <v>0</v>
      </c>
      <c r="AI1076">
        <v>0</v>
      </c>
    </row>
    <row r="1077" spans="1:35" x14ac:dyDescent="0.25">
      <c r="A1077">
        <v>32</v>
      </c>
      <c r="B1077" t="str">
        <f t="shared" si="32"/>
        <v>25-34</v>
      </c>
      <c r="C1077" s="1" t="s">
        <v>38</v>
      </c>
      <c r="D1077" s="17">
        <f>IF(Table1[[#This Row],[Attrition]]="Yes",1,0)</f>
        <v>0</v>
      </c>
      <c r="E1077" t="s">
        <v>57</v>
      </c>
      <c r="F1077" s="2">
        <v>495</v>
      </c>
      <c r="G1077" t="s">
        <v>39</v>
      </c>
      <c r="H1077">
        <v>10</v>
      </c>
      <c r="I1077">
        <v>3</v>
      </c>
      <c r="J1077" t="str">
        <f t="shared" si="33"/>
        <v>Bachelor</v>
      </c>
      <c r="K1077" t="s">
        <v>45</v>
      </c>
      <c r="L1077">
        <v>3</v>
      </c>
      <c r="M1077" t="s">
        <v>40</v>
      </c>
      <c r="N1077" s="2">
        <v>64</v>
      </c>
      <c r="O1077">
        <v>3</v>
      </c>
      <c r="P1077">
        <v>3</v>
      </c>
      <c r="Q1077" t="s">
        <v>50</v>
      </c>
      <c r="R1077">
        <v>4</v>
      </c>
      <c r="S1077" t="s">
        <v>37</v>
      </c>
      <c r="T1077" s="2">
        <v>11244</v>
      </c>
      <c r="U1077" s="2">
        <v>21072</v>
      </c>
      <c r="V1077">
        <v>2</v>
      </c>
      <c r="W1077" t="s">
        <v>38</v>
      </c>
      <c r="X1077">
        <v>25</v>
      </c>
      <c r="Y1077">
        <v>4</v>
      </c>
      <c r="Z1077">
        <v>2</v>
      </c>
      <c r="AA1077">
        <v>80</v>
      </c>
      <c r="AB1077">
        <v>0</v>
      </c>
      <c r="AC1077">
        <v>10</v>
      </c>
      <c r="AD1077">
        <v>5</v>
      </c>
      <c r="AE1077">
        <v>4</v>
      </c>
      <c r="AF1077">
        <v>5</v>
      </c>
      <c r="AG1077">
        <v>2</v>
      </c>
      <c r="AH1077">
        <v>0</v>
      </c>
      <c r="AI1077">
        <v>0</v>
      </c>
    </row>
    <row r="1078" spans="1:35" x14ac:dyDescent="0.25">
      <c r="A1078">
        <v>54</v>
      </c>
      <c r="B1078" t="str">
        <f t="shared" si="32"/>
        <v>45-54</v>
      </c>
      <c r="C1078" s="1" t="s">
        <v>38</v>
      </c>
      <c r="D1078" s="17">
        <f>IF(Table1[[#This Row],[Attrition]]="Yes",1,0)</f>
        <v>0</v>
      </c>
      <c r="E1078" t="s">
        <v>58</v>
      </c>
      <c r="F1078" s="2">
        <v>1050</v>
      </c>
      <c r="G1078" t="s">
        <v>39</v>
      </c>
      <c r="H1078">
        <v>11</v>
      </c>
      <c r="I1078">
        <v>4</v>
      </c>
      <c r="J1078" t="str">
        <f t="shared" si="33"/>
        <v>Master</v>
      </c>
      <c r="K1078" t="s">
        <v>45</v>
      </c>
      <c r="L1078">
        <v>2</v>
      </c>
      <c r="M1078" t="s">
        <v>35</v>
      </c>
      <c r="N1078" s="2">
        <v>87</v>
      </c>
      <c r="O1078">
        <v>3</v>
      </c>
      <c r="P1078">
        <v>4</v>
      </c>
      <c r="Q1078" t="s">
        <v>50</v>
      </c>
      <c r="R1078">
        <v>4</v>
      </c>
      <c r="S1078" t="s">
        <v>46</v>
      </c>
      <c r="T1078" s="2">
        <v>16032</v>
      </c>
      <c r="U1078" s="2">
        <v>24456</v>
      </c>
      <c r="V1078">
        <v>3</v>
      </c>
      <c r="W1078" t="s">
        <v>38</v>
      </c>
      <c r="X1078">
        <v>20</v>
      </c>
      <c r="Y1078">
        <v>4</v>
      </c>
      <c r="Z1078">
        <v>1</v>
      </c>
      <c r="AA1078">
        <v>80</v>
      </c>
      <c r="AB1078">
        <v>1</v>
      </c>
      <c r="AC1078">
        <v>26</v>
      </c>
      <c r="AD1078">
        <v>2</v>
      </c>
      <c r="AE1078">
        <v>3</v>
      </c>
      <c r="AF1078">
        <v>14</v>
      </c>
      <c r="AG1078">
        <v>9</v>
      </c>
      <c r="AH1078">
        <v>1</v>
      </c>
      <c r="AI1078">
        <v>12</v>
      </c>
    </row>
    <row r="1079" spans="1:35" x14ac:dyDescent="0.25">
      <c r="A1079">
        <v>29</v>
      </c>
      <c r="B1079" t="str">
        <f t="shared" si="32"/>
        <v>25-34</v>
      </c>
      <c r="C1079" s="1" t="s">
        <v>32</v>
      </c>
      <c r="D1079" s="17">
        <f>IF(Table1[[#This Row],[Attrition]]="Yes",1,0)</f>
        <v>1</v>
      </c>
      <c r="E1079" t="s">
        <v>57</v>
      </c>
      <c r="F1079" s="2">
        <v>224</v>
      </c>
      <c r="G1079" t="s">
        <v>39</v>
      </c>
      <c r="H1079">
        <v>1</v>
      </c>
      <c r="I1079">
        <v>4</v>
      </c>
      <c r="J1079" t="str">
        <f t="shared" si="33"/>
        <v>Master</v>
      </c>
      <c r="K1079" t="s">
        <v>54</v>
      </c>
      <c r="L1079">
        <v>1</v>
      </c>
      <c r="M1079" t="s">
        <v>40</v>
      </c>
      <c r="N1079" s="2">
        <v>100</v>
      </c>
      <c r="O1079">
        <v>2</v>
      </c>
      <c r="P1079">
        <v>1</v>
      </c>
      <c r="Q1079" t="s">
        <v>41</v>
      </c>
      <c r="R1079">
        <v>1</v>
      </c>
      <c r="S1079" t="s">
        <v>37</v>
      </c>
      <c r="T1079" s="2">
        <v>2362</v>
      </c>
      <c r="U1079" s="2">
        <v>7568</v>
      </c>
      <c r="V1079">
        <v>6</v>
      </c>
      <c r="W1079" t="s">
        <v>38</v>
      </c>
      <c r="X1079">
        <v>13</v>
      </c>
      <c r="Y1079">
        <v>3</v>
      </c>
      <c r="Z1079">
        <v>3</v>
      </c>
      <c r="AA1079">
        <v>80</v>
      </c>
      <c r="AB1079">
        <v>0</v>
      </c>
      <c r="AC1079">
        <v>11</v>
      </c>
      <c r="AD1079">
        <v>2</v>
      </c>
      <c r="AE1079">
        <v>1</v>
      </c>
      <c r="AF1079">
        <v>9</v>
      </c>
      <c r="AG1079">
        <v>7</v>
      </c>
      <c r="AH1079">
        <v>0</v>
      </c>
      <c r="AI1079">
        <v>7</v>
      </c>
    </row>
    <row r="1080" spans="1:35" x14ac:dyDescent="0.25">
      <c r="A1080">
        <v>44</v>
      </c>
      <c r="B1080" t="str">
        <f t="shared" si="32"/>
        <v>35-44</v>
      </c>
      <c r="C1080" s="1" t="s">
        <v>38</v>
      </c>
      <c r="D1080" s="17">
        <f>IF(Table1[[#This Row],[Attrition]]="Yes",1,0)</f>
        <v>0</v>
      </c>
      <c r="E1080" t="s">
        <v>57</v>
      </c>
      <c r="F1080" s="2">
        <v>136</v>
      </c>
      <c r="G1080" t="s">
        <v>39</v>
      </c>
      <c r="H1080">
        <v>28</v>
      </c>
      <c r="I1080">
        <v>3</v>
      </c>
      <c r="J1080" t="str">
        <f t="shared" si="33"/>
        <v>Bachelor</v>
      </c>
      <c r="K1080" t="s">
        <v>34</v>
      </c>
      <c r="L1080">
        <v>4</v>
      </c>
      <c r="M1080" t="s">
        <v>40</v>
      </c>
      <c r="N1080" s="2">
        <v>32</v>
      </c>
      <c r="O1080">
        <v>3</v>
      </c>
      <c r="P1080">
        <v>4</v>
      </c>
      <c r="Q1080" t="s">
        <v>52</v>
      </c>
      <c r="R1080">
        <v>1</v>
      </c>
      <c r="S1080" t="s">
        <v>42</v>
      </c>
      <c r="T1080" s="2">
        <v>16328</v>
      </c>
      <c r="U1080" s="2">
        <v>22074</v>
      </c>
      <c r="V1080">
        <v>3</v>
      </c>
      <c r="W1080" t="s">
        <v>38</v>
      </c>
      <c r="X1080">
        <v>13</v>
      </c>
      <c r="Y1080">
        <v>3</v>
      </c>
      <c r="Z1080">
        <v>3</v>
      </c>
      <c r="AA1080">
        <v>80</v>
      </c>
      <c r="AB1080">
        <v>1</v>
      </c>
      <c r="AC1080">
        <v>24</v>
      </c>
      <c r="AD1080">
        <v>1</v>
      </c>
      <c r="AE1080">
        <v>4</v>
      </c>
      <c r="AF1080">
        <v>20</v>
      </c>
      <c r="AG1080">
        <v>6</v>
      </c>
      <c r="AH1080">
        <v>14</v>
      </c>
      <c r="AI1080">
        <v>17</v>
      </c>
    </row>
    <row r="1081" spans="1:35" x14ac:dyDescent="0.25">
      <c r="A1081">
        <v>39</v>
      </c>
      <c r="B1081" t="str">
        <f t="shared" si="32"/>
        <v>35-44</v>
      </c>
      <c r="C1081" s="1" t="s">
        <v>38</v>
      </c>
      <c r="D1081" s="17">
        <f>IF(Table1[[#This Row],[Attrition]]="Yes",1,0)</f>
        <v>0</v>
      </c>
      <c r="E1081" t="s">
        <v>57</v>
      </c>
      <c r="F1081" s="2">
        <v>1089</v>
      </c>
      <c r="G1081" t="s">
        <v>39</v>
      </c>
      <c r="H1081">
        <v>6</v>
      </c>
      <c r="I1081">
        <v>3</v>
      </c>
      <c r="J1081" t="str">
        <f t="shared" si="33"/>
        <v>Bachelor</v>
      </c>
      <c r="K1081" t="s">
        <v>34</v>
      </c>
      <c r="L1081">
        <v>2</v>
      </c>
      <c r="M1081" t="s">
        <v>35</v>
      </c>
      <c r="N1081" s="2">
        <v>32</v>
      </c>
      <c r="O1081">
        <v>3</v>
      </c>
      <c r="P1081">
        <v>3</v>
      </c>
      <c r="Q1081" t="s">
        <v>47</v>
      </c>
      <c r="R1081">
        <v>2</v>
      </c>
      <c r="S1081" t="s">
        <v>37</v>
      </c>
      <c r="T1081" s="2">
        <v>8376</v>
      </c>
      <c r="U1081" s="2">
        <v>9150</v>
      </c>
      <c r="V1081">
        <v>4</v>
      </c>
      <c r="W1081" t="s">
        <v>38</v>
      </c>
      <c r="X1081">
        <v>18</v>
      </c>
      <c r="Y1081">
        <v>3</v>
      </c>
      <c r="Z1081">
        <v>4</v>
      </c>
      <c r="AA1081">
        <v>80</v>
      </c>
      <c r="AB1081">
        <v>0</v>
      </c>
      <c r="AC1081">
        <v>9</v>
      </c>
      <c r="AD1081">
        <v>3</v>
      </c>
      <c r="AE1081">
        <v>3</v>
      </c>
      <c r="AF1081">
        <v>2</v>
      </c>
      <c r="AG1081">
        <v>0</v>
      </c>
      <c r="AH1081">
        <v>2</v>
      </c>
      <c r="AI1081">
        <v>2</v>
      </c>
    </row>
    <row r="1082" spans="1:35" x14ac:dyDescent="0.25">
      <c r="A1082">
        <v>46</v>
      </c>
      <c r="B1082" t="str">
        <f t="shared" si="32"/>
        <v>45-54</v>
      </c>
      <c r="C1082" s="1" t="s">
        <v>38</v>
      </c>
      <c r="D1082" s="17">
        <f>IF(Table1[[#This Row],[Attrition]]="Yes",1,0)</f>
        <v>0</v>
      </c>
      <c r="E1082" t="s">
        <v>57</v>
      </c>
      <c r="F1082" s="2">
        <v>228</v>
      </c>
      <c r="G1082" t="s">
        <v>33</v>
      </c>
      <c r="H1082">
        <v>3</v>
      </c>
      <c r="I1082">
        <v>3</v>
      </c>
      <c r="J1082" t="str">
        <f t="shared" si="33"/>
        <v>Bachelor</v>
      </c>
      <c r="K1082" t="s">
        <v>34</v>
      </c>
      <c r="L1082">
        <v>3</v>
      </c>
      <c r="M1082" t="s">
        <v>35</v>
      </c>
      <c r="N1082" s="2">
        <v>51</v>
      </c>
      <c r="O1082">
        <v>3</v>
      </c>
      <c r="P1082">
        <v>4</v>
      </c>
      <c r="Q1082" t="s">
        <v>50</v>
      </c>
      <c r="R1082">
        <v>2</v>
      </c>
      <c r="S1082" t="s">
        <v>42</v>
      </c>
      <c r="T1082" s="2">
        <v>16606</v>
      </c>
      <c r="U1082" s="2">
        <v>11380</v>
      </c>
      <c r="V1082">
        <v>8</v>
      </c>
      <c r="W1082" t="s">
        <v>38</v>
      </c>
      <c r="X1082">
        <v>12</v>
      </c>
      <c r="Y1082">
        <v>3</v>
      </c>
      <c r="Z1082">
        <v>4</v>
      </c>
      <c r="AA1082">
        <v>80</v>
      </c>
      <c r="AB1082">
        <v>1</v>
      </c>
      <c r="AC1082">
        <v>23</v>
      </c>
      <c r="AD1082">
        <v>2</v>
      </c>
      <c r="AE1082">
        <v>4</v>
      </c>
      <c r="AF1082">
        <v>13</v>
      </c>
      <c r="AG1082">
        <v>12</v>
      </c>
      <c r="AH1082">
        <v>5</v>
      </c>
      <c r="AI1082">
        <v>1</v>
      </c>
    </row>
    <row r="1083" spans="1:35" x14ac:dyDescent="0.25">
      <c r="A1083">
        <v>35</v>
      </c>
      <c r="B1083" t="str">
        <f t="shared" si="32"/>
        <v>35-44</v>
      </c>
      <c r="C1083" s="1" t="s">
        <v>38</v>
      </c>
      <c r="D1083" s="17">
        <f>IF(Table1[[#This Row],[Attrition]]="Yes",1,0)</f>
        <v>0</v>
      </c>
      <c r="E1083" t="s">
        <v>57</v>
      </c>
      <c r="F1083" s="2">
        <v>1029</v>
      </c>
      <c r="G1083" t="s">
        <v>39</v>
      </c>
      <c r="H1083">
        <v>16</v>
      </c>
      <c r="I1083">
        <v>3</v>
      </c>
      <c r="J1083" t="str">
        <f t="shared" si="33"/>
        <v>Bachelor</v>
      </c>
      <c r="K1083" t="s">
        <v>34</v>
      </c>
      <c r="L1083">
        <v>4</v>
      </c>
      <c r="M1083" t="s">
        <v>35</v>
      </c>
      <c r="N1083" s="2">
        <v>91</v>
      </c>
      <c r="O1083">
        <v>2</v>
      </c>
      <c r="P1083">
        <v>3</v>
      </c>
      <c r="Q1083" t="s">
        <v>48</v>
      </c>
      <c r="R1083">
        <v>2</v>
      </c>
      <c r="S1083" t="s">
        <v>37</v>
      </c>
      <c r="T1083" s="2">
        <v>8606</v>
      </c>
      <c r="U1083" s="2">
        <v>21195</v>
      </c>
      <c r="V1083">
        <v>1</v>
      </c>
      <c r="W1083" t="s">
        <v>38</v>
      </c>
      <c r="X1083">
        <v>19</v>
      </c>
      <c r="Y1083">
        <v>3</v>
      </c>
      <c r="Z1083">
        <v>4</v>
      </c>
      <c r="AA1083">
        <v>80</v>
      </c>
      <c r="AB1083">
        <v>0</v>
      </c>
      <c r="AC1083">
        <v>11</v>
      </c>
      <c r="AD1083">
        <v>3</v>
      </c>
      <c r="AE1083">
        <v>1</v>
      </c>
      <c r="AF1083">
        <v>11</v>
      </c>
      <c r="AG1083">
        <v>8</v>
      </c>
      <c r="AH1083">
        <v>3</v>
      </c>
      <c r="AI1083">
        <v>3</v>
      </c>
    </row>
    <row r="1084" spans="1:35" x14ac:dyDescent="0.25">
      <c r="A1084">
        <v>23</v>
      </c>
      <c r="B1084" t="str">
        <f t="shared" si="32"/>
        <v>18-24</v>
      </c>
      <c r="C1084" s="1" t="s">
        <v>38</v>
      </c>
      <c r="D1084" s="17">
        <f>IF(Table1[[#This Row],[Attrition]]="Yes",1,0)</f>
        <v>0</v>
      </c>
      <c r="E1084" t="s">
        <v>57</v>
      </c>
      <c r="F1084" s="2">
        <v>507</v>
      </c>
      <c r="G1084" t="s">
        <v>39</v>
      </c>
      <c r="H1084">
        <v>20</v>
      </c>
      <c r="I1084">
        <v>1</v>
      </c>
      <c r="J1084" t="str">
        <f t="shared" si="33"/>
        <v>Below College</v>
      </c>
      <c r="K1084" t="s">
        <v>34</v>
      </c>
      <c r="L1084">
        <v>1</v>
      </c>
      <c r="M1084" t="s">
        <v>40</v>
      </c>
      <c r="N1084" s="2">
        <v>97</v>
      </c>
      <c r="O1084">
        <v>3</v>
      </c>
      <c r="P1084">
        <v>2</v>
      </c>
      <c r="Q1084" t="s">
        <v>44</v>
      </c>
      <c r="R1084">
        <v>3</v>
      </c>
      <c r="S1084" t="s">
        <v>37</v>
      </c>
      <c r="T1084" s="2">
        <v>2272</v>
      </c>
      <c r="U1084" s="2">
        <v>24812</v>
      </c>
      <c r="V1084">
        <v>0</v>
      </c>
      <c r="W1084" t="s">
        <v>38</v>
      </c>
      <c r="X1084">
        <v>14</v>
      </c>
      <c r="Y1084">
        <v>3</v>
      </c>
      <c r="Z1084">
        <v>2</v>
      </c>
      <c r="AA1084">
        <v>80</v>
      </c>
      <c r="AB1084">
        <v>0</v>
      </c>
      <c r="AC1084">
        <v>5</v>
      </c>
      <c r="AD1084">
        <v>2</v>
      </c>
      <c r="AE1084">
        <v>3</v>
      </c>
      <c r="AF1084">
        <v>4</v>
      </c>
      <c r="AG1084">
        <v>3</v>
      </c>
      <c r="AH1084">
        <v>1</v>
      </c>
      <c r="AI1084">
        <v>2</v>
      </c>
    </row>
    <row r="1085" spans="1:35" x14ac:dyDescent="0.25">
      <c r="A1085">
        <v>40</v>
      </c>
      <c r="B1085" t="str">
        <f t="shared" si="32"/>
        <v>35-44</v>
      </c>
      <c r="C1085" s="1" t="s">
        <v>32</v>
      </c>
      <c r="D1085" s="17">
        <f>IF(Table1[[#This Row],[Attrition]]="Yes",1,0)</f>
        <v>1</v>
      </c>
      <c r="E1085" t="s">
        <v>57</v>
      </c>
      <c r="F1085" s="2">
        <v>676</v>
      </c>
      <c r="G1085" t="s">
        <v>39</v>
      </c>
      <c r="H1085">
        <v>9</v>
      </c>
      <c r="I1085">
        <v>4</v>
      </c>
      <c r="J1085" t="str">
        <f t="shared" si="33"/>
        <v>Master</v>
      </c>
      <c r="K1085" t="s">
        <v>34</v>
      </c>
      <c r="L1085">
        <v>4</v>
      </c>
      <c r="M1085" t="s">
        <v>40</v>
      </c>
      <c r="N1085" s="2">
        <v>86</v>
      </c>
      <c r="O1085">
        <v>3</v>
      </c>
      <c r="P1085">
        <v>1</v>
      </c>
      <c r="Q1085" t="s">
        <v>44</v>
      </c>
      <c r="R1085">
        <v>1</v>
      </c>
      <c r="S1085" t="s">
        <v>37</v>
      </c>
      <c r="T1085" s="2">
        <v>2018</v>
      </c>
      <c r="U1085" s="2">
        <v>21831</v>
      </c>
      <c r="V1085">
        <v>3</v>
      </c>
      <c r="W1085" t="s">
        <v>38</v>
      </c>
      <c r="X1085">
        <v>14</v>
      </c>
      <c r="Y1085">
        <v>3</v>
      </c>
      <c r="Z1085">
        <v>2</v>
      </c>
      <c r="AA1085">
        <v>80</v>
      </c>
      <c r="AB1085">
        <v>0</v>
      </c>
      <c r="AC1085">
        <v>15</v>
      </c>
      <c r="AD1085">
        <v>3</v>
      </c>
      <c r="AE1085">
        <v>1</v>
      </c>
      <c r="AF1085">
        <v>5</v>
      </c>
      <c r="AG1085">
        <v>4</v>
      </c>
      <c r="AH1085">
        <v>1</v>
      </c>
      <c r="AI1085">
        <v>0</v>
      </c>
    </row>
    <row r="1086" spans="1:35" x14ac:dyDescent="0.25">
      <c r="A1086">
        <v>34</v>
      </c>
      <c r="B1086" t="str">
        <f t="shared" si="32"/>
        <v>25-34</v>
      </c>
      <c r="C1086" s="1" t="s">
        <v>38</v>
      </c>
      <c r="D1086" s="17">
        <f>IF(Table1[[#This Row],[Attrition]]="Yes",1,0)</f>
        <v>0</v>
      </c>
      <c r="E1086" t="s">
        <v>57</v>
      </c>
      <c r="F1086" s="2">
        <v>971</v>
      </c>
      <c r="G1086" t="s">
        <v>33</v>
      </c>
      <c r="H1086">
        <v>1</v>
      </c>
      <c r="I1086">
        <v>3</v>
      </c>
      <c r="J1086" t="str">
        <f t="shared" si="33"/>
        <v>Bachelor</v>
      </c>
      <c r="K1086" t="s">
        <v>54</v>
      </c>
      <c r="L1086">
        <v>4</v>
      </c>
      <c r="M1086" t="s">
        <v>40</v>
      </c>
      <c r="N1086" s="2">
        <v>64</v>
      </c>
      <c r="O1086">
        <v>2</v>
      </c>
      <c r="P1086">
        <v>3</v>
      </c>
      <c r="Q1086" t="s">
        <v>36</v>
      </c>
      <c r="R1086">
        <v>3</v>
      </c>
      <c r="S1086" t="s">
        <v>42</v>
      </c>
      <c r="T1086" s="2">
        <v>7083</v>
      </c>
      <c r="U1086" s="2">
        <v>12288</v>
      </c>
      <c r="V1086">
        <v>1</v>
      </c>
      <c r="W1086" t="s">
        <v>32</v>
      </c>
      <c r="X1086">
        <v>14</v>
      </c>
      <c r="Y1086">
        <v>3</v>
      </c>
      <c r="Z1086">
        <v>4</v>
      </c>
      <c r="AA1086">
        <v>80</v>
      </c>
      <c r="AB1086">
        <v>0</v>
      </c>
      <c r="AC1086">
        <v>10</v>
      </c>
      <c r="AD1086">
        <v>3</v>
      </c>
      <c r="AE1086">
        <v>3</v>
      </c>
      <c r="AF1086">
        <v>10</v>
      </c>
      <c r="AG1086">
        <v>9</v>
      </c>
      <c r="AH1086">
        <v>8</v>
      </c>
      <c r="AI1086">
        <v>6</v>
      </c>
    </row>
    <row r="1087" spans="1:35" x14ac:dyDescent="0.25">
      <c r="A1087">
        <v>31</v>
      </c>
      <c r="B1087" t="str">
        <f t="shared" si="32"/>
        <v>25-34</v>
      </c>
      <c r="C1087" s="1" t="s">
        <v>32</v>
      </c>
      <c r="D1087" s="17">
        <f>IF(Table1[[#This Row],[Attrition]]="Yes",1,0)</f>
        <v>1</v>
      </c>
      <c r="E1087" t="s">
        <v>58</v>
      </c>
      <c r="F1087" s="2">
        <v>561</v>
      </c>
      <c r="G1087" t="s">
        <v>39</v>
      </c>
      <c r="H1087">
        <v>3</v>
      </c>
      <c r="I1087">
        <v>3</v>
      </c>
      <c r="J1087" t="str">
        <f t="shared" si="33"/>
        <v>Bachelor</v>
      </c>
      <c r="K1087" t="s">
        <v>34</v>
      </c>
      <c r="L1087">
        <v>4</v>
      </c>
      <c r="M1087" t="s">
        <v>35</v>
      </c>
      <c r="N1087" s="2">
        <v>33</v>
      </c>
      <c r="O1087">
        <v>3</v>
      </c>
      <c r="P1087">
        <v>1</v>
      </c>
      <c r="Q1087" t="s">
        <v>41</v>
      </c>
      <c r="R1087">
        <v>3</v>
      </c>
      <c r="S1087" t="s">
        <v>37</v>
      </c>
      <c r="T1087" s="2">
        <v>4084</v>
      </c>
      <c r="U1087" s="2">
        <v>4156</v>
      </c>
      <c r="V1087">
        <v>1</v>
      </c>
      <c r="W1087" t="s">
        <v>38</v>
      </c>
      <c r="X1087">
        <v>12</v>
      </c>
      <c r="Y1087">
        <v>3</v>
      </c>
      <c r="Z1087">
        <v>1</v>
      </c>
      <c r="AA1087">
        <v>80</v>
      </c>
      <c r="AB1087">
        <v>0</v>
      </c>
      <c r="AC1087">
        <v>7</v>
      </c>
      <c r="AD1087">
        <v>2</v>
      </c>
      <c r="AE1087">
        <v>1</v>
      </c>
      <c r="AF1087">
        <v>7</v>
      </c>
      <c r="AG1087">
        <v>2</v>
      </c>
      <c r="AH1087">
        <v>7</v>
      </c>
      <c r="AI1087">
        <v>7</v>
      </c>
    </row>
    <row r="1088" spans="1:35" x14ac:dyDescent="0.25">
      <c r="A1088">
        <v>50</v>
      </c>
      <c r="B1088" t="str">
        <f t="shared" si="32"/>
        <v>45-54</v>
      </c>
      <c r="C1088" s="1" t="s">
        <v>38</v>
      </c>
      <c r="D1088" s="17">
        <f>IF(Table1[[#This Row],[Attrition]]="Yes",1,0)</f>
        <v>0</v>
      </c>
      <c r="E1088" t="s">
        <v>58</v>
      </c>
      <c r="F1088" s="2">
        <v>333</v>
      </c>
      <c r="G1088" t="s">
        <v>39</v>
      </c>
      <c r="H1088">
        <v>22</v>
      </c>
      <c r="I1088">
        <v>5</v>
      </c>
      <c r="J1088" t="str">
        <f t="shared" si="33"/>
        <v>Doctor</v>
      </c>
      <c r="K1088" t="s">
        <v>45</v>
      </c>
      <c r="L1088">
        <v>3</v>
      </c>
      <c r="M1088" t="s">
        <v>40</v>
      </c>
      <c r="N1088" s="2">
        <v>88</v>
      </c>
      <c r="O1088">
        <v>1</v>
      </c>
      <c r="P1088">
        <v>4</v>
      </c>
      <c r="Q1088" t="s">
        <v>52</v>
      </c>
      <c r="R1088">
        <v>4</v>
      </c>
      <c r="S1088" t="s">
        <v>37</v>
      </c>
      <c r="T1088" s="2">
        <v>14411</v>
      </c>
      <c r="U1088" s="2">
        <v>24450</v>
      </c>
      <c r="V1088">
        <v>1</v>
      </c>
      <c r="W1088" t="s">
        <v>32</v>
      </c>
      <c r="X1088">
        <v>13</v>
      </c>
      <c r="Y1088">
        <v>3</v>
      </c>
      <c r="Z1088">
        <v>4</v>
      </c>
      <c r="AA1088">
        <v>80</v>
      </c>
      <c r="AB1088">
        <v>0</v>
      </c>
      <c r="AC1088">
        <v>32</v>
      </c>
      <c r="AD1088">
        <v>2</v>
      </c>
      <c r="AE1088">
        <v>3</v>
      </c>
      <c r="AF1088">
        <v>32</v>
      </c>
      <c r="AG1088">
        <v>6</v>
      </c>
      <c r="AH1088">
        <v>13</v>
      </c>
      <c r="AI1088">
        <v>9</v>
      </c>
    </row>
    <row r="1089" spans="1:35" x14ac:dyDescent="0.25">
      <c r="A1089">
        <v>34</v>
      </c>
      <c r="B1089" t="str">
        <f t="shared" si="32"/>
        <v>25-34</v>
      </c>
      <c r="C1089" s="1" t="s">
        <v>38</v>
      </c>
      <c r="D1089" s="17">
        <f>IF(Table1[[#This Row],[Attrition]]="Yes",1,0)</f>
        <v>0</v>
      </c>
      <c r="E1089" t="s">
        <v>57</v>
      </c>
      <c r="F1089" s="2">
        <v>1440</v>
      </c>
      <c r="G1089" t="s">
        <v>33</v>
      </c>
      <c r="H1089">
        <v>7</v>
      </c>
      <c r="I1089">
        <v>2</v>
      </c>
      <c r="J1089" t="str">
        <f t="shared" si="33"/>
        <v>College</v>
      </c>
      <c r="K1089" t="s">
        <v>54</v>
      </c>
      <c r="L1089">
        <v>2</v>
      </c>
      <c r="M1089" t="s">
        <v>40</v>
      </c>
      <c r="N1089" s="2">
        <v>55</v>
      </c>
      <c r="O1089">
        <v>3</v>
      </c>
      <c r="P1089">
        <v>1</v>
      </c>
      <c r="Q1089" t="s">
        <v>51</v>
      </c>
      <c r="R1089">
        <v>3</v>
      </c>
      <c r="S1089" t="s">
        <v>42</v>
      </c>
      <c r="T1089" s="2">
        <v>2308</v>
      </c>
      <c r="U1089" s="2">
        <v>4944</v>
      </c>
      <c r="V1089">
        <v>0</v>
      </c>
      <c r="W1089" t="s">
        <v>32</v>
      </c>
      <c r="X1089">
        <v>25</v>
      </c>
      <c r="Y1089">
        <v>4</v>
      </c>
      <c r="Z1089">
        <v>2</v>
      </c>
      <c r="AA1089">
        <v>80</v>
      </c>
      <c r="AB1089">
        <v>1</v>
      </c>
      <c r="AC1089">
        <v>12</v>
      </c>
      <c r="AD1089">
        <v>4</v>
      </c>
      <c r="AE1089">
        <v>3</v>
      </c>
      <c r="AF1089">
        <v>11</v>
      </c>
      <c r="AG1089">
        <v>10</v>
      </c>
      <c r="AH1089">
        <v>5</v>
      </c>
      <c r="AI1089">
        <v>7</v>
      </c>
    </row>
    <row r="1090" spans="1:35" x14ac:dyDescent="0.25">
      <c r="A1090">
        <v>42</v>
      </c>
      <c r="B1090" t="str">
        <f t="shared" ref="B1090:B1153" si="34">IF(A1090="","",IF(A1090&lt;25,"18-24",
 IF(A1090&lt;35,"25-34",
 IF(A1090&lt;45,"35-44",
 IF(A1090&lt;55,"45-54",
 IF(A1090&lt;65,"55-64","65+"))))))</f>
        <v>35-44</v>
      </c>
      <c r="C1090" s="1" t="s">
        <v>38</v>
      </c>
      <c r="D1090" s="17">
        <f>IF(Table1[[#This Row],[Attrition]]="Yes",1,0)</f>
        <v>0</v>
      </c>
      <c r="E1090" t="s">
        <v>57</v>
      </c>
      <c r="F1090" s="2">
        <v>1210</v>
      </c>
      <c r="G1090" t="s">
        <v>39</v>
      </c>
      <c r="H1090">
        <v>2</v>
      </c>
      <c r="I1090">
        <v>3</v>
      </c>
      <c r="J1090" t="str">
        <f t="shared" ref="J1090:J1153" si="35">CHOOSE(I1090,"Below College","College","Bachelor","Master","Doctor")</f>
        <v>Bachelor</v>
      </c>
      <c r="K1090" t="s">
        <v>45</v>
      </c>
      <c r="L1090">
        <v>3</v>
      </c>
      <c r="M1090" t="s">
        <v>40</v>
      </c>
      <c r="N1090" s="2">
        <v>68</v>
      </c>
      <c r="O1090">
        <v>2</v>
      </c>
      <c r="P1090">
        <v>1</v>
      </c>
      <c r="Q1090" t="s">
        <v>44</v>
      </c>
      <c r="R1090">
        <v>2</v>
      </c>
      <c r="S1090" t="s">
        <v>42</v>
      </c>
      <c r="T1090" s="2">
        <v>4841</v>
      </c>
      <c r="U1090" s="2">
        <v>24052</v>
      </c>
      <c r="V1090">
        <v>4</v>
      </c>
      <c r="W1090" t="s">
        <v>38</v>
      </c>
      <c r="X1090">
        <v>14</v>
      </c>
      <c r="Y1090">
        <v>3</v>
      </c>
      <c r="Z1090">
        <v>2</v>
      </c>
      <c r="AA1090">
        <v>80</v>
      </c>
      <c r="AB1090">
        <v>1</v>
      </c>
      <c r="AC1090">
        <v>4</v>
      </c>
      <c r="AD1090">
        <v>3</v>
      </c>
      <c r="AE1090">
        <v>3</v>
      </c>
      <c r="AF1090">
        <v>1</v>
      </c>
      <c r="AG1090">
        <v>0</v>
      </c>
      <c r="AH1090">
        <v>0</v>
      </c>
      <c r="AI1090">
        <v>0</v>
      </c>
    </row>
    <row r="1091" spans="1:35" x14ac:dyDescent="0.25">
      <c r="A1091">
        <v>37</v>
      </c>
      <c r="B1091" t="str">
        <f t="shared" si="34"/>
        <v>35-44</v>
      </c>
      <c r="C1091" s="1" t="s">
        <v>38</v>
      </c>
      <c r="D1091" s="17">
        <f>IF(Table1[[#This Row],[Attrition]]="Yes",1,0)</f>
        <v>0</v>
      </c>
      <c r="E1091" t="s">
        <v>57</v>
      </c>
      <c r="F1091" s="2">
        <v>674</v>
      </c>
      <c r="G1091" t="s">
        <v>39</v>
      </c>
      <c r="H1091">
        <v>13</v>
      </c>
      <c r="I1091">
        <v>3</v>
      </c>
      <c r="J1091" t="str">
        <f t="shared" si="35"/>
        <v>Bachelor</v>
      </c>
      <c r="K1091" t="s">
        <v>45</v>
      </c>
      <c r="L1091">
        <v>1</v>
      </c>
      <c r="M1091" t="s">
        <v>40</v>
      </c>
      <c r="N1091" s="2">
        <v>47</v>
      </c>
      <c r="O1091">
        <v>3</v>
      </c>
      <c r="P1091">
        <v>2</v>
      </c>
      <c r="Q1091" t="s">
        <v>41</v>
      </c>
      <c r="R1091">
        <v>4</v>
      </c>
      <c r="S1091" t="s">
        <v>42</v>
      </c>
      <c r="T1091" s="2">
        <v>4285</v>
      </c>
      <c r="U1091" s="2">
        <v>3031</v>
      </c>
      <c r="V1091">
        <v>1</v>
      </c>
      <c r="W1091" t="s">
        <v>38</v>
      </c>
      <c r="X1091">
        <v>17</v>
      </c>
      <c r="Y1091">
        <v>3</v>
      </c>
      <c r="Z1091">
        <v>1</v>
      </c>
      <c r="AA1091">
        <v>80</v>
      </c>
      <c r="AB1091">
        <v>0</v>
      </c>
      <c r="AC1091">
        <v>10</v>
      </c>
      <c r="AD1091">
        <v>2</v>
      </c>
      <c r="AE1091">
        <v>3</v>
      </c>
      <c r="AF1091">
        <v>10</v>
      </c>
      <c r="AG1091">
        <v>8</v>
      </c>
      <c r="AH1091">
        <v>3</v>
      </c>
      <c r="AI1091">
        <v>7</v>
      </c>
    </row>
    <row r="1092" spans="1:35" x14ac:dyDescent="0.25">
      <c r="A1092">
        <v>29</v>
      </c>
      <c r="B1092" t="str">
        <f t="shared" si="34"/>
        <v>25-34</v>
      </c>
      <c r="C1092" s="1" t="s">
        <v>38</v>
      </c>
      <c r="D1092" s="17">
        <f>IF(Table1[[#This Row],[Attrition]]="Yes",1,0)</f>
        <v>0</v>
      </c>
      <c r="E1092" t="s">
        <v>57</v>
      </c>
      <c r="F1092" s="2">
        <v>441</v>
      </c>
      <c r="G1092" t="s">
        <v>39</v>
      </c>
      <c r="H1092">
        <v>8</v>
      </c>
      <c r="I1092">
        <v>1</v>
      </c>
      <c r="J1092" t="str">
        <f t="shared" si="35"/>
        <v>Below College</v>
      </c>
      <c r="K1092" t="s">
        <v>43</v>
      </c>
      <c r="L1092">
        <v>3</v>
      </c>
      <c r="M1092" t="s">
        <v>35</v>
      </c>
      <c r="N1092" s="2">
        <v>39</v>
      </c>
      <c r="O1092">
        <v>1</v>
      </c>
      <c r="P1092">
        <v>2</v>
      </c>
      <c r="Q1092" t="s">
        <v>48</v>
      </c>
      <c r="R1092">
        <v>1</v>
      </c>
      <c r="S1092" t="s">
        <v>42</v>
      </c>
      <c r="T1092" s="2">
        <v>9715</v>
      </c>
      <c r="U1092" s="2">
        <v>7288</v>
      </c>
      <c r="V1092">
        <v>3</v>
      </c>
      <c r="W1092" t="s">
        <v>38</v>
      </c>
      <c r="X1092">
        <v>13</v>
      </c>
      <c r="Y1092">
        <v>3</v>
      </c>
      <c r="Z1092">
        <v>3</v>
      </c>
      <c r="AA1092">
        <v>80</v>
      </c>
      <c r="AB1092">
        <v>1</v>
      </c>
      <c r="AC1092">
        <v>9</v>
      </c>
      <c r="AD1092">
        <v>3</v>
      </c>
      <c r="AE1092">
        <v>3</v>
      </c>
      <c r="AF1092">
        <v>7</v>
      </c>
      <c r="AG1092">
        <v>7</v>
      </c>
      <c r="AH1092">
        <v>0</v>
      </c>
      <c r="AI1092">
        <v>7</v>
      </c>
    </row>
    <row r="1093" spans="1:35" x14ac:dyDescent="0.25">
      <c r="A1093">
        <v>33</v>
      </c>
      <c r="B1093" t="str">
        <f t="shared" si="34"/>
        <v>25-34</v>
      </c>
      <c r="C1093" s="1" t="s">
        <v>38</v>
      </c>
      <c r="D1093" s="17">
        <f>IF(Table1[[#This Row],[Attrition]]="Yes",1,0)</f>
        <v>0</v>
      </c>
      <c r="E1093" t="s">
        <v>57</v>
      </c>
      <c r="F1093" s="2">
        <v>575</v>
      </c>
      <c r="G1093" t="s">
        <v>39</v>
      </c>
      <c r="H1093">
        <v>25</v>
      </c>
      <c r="I1093">
        <v>3</v>
      </c>
      <c r="J1093" t="str">
        <f t="shared" si="35"/>
        <v>Bachelor</v>
      </c>
      <c r="K1093" t="s">
        <v>34</v>
      </c>
      <c r="L1093">
        <v>4</v>
      </c>
      <c r="M1093" t="s">
        <v>40</v>
      </c>
      <c r="N1093" s="2">
        <v>44</v>
      </c>
      <c r="O1093">
        <v>2</v>
      </c>
      <c r="P1093">
        <v>2</v>
      </c>
      <c r="Q1093" t="s">
        <v>47</v>
      </c>
      <c r="R1093">
        <v>2</v>
      </c>
      <c r="S1093" t="s">
        <v>37</v>
      </c>
      <c r="T1093" s="2">
        <v>4320</v>
      </c>
      <c r="U1093" s="2">
        <v>24152</v>
      </c>
      <c r="V1093">
        <v>1</v>
      </c>
      <c r="W1093" t="s">
        <v>38</v>
      </c>
      <c r="X1093">
        <v>13</v>
      </c>
      <c r="Y1093">
        <v>3</v>
      </c>
      <c r="Z1093">
        <v>4</v>
      </c>
      <c r="AA1093">
        <v>80</v>
      </c>
      <c r="AB1093">
        <v>0</v>
      </c>
      <c r="AC1093">
        <v>5</v>
      </c>
      <c r="AD1093">
        <v>2</v>
      </c>
      <c r="AE1093">
        <v>3</v>
      </c>
      <c r="AF1093">
        <v>5</v>
      </c>
      <c r="AG1093">
        <v>3</v>
      </c>
      <c r="AH1093">
        <v>0</v>
      </c>
      <c r="AI1093">
        <v>2</v>
      </c>
    </row>
    <row r="1094" spans="1:35" x14ac:dyDescent="0.25">
      <c r="A1094">
        <v>45</v>
      </c>
      <c r="B1094" t="str">
        <f t="shared" si="34"/>
        <v>45-54</v>
      </c>
      <c r="C1094" s="1" t="s">
        <v>38</v>
      </c>
      <c r="D1094" s="17">
        <f>IF(Table1[[#This Row],[Attrition]]="Yes",1,0)</f>
        <v>0</v>
      </c>
      <c r="E1094" t="s">
        <v>57</v>
      </c>
      <c r="F1094" s="2">
        <v>950</v>
      </c>
      <c r="G1094" t="s">
        <v>39</v>
      </c>
      <c r="H1094">
        <v>28</v>
      </c>
      <c r="I1094">
        <v>3</v>
      </c>
      <c r="J1094" t="str">
        <f t="shared" si="35"/>
        <v>Bachelor</v>
      </c>
      <c r="K1094" t="s">
        <v>54</v>
      </c>
      <c r="L1094">
        <v>4</v>
      </c>
      <c r="M1094" t="s">
        <v>40</v>
      </c>
      <c r="N1094" s="2">
        <v>97</v>
      </c>
      <c r="O1094">
        <v>3</v>
      </c>
      <c r="P1094">
        <v>1</v>
      </c>
      <c r="Q1094" t="s">
        <v>41</v>
      </c>
      <c r="R1094">
        <v>4</v>
      </c>
      <c r="S1094" t="s">
        <v>42</v>
      </c>
      <c r="T1094" s="2">
        <v>2132</v>
      </c>
      <c r="U1094" s="2">
        <v>4585</v>
      </c>
      <c r="V1094">
        <v>4</v>
      </c>
      <c r="W1094" t="s">
        <v>38</v>
      </c>
      <c r="X1094">
        <v>20</v>
      </c>
      <c r="Y1094">
        <v>4</v>
      </c>
      <c r="Z1094">
        <v>4</v>
      </c>
      <c r="AA1094">
        <v>80</v>
      </c>
      <c r="AB1094">
        <v>1</v>
      </c>
      <c r="AC1094">
        <v>8</v>
      </c>
      <c r="AD1094">
        <v>3</v>
      </c>
      <c r="AE1094">
        <v>3</v>
      </c>
      <c r="AF1094">
        <v>5</v>
      </c>
      <c r="AG1094">
        <v>4</v>
      </c>
      <c r="AH1094">
        <v>0</v>
      </c>
      <c r="AI1094">
        <v>3</v>
      </c>
    </row>
    <row r="1095" spans="1:35" x14ac:dyDescent="0.25">
      <c r="A1095">
        <v>42</v>
      </c>
      <c r="B1095" t="str">
        <f t="shared" si="34"/>
        <v>35-44</v>
      </c>
      <c r="C1095" s="1" t="s">
        <v>38</v>
      </c>
      <c r="D1095" s="17">
        <f>IF(Table1[[#This Row],[Attrition]]="Yes",1,0)</f>
        <v>0</v>
      </c>
      <c r="E1095" t="s">
        <v>58</v>
      </c>
      <c r="F1095" s="2">
        <v>288</v>
      </c>
      <c r="G1095" t="s">
        <v>39</v>
      </c>
      <c r="H1095">
        <v>2</v>
      </c>
      <c r="I1095">
        <v>3</v>
      </c>
      <c r="J1095" t="str">
        <f t="shared" si="35"/>
        <v>Bachelor</v>
      </c>
      <c r="K1095" t="s">
        <v>34</v>
      </c>
      <c r="L1095">
        <v>4</v>
      </c>
      <c r="M1095" t="s">
        <v>40</v>
      </c>
      <c r="N1095" s="2">
        <v>40</v>
      </c>
      <c r="O1095">
        <v>3</v>
      </c>
      <c r="P1095">
        <v>3</v>
      </c>
      <c r="Q1095" t="s">
        <v>48</v>
      </c>
      <c r="R1095">
        <v>4</v>
      </c>
      <c r="S1095" t="s">
        <v>42</v>
      </c>
      <c r="T1095" s="2">
        <v>10124</v>
      </c>
      <c r="U1095" s="2">
        <v>18611</v>
      </c>
      <c r="V1095">
        <v>2</v>
      </c>
      <c r="W1095" t="s">
        <v>32</v>
      </c>
      <c r="X1095">
        <v>14</v>
      </c>
      <c r="Y1095">
        <v>3</v>
      </c>
      <c r="Z1095">
        <v>3</v>
      </c>
      <c r="AA1095">
        <v>80</v>
      </c>
      <c r="AB1095">
        <v>1</v>
      </c>
      <c r="AC1095">
        <v>24</v>
      </c>
      <c r="AD1095">
        <v>3</v>
      </c>
      <c r="AE1095">
        <v>1</v>
      </c>
      <c r="AF1095">
        <v>20</v>
      </c>
      <c r="AG1095">
        <v>8</v>
      </c>
      <c r="AH1095">
        <v>13</v>
      </c>
      <c r="AI1095">
        <v>9</v>
      </c>
    </row>
    <row r="1096" spans="1:35" x14ac:dyDescent="0.25">
      <c r="A1096">
        <v>40</v>
      </c>
      <c r="B1096" t="str">
        <f t="shared" si="34"/>
        <v>35-44</v>
      </c>
      <c r="C1096" s="1" t="s">
        <v>38</v>
      </c>
      <c r="D1096" s="17">
        <f>IF(Table1[[#This Row],[Attrition]]="Yes",1,0)</f>
        <v>0</v>
      </c>
      <c r="E1096" t="s">
        <v>57</v>
      </c>
      <c r="F1096" s="2">
        <v>1342</v>
      </c>
      <c r="G1096" t="s">
        <v>33</v>
      </c>
      <c r="H1096">
        <v>9</v>
      </c>
      <c r="I1096">
        <v>2</v>
      </c>
      <c r="J1096" t="str">
        <f t="shared" si="35"/>
        <v>College</v>
      </c>
      <c r="K1096" t="s">
        <v>45</v>
      </c>
      <c r="L1096">
        <v>1</v>
      </c>
      <c r="M1096" t="s">
        <v>40</v>
      </c>
      <c r="N1096" s="2">
        <v>47</v>
      </c>
      <c r="O1096">
        <v>3</v>
      </c>
      <c r="P1096">
        <v>2</v>
      </c>
      <c r="Q1096" t="s">
        <v>36</v>
      </c>
      <c r="R1096">
        <v>1</v>
      </c>
      <c r="S1096" t="s">
        <v>42</v>
      </c>
      <c r="T1096" s="2">
        <v>5473</v>
      </c>
      <c r="U1096" s="2">
        <v>19345</v>
      </c>
      <c r="V1096">
        <v>0</v>
      </c>
      <c r="W1096" t="s">
        <v>38</v>
      </c>
      <c r="X1096">
        <v>12</v>
      </c>
      <c r="Y1096">
        <v>3</v>
      </c>
      <c r="Z1096">
        <v>4</v>
      </c>
      <c r="AA1096">
        <v>80</v>
      </c>
      <c r="AB1096">
        <v>0</v>
      </c>
      <c r="AC1096">
        <v>9</v>
      </c>
      <c r="AD1096">
        <v>5</v>
      </c>
      <c r="AE1096">
        <v>4</v>
      </c>
      <c r="AF1096">
        <v>8</v>
      </c>
      <c r="AG1096">
        <v>4</v>
      </c>
      <c r="AH1096">
        <v>7</v>
      </c>
      <c r="AI1096">
        <v>1</v>
      </c>
    </row>
    <row r="1097" spans="1:35" x14ac:dyDescent="0.25">
      <c r="A1097">
        <v>33</v>
      </c>
      <c r="B1097" t="str">
        <f t="shared" si="34"/>
        <v>25-34</v>
      </c>
      <c r="C1097" s="1" t="s">
        <v>38</v>
      </c>
      <c r="D1097" s="17">
        <f>IF(Table1[[#This Row],[Attrition]]="Yes",1,0)</f>
        <v>0</v>
      </c>
      <c r="E1097" t="s">
        <v>57</v>
      </c>
      <c r="F1097" s="2">
        <v>589</v>
      </c>
      <c r="G1097" t="s">
        <v>39</v>
      </c>
      <c r="H1097">
        <v>28</v>
      </c>
      <c r="I1097">
        <v>4</v>
      </c>
      <c r="J1097" t="str">
        <f t="shared" si="35"/>
        <v>Master</v>
      </c>
      <c r="K1097" t="s">
        <v>34</v>
      </c>
      <c r="L1097">
        <v>2</v>
      </c>
      <c r="M1097" t="s">
        <v>40</v>
      </c>
      <c r="N1097" s="2">
        <v>79</v>
      </c>
      <c r="O1097">
        <v>3</v>
      </c>
      <c r="P1097">
        <v>2</v>
      </c>
      <c r="Q1097" t="s">
        <v>44</v>
      </c>
      <c r="R1097">
        <v>3</v>
      </c>
      <c r="S1097" t="s">
        <v>42</v>
      </c>
      <c r="T1097" s="2">
        <v>5207</v>
      </c>
      <c r="U1097" s="2">
        <v>22949</v>
      </c>
      <c r="V1097">
        <v>1</v>
      </c>
      <c r="W1097" t="s">
        <v>32</v>
      </c>
      <c r="X1097">
        <v>12</v>
      </c>
      <c r="Y1097">
        <v>3</v>
      </c>
      <c r="Z1097">
        <v>2</v>
      </c>
      <c r="AA1097">
        <v>80</v>
      </c>
      <c r="AB1097">
        <v>1</v>
      </c>
      <c r="AC1097">
        <v>15</v>
      </c>
      <c r="AD1097">
        <v>3</v>
      </c>
      <c r="AE1097">
        <v>3</v>
      </c>
      <c r="AF1097">
        <v>15</v>
      </c>
      <c r="AG1097">
        <v>14</v>
      </c>
      <c r="AH1097">
        <v>5</v>
      </c>
      <c r="AI1097">
        <v>7</v>
      </c>
    </row>
    <row r="1098" spans="1:35" x14ac:dyDescent="0.25">
      <c r="A1098">
        <v>40</v>
      </c>
      <c r="B1098" t="str">
        <f t="shared" si="34"/>
        <v>35-44</v>
      </c>
      <c r="C1098" s="1" t="s">
        <v>38</v>
      </c>
      <c r="D1098" s="17">
        <f>IF(Table1[[#This Row],[Attrition]]="Yes",1,0)</f>
        <v>0</v>
      </c>
      <c r="E1098" t="s">
        <v>57</v>
      </c>
      <c r="F1098" s="2">
        <v>898</v>
      </c>
      <c r="G1098" t="s">
        <v>55</v>
      </c>
      <c r="H1098">
        <v>6</v>
      </c>
      <c r="I1098">
        <v>2</v>
      </c>
      <c r="J1098" t="str">
        <f t="shared" si="35"/>
        <v>College</v>
      </c>
      <c r="K1098" t="s">
        <v>45</v>
      </c>
      <c r="L1098">
        <v>3</v>
      </c>
      <c r="M1098" t="s">
        <v>40</v>
      </c>
      <c r="N1098" s="2">
        <v>38</v>
      </c>
      <c r="O1098">
        <v>3</v>
      </c>
      <c r="P1098">
        <v>4</v>
      </c>
      <c r="Q1098" t="s">
        <v>50</v>
      </c>
      <c r="R1098">
        <v>4</v>
      </c>
      <c r="S1098" t="s">
        <v>37</v>
      </c>
      <c r="T1098" s="2">
        <v>16437</v>
      </c>
      <c r="U1098" s="2">
        <v>17381</v>
      </c>
      <c r="V1098">
        <v>1</v>
      </c>
      <c r="W1098" t="s">
        <v>32</v>
      </c>
      <c r="X1098">
        <v>21</v>
      </c>
      <c r="Y1098">
        <v>4</v>
      </c>
      <c r="Z1098">
        <v>4</v>
      </c>
      <c r="AA1098">
        <v>80</v>
      </c>
      <c r="AB1098">
        <v>0</v>
      </c>
      <c r="AC1098">
        <v>21</v>
      </c>
      <c r="AD1098">
        <v>2</v>
      </c>
      <c r="AE1098">
        <v>3</v>
      </c>
      <c r="AF1098">
        <v>21</v>
      </c>
      <c r="AG1098">
        <v>7</v>
      </c>
      <c r="AH1098">
        <v>7</v>
      </c>
      <c r="AI1098">
        <v>7</v>
      </c>
    </row>
    <row r="1099" spans="1:35" x14ac:dyDescent="0.25">
      <c r="A1099">
        <v>24</v>
      </c>
      <c r="B1099" t="str">
        <f t="shared" si="34"/>
        <v>18-24</v>
      </c>
      <c r="C1099" s="1" t="s">
        <v>38</v>
      </c>
      <c r="D1099" s="17">
        <f>IF(Table1[[#This Row],[Attrition]]="Yes",1,0)</f>
        <v>0</v>
      </c>
      <c r="E1099" t="s">
        <v>57</v>
      </c>
      <c r="F1099" s="2">
        <v>350</v>
      </c>
      <c r="G1099" t="s">
        <v>39</v>
      </c>
      <c r="H1099">
        <v>21</v>
      </c>
      <c r="I1099">
        <v>2</v>
      </c>
      <c r="J1099" t="str">
        <f t="shared" si="35"/>
        <v>College</v>
      </c>
      <c r="K1099" t="s">
        <v>54</v>
      </c>
      <c r="L1099">
        <v>3</v>
      </c>
      <c r="M1099" t="s">
        <v>40</v>
      </c>
      <c r="N1099" s="2">
        <v>57</v>
      </c>
      <c r="O1099">
        <v>2</v>
      </c>
      <c r="P1099">
        <v>1</v>
      </c>
      <c r="Q1099" t="s">
        <v>44</v>
      </c>
      <c r="R1099">
        <v>1</v>
      </c>
      <c r="S1099" t="s">
        <v>46</v>
      </c>
      <c r="T1099" s="2">
        <v>2296</v>
      </c>
      <c r="U1099" s="2">
        <v>10036</v>
      </c>
      <c r="V1099">
        <v>0</v>
      </c>
      <c r="W1099" t="s">
        <v>38</v>
      </c>
      <c r="X1099">
        <v>14</v>
      </c>
      <c r="Y1099">
        <v>3</v>
      </c>
      <c r="Z1099">
        <v>2</v>
      </c>
      <c r="AA1099">
        <v>80</v>
      </c>
      <c r="AB1099">
        <v>3</v>
      </c>
      <c r="AC1099">
        <v>2</v>
      </c>
      <c r="AD1099">
        <v>3</v>
      </c>
      <c r="AE1099">
        <v>3</v>
      </c>
      <c r="AF1099">
        <v>1</v>
      </c>
      <c r="AG1099">
        <v>1</v>
      </c>
      <c r="AH1099">
        <v>0</v>
      </c>
      <c r="AI1099">
        <v>0</v>
      </c>
    </row>
    <row r="1100" spans="1:35" x14ac:dyDescent="0.25">
      <c r="A1100">
        <v>40</v>
      </c>
      <c r="B1100" t="str">
        <f t="shared" si="34"/>
        <v>35-44</v>
      </c>
      <c r="C1100" s="1" t="s">
        <v>38</v>
      </c>
      <c r="D1100" s="17">
        <f>IF(Table1[[#This Row],[Attrition]]="Yes",1,0)</f>
        <v>0</v>
      </c>
      <c r="E1100" t="s">
        <v>49</v>
      </c>
      <c r="F1100" s="2">
        <v>1142</v>
      </c>
      <c r="G1100" t="s">
        <v>39</v>
      </c>
      <c r="H1100">
        <v>8</v>
      </c>
      <c r="I1100">
        <v>2</v>
      </c>
      <c r="J1100" t="str">
        <f t="shared" si="35"/>
        <v>College</v>
      </c>
      <c r="K1100" t="s">
        <v>34</v>
      </c>
      <c r="L1100">
        <v>4</v>
      </c>
      <c r="M1100" t="s">
        <v>40</v>
      </c>
      <c r="N1100" s="2">
        <v>72</v>
      </c>
      <c r="O1100">
        <v>3</v>
      </c>
      <c r="P1100">
        <v>2</v>
      </c>
      <c r="Q1100" t="s">
        <v>48</v>
      </c>
      <c r="R1100">
        <v>4</v>
      </c>
      <c r="S1100" t="s">
        <v>46</v>
      </c>
      <c r="T1100" s="2">
        <v>4069</v>
      </c>
      <c r="U1100" s="2">
        <v>8841</v>
      </c>
      <c r="V1100">
        <v>3</v>
      </c>
      <c r="W1100" t="s">
        <v>32</v>
      </c>
      <c r="X1100">
        <v>18</v>
      </c>
      <c r="Y1100">
        <v>3</v>
      </c>
      <c r="Z1100">
        <v>3</v>
      </c>
      <c r="AA1100">
        <v>80</v>
      </c>
      <c r="AB1100">
        <v>0</v>
      </c>
      <c r="AC1100">
        <v>8</v>
      </c>
      <c r="AD1100">
        <v>2</v>
      </c>
      <c r="AE1100">
        <v>3</v>
      </c>
      <c r="AF1100">
        <v>2</v>
      </c>
      <c r="AG1100">
        <v>2</v>
      </c>
      <c r="AH1100">
        <v>2</v>
      </c>
      <c r="AI1100">
        <v>2</v>
      </c>
    </row>
    <row r="1101" spans="1:35" x14ac:dyDescent="0.25">
      <c r="A1101">
        <v>45</v>
      </c>
      <c r="B1101" t="str">
        <f t="shared" si="34"/>
        <v>45-54</v>
      </c>
      <c r="C1101" s="1" t="s">
        <v>38</v>
      </c>
      <c r="D1101" s="17">
        <f>IF(Table1[[#This Row],[Attrition]]="Yes",1,0)</f>
        <v>0</v>
      </c>
      <c r="E1101" t="s">
        <v>57</v>
      </c>
      <c r="F1101" s="2">
        <v>538</v>
      </c>
      <c r="G1101" t="s">
        <v>39</v>
      </c>
      <c r="H1101">
        <v>1</v>
      </c>
      <c r="I1101">
        <v>4</v>
      </c>
      <c r="J1101" t="str">
        <f t="shared" si="35"/>
        <v>Master</v>
      </c>
      <c r="K1101" t="s">
        <v>54</v>
      </c>
      <c r="L1101">
        <v>1</v>
      </c>
      <c r="M1101" t="s">
        <v>40</v>
      </c>
      <c r="N1101" s="2">
        <v>66</v>
      </c>
      <c r="O1101">
        <v>3</v>
      </c>
      <c r="P1101">
        <v>3</v>
      </c>
      <c r="Q1101" t="s">
        <v>48</v>
      </c>
      <c r="R1101">
        <v>2</v>
      </c>
      <c r="S1101" t="s">
        <v>46</v>
      </c>
      <c r="T1101" s="2">
        <v>7441</v>
      </c>
      <c r="U1101" s="2">
        <v>20933</v>
      </c>
      <c r="V1101">
        <v>1</v>
      </c>
      <c r="W1101" t="s">
        <v>38</v>
      </c>
      <c r="X1101">
        <v>12</v>
      </c>
      <c r="Y1101">
        <v>3</v>
      </c>
      <c r="Z1101">
        <v>1</v>
      </c>
      <c r="AA1101">
        <v>80</v>
      </c>
      <c r="AB1101">
        <v>3</v>
      </c>
      <c r="AC1101">
        <v>10</v>
      </c>
      <c r="AD1101">
        <v>4</v>
      </c>
      <c r="AE1101">
        <v>3</v>
      </c>
      <c r="AF1101">
        <v>10</v>
      </c>
      <c r="AG1101">
        <v>8</v>
      </c>
      <c r="AH1101">
        <v>7</v>
      </c>
      <c r="AI1101">
        <v>7</v>
      </c>
    </row>
    <row r="1102" spans="1:35" x14ac:dyDescent="0.25">
      <c r="A1102">
        <v>35</v>
      </c>
      <c r="B1102" t="str">
        <f t="shared" si="34"/>
        <v>35-44</v>
      </c>
      <c r="C1102" s="1" t="s">
        <v>38</v>
      </c>
      <c r="D1102" s="17">
        <f>IF(Table1[[#This Row],[Attrition]]="Yes",1,0)</f>
        <v>0</v>
      </c>
      <c r="E1102" t="s">
        <v>57</v>
      </c>
      <c r="F1102" s="2">
        <v>1402</v>
      </c>
      <c r="G1102" t="s">
        <v>33</v>
      </c>
      <c r="H1102">
        <v>28</v>
      </c>
      <c r="I1102">
        <v>4</v>
      </c>
      <c r="J1102" t="str">
        <f t="shared" si="35"/>
        <v>Master</v>
      </c>
      <c r="K1102" t="s">
        <v>34</v>
      </c>
      <c r="L1102">
        <v>2</v>
      </c>
      <c r="M1102" t="s">
        <v>35</v>
      </c>
      <c r="N1102" s="2">
        <v>98</v>
      </c>
      <c r="O1102">
        <v>2</v>
      </c>
      <c r="P1102">
        <v>1</v>
      </c>
      <c r="Q1102" t="s">
        <v>51</v>
      </c>
      <c r="R1102">
        <v>3</v>
      </c>
      <c r="S1102" t="s">
        <v>42</v>
      </c>
      <c r="T1102" s="2">
        <v>2430</v>
      </c>
      <c r="U1102" s="2">
        <v>26204</v>
      </c>
      <c r="V1102">
        <v>0</v>
      </c>
      <c r="W1102" t="s">
        <v>38</v>
      </c>
      <c r="X1102">
        <v>23</v>
      </c>
      <c r="Y1102">
        <v>4</v>
      </c>
      <c r="Z1102">
        <v>1</v>
      </c>
      <c r="AA1102">
        <v>80</v>
      </c>
      <c r="AB1102">
        <v>2</v>
      </c>
      <c r="AC1102">
        <v>6</v>
      </c>
      <c r="AD1102">
        <v>5</v>
      </c>
      <c r="AE1102">
        <v>3</v>
      </c>
      <c r="AF1102">
        <v>5</v>
      </c>
      <c r="AG1102">
        <v>3</v>
      </c>
      <c r="AH1102">
        <v>4</v>
      </c>
      <c r="AI1102">
        <v>2</v>
      </c>
    </row>
    <row r="1103" spans="1:35" x14ac:dyDescent="0.25">
      <c r="A1103">
        <v>32</v>
      </c>
      <c r="B1103" t="str">
        <f t="shared" si="34"/>
        <v>25-34</v>
      </c>
      <c r="C1103" s="1" t="s">
        <v>38</v>
      </c>
      <c r="D1103" s="17">
        <f>IF(Table1[[#This Row],[Attrition]]="Yes",1,0)</f>
        <v>0</v>
      </c>
      <c r="E1103" t="s">
        <v>57</v>
      </c>
      <c r="F1103" s="2">
        <v>824</v>
      </c>
      <c r="G1103" t="s">
        <v>39</v>
      </c>
      <c r="H1103">
        <v>5</v>
      </c>
      <c r="I1103">
        <v>2</v>
      </c>
      <c r="J1103" t="str">
        <f t="shared" si="35"/>
        <v>College</v>
      </c>
      <c r="K1103" t="s">
        <v>34</v>
      </c>
      <c r="L1103">
        <v>4</v>
      </c>
      <c r="M1103" t="s">
        <v>35</v>
      </c>
      <c r="N1103" s="2">
        <v>67</v>
      </c>
      <c r="O1103">
        <v>2</v>
      </c>
      <c r="P1103">
        <v>2</v>
      </c>
      <c r="Q1103" t="s">
        <v>41</v>
      </c>
      <c r="R1103">
        <v>2</v>
      </c>
      <c r="S1103" t="s">
        <v>42</v>
      </c>
      <c r="T1103" s="2">
        <v>5878</v>
      </c>
      <c r="U1103" s="2">
        <v>15624</v>
      </c>
      <c r="V1103">
        <v>3</v>
      </c>
      <c r="W1103" t="s">
        <v>38</v>
      </c>
      <c r="X1103">
        <v>12</v>
      </c>
      <c r="Y1103">
        <v>3</v>
      </c>
      <c r="Z1103">
        <v>1</v>
      </c>
      <c r="AA1103">
        <v>80</v>
      </c>
      <c r="AB1103">
        <v>1</v>
      </c>
      <c r="AC1103">
        <v>12</v>
      </c>
      <c r="AD1103">
        <v>2</v>
      </c>
      <c r="AE1103">
        <v>3</v>
      </c>
      <c r="AF1103">
        <v>7</v>
      </c>
      <c r="AG1103">
        <v>1</v>
      </c>
      <c r="AH1103">
        <v>2</v>
      </c>
      <c r="AI1103">
        <v>5</v>
      </c>
    </row>
    <row r="1104" spans="1:35" x14ac:dyDescent="0.25">
      <c r="A1104">
        <v>36</v>
      </c>
      <c r="B1104" t="str">
        <f t="shared" si="34"/>
        <v>35-44</v>
      </c>
      <c r="C1104" s="1" t="s">
        <v>38</v>
      </c>
      <c r="D1104" s="17">
        <f>IF(Table1[[#This Row],[Attrition]]="Yes",1,0)</f>
        <v>0</v>
      </c>
      <c r="E1104" t="s">
        <v>57</v>
      </c>
      <c r="F1104" s="2">
        <v>1157</v>
      </c>
      <c r="G1104" t="s">
        <v>33</v>
      </c>
      <c r="H1104">
        <v>2</v>
      </c>
      <c r="I1104">
        <v>4</v>
      </c>
      <c r="J1104" t="str">
        <f t="shared" si="35"/>
        <v>Master</v>
      </c>
      <c r="K1104" t="s">
        <v>34</v>
      </c>
      <c r="L1104">
        <v>3</v>
      </c>
      <c r="M1104" t="s">
        <v>40</v>
      </c>
      <c r="N1104" s="2">
        <v>70</v>
      </c>
      <c r="O1104">
        <v>3</v>
      </c>
      <c r="P1104">
        <v>1</v>
      </c>
      <c r="Q1104" t="s">
        <v>51</v>
      </c>
      <c r="R1104">
        <v>4</v>
      </c>
      <c r="S1104" t="s">
        <v>37</v>
      </c>
      <c r="T1104" s="2">
        <v>2644</v>
      </c>
      <c r="U1104" s="2">
        <v>17001</v>
      </c>
      <c r="V1104">
        <v>3</v>
      </c>
      <c r="W1104" t="s">
        <v>32</v>
      </c>
      <c r="X1104">
        <v>21</v>
      </c>
      <c r="Y1104">
        <v>4</v>
      </c>
      <c r="Z1104">
        <v>4</v>
      </c>
      <c r="AA1104">
        <v>80</v>
      </c>
      <c r="AB1104">
        <v>0</v>
      </c>
      <c r="AC1104">
        <v>7</v>
      </c>
      <c r="AD1104">
        <v>3</v>
      </c>
      <c r="AE1104">
        <v>2</v>
      </c>
      <c r="AF1104">
        <v>3</v>
      </c>
      <c r="AG1104">
        <v>2</v>
      </c>
      <c r="AH1104">
        <v>1</v>
      </c>
      <c r="AI1104">
        <v>2</v>
      </c>
    </row>
    <row r="1105" spans="1:35" x14ac:dyDescent="0.25">
      <c r="A1105">
        <v>48</v>
      </c>
      <c r="B1105" t="str">
        <f t="shared" si="34"/>
        <v>45-54</v>
      </c>
      <c r="C1105" s="1" t="s">
        <v>38</v>
      </c>
      <c r="D1105" s="17">
        <f>IF(Table1[[#This Row],[Attrition]]="Yes",1,0)</f>
        <v>0</v>
      </c>
      <c r="E1105" t="s">
        <v>57</v>
      </c>
      <c r="F1105" s="2">
        <v>492</v>
      </c>
      <c r="G1105" t="s">
        <v>33</v>
      </c>
      <c r="H1105">
        <v>16</v>
      </c>
      <c r="I1105">
        <v>4</v>
      </c>
      <c r="J1105" t="str">
        <f t="shared" si="35"/>
        <v>Master</v>
      </c>
      <c r="K1105" t="s">
        <v>34</v>
      </c>
      <c r="L1105">
        <v>3</v>
      </c>
      <c r="M1105" t="s">
        <v>35</v>
      </c>
      <c r="N1105" s="2">
        <v>96</v>
      </c>
      <c r="O1105">
        <v>3</v>
      </c>
      <c r="P1105">
        <v>2</v>
      </c>
      <c r="Q1105" t="s">
        <v>36</v>
      </c>
      <c r="R1105">
        <v>3</v>
      </c>
      <c r="S1105" t="s">
        <v>46</v>
      </c>
      <c r="T1105" s="2">
        <v>6439</v>
      </c>
      <c r="U1105" s="2">
        <v>13693</v>
      </c>
      <c r="V1105">
        <v>8</v>
      </c>
      <c r="W1105" t="s">
        <v>38</v>
      </c>
      <c r="X1105">
        <v>14</v>
      </c>
      <c r="Y1105">
        <v>3</v>
      </c>
      <c r="Z1105">
        <v>3</v>
      </c>
      <c r="AA1105">
        <v>80</v>
      </c>
      <c r="AB1105">
        <v>1</v>
      </c>
      <c r="AC1105">
        <v>18</v>
      </c>
      <c r="AD1105">
        <v>2</v>
      </c>
      <c r="AE1105">
        <v>3</v>
      </c>
      <c r="AF1105">
        <v>8</v>
      </c>
      <c r="AG1105">
        <v>7</v>
      </c>
      <c r="AH1105">
        <v>7</v>
      </c>
      <c r="AI1105">
        <v>7</v>
      </c>
    </row>
    <row r="1106" spans="1:35" x14ac:dyDescent="0.25">
      <c r="A1106">
        <v>29</v>
      </c>
      <c r="B1106" t="str">
        <f t="shared" si="34"/>
        <v>25-34</v>
      </c>
      <c r="C1106" s="1" t="s">
        <v>38</v>
      </c>
      <c r="D1106" s="17">
        <f>IF(Table1[[#This Row],[Attrition]]="Yes",1,0)</f>
        <v>0</v>
      </c>
      <c r="E1106" t="s">
        <v>57</v>
      </c>
      <c r="F1106" s="2">
        <v>598</v>
      </c>
      <c r="G1106" t="s">
        <v>39</v>
      </c>
      <c r="H1106">
        <v>9</v>
      </c>
      <c r="I1106">
        <v>3</v>
      </c>
      <c r="J1106" t="str">
        <f t="shared" si="35"/>
        <v>Bachelor</v>
      </c>
      <c r="K1106" t="s">
        <v>34</v>
      </c>
      <c r="L1106">
        <v>3</v>
      </c>
      <c r="M1106" t="s">
        <v>40</v>
      </c>
      <c r="N1106" s="2">
        <v>91</v>
      </c>
      <c r="O1106">
        <v>4</v>
      </c>
      <c r="P1106">
        <v>1</v>
      </c>
      <c r="Q1106" t="s">
        <v>41</v>
      </c>
      <c r="R1106">
        <v>3</v>
      </c>
      <c r="S1106" t="s">
        <v>42</v>
      </c>
      <c r="T1106" s="2">
        <v>2451</v>
      </c>
      <c r="U1106" s="2">
        <v>22376</v>
      </c>
      <c r="V1106">
        <v>6</v>
      </c>
      <c r="W1106" t="s">
        <v>38</v>
      </c>
      <c r="X1106">
        <v>18</v>
      </c>
      <c r="Y1106">
        <v>3</v>
      </c>
      <c r="Z1106">
        <v>1</v>
      </c>
      <c r="AA1106">
        <v>80</v>
      </c>
      <c r="AB1106">
        <v>2</v>
      </c>
      <c r="AC1106">
        <v>5</v>
      </c>
      <c r="AD1106">
        <v>2</v>
      </c>
      <c r="AE1106">
        <v>2</v>
      </c>
      <c r="AF1106">
        <v>1</v>
      </c>
      <c r="AG1106">
        <v>0</v>
      </c>
      <c r="AH1106">
        <v>0</v>
      </c>
      <c r="AI1106">
        <v>0</v>
      </c>
    </row>
    <row r="1107" spans="1:35" x14ac:dyDescent="0.25">
      <c r="A1107">
        <v>33</v>
      </c>
      <c r="B1107" t="str">
        <f t="shared" si="34"/>
        <v>25-34</v>
      </c>
      <c r="C1107" s="1" t="s">
        <v>38</v>
      </c>
      <c r="D1107" s="17">
        <f>IF(Table1[[#This Row],[Attrition]]="Yes",1,0)</f>
        <v>0</v>
      </c>
      <c r="E1107" t="s">
        <v>57</v>
      </c>
      <c r="F1107" s="2">
        <v>1242</v>
      </c>
      <c r="G1107" t="s">
        <v>33</v>
      </c>
      <c r="H1107">
        <v>8</v>
      </c>
      <c r="I1107">
        <v>4</v>
      </c>
      <c r="J1107" t="str">
        <f t="shared" si="35"/>
        <v>Master</v>
      </c>
      <c r="K1107" t="s">
        <v>34</v>
      </c>
      <c r="L1107">
        <v>1</v>
      </c>
      <c r="M1107" t="s">
        <v>40</v>
      </c>
      <c r="N1107" s="2">
        <v>46</v>
      </c>
      <c r="O1107">
        <v>3</v>
      </c>
      <c r="P1107">
        <v>2</v>
      </c>
      <c r="Q1107" t="s">
        <v>36</v>
      </c>
      <c r="R1107">
        <v>1</v>
      </c>
      <c r="S1107" t="s">
        <v>42</v>
      </c>
      <c r="T1107" s="2">
        <v>6392</v>
      </c>
      <c r="U1107" s="2">
        <v>10589</v>
      </c>
      <c r="V1107">
        <v>2</v>
      </c>
      <c r="W1107" t="s">
        <v>38</v>
      </c>
      <c r="X1107">
        <v>13</v>
      </c>
      <c r="Y1107">
        <v>3</v>
      </c>
      <c r="Z1107">
        <v>4</v>
      </c>
      <c r="AA1107">
        <v>80</v>
      </c>
      <c r="AB1107">
        <v>1</v>
      </c>
      <c r="AC1107">
        <v>8</v>
      </c>
      <c r="AD1107">
        <v>6</v>
      </c>
      <c r="AE1107">
        <v>1</v>
      </c>
      <c r="AF1107">
        <v>2</v>
      </c>
      <c r="AG1107">
        <v>2</v>
      </c>
      <c r="AH1107">
        <v>2</v>
      </c>
      <c r="AI1107">
        <v>2</v>
      </c>
    </row>
    <row r="1108" spans="1:35" x14ac:dyDescent="0.25">
      <c r="A1108">
        <v>30</v>
      </c>
      <c r="B1108" t="str">
        <f t="shared" si="34"/>
        <v>25-34</v>
      </c>
      <c r="C1108" s="1" t="s">
        <v>32</v>
      </c>
      <c r="D1108" s="17">
        <f>IF(Table1[[#This Row],[Attrition]]="Yes",1,0)</f>
        <v>1</v>
      </c>
      <c r="E1108" t="s">
        <v>57</v>
      </c>
      <c r="F1108" s="2">
        <v>740</v>
      </c>
      <c r="G1108" t="s">
        <v>33</v>
      </c>
      <c r="H1108">
        <v>1</v>
      </c>
      <c r="I1108">
        <v>3</v>
      </c>
      <c r="J1108" t="str">
        <f t="shared" si="35"/>
        <v>Bachelor</v>
      </c>
      <c r="K1108" t="s">
        <v>34</v>
      </c>
      <c r="L1108">
        <v>2</v>
      </c>
      <c r="M1108" t="s">
        <v>40</v>
      </c>
      <c r="N1108" s="2">
        <v>64</v>
      </c>
      <c r="O1108">
        <v>2</v>
      </c>
      <c r="P1108">
        <v>2</v>
      </c>
      <c r="Q1108" t="s">
        <v>36</v>
      </c>
      <c r="R1108">
        <v>1</v>
      </c>
      <c r="S1108" t="s">
        <v>42</v>
      </c>
      <c r="T1108" s="2">
        <v>9714</v>
      </c>
      <c r="U1108" s="2">
        <v>5323</v>
      </c>
      <c r="V1108">
        <v>1</v>
      </c>
      <c r="W1108" t="s">
        <v>38</v>
      </c>
      <c r="X1108">
        <v>11</v>
      </c>
      <c r="Y1108">
        <v>3</v>
      </c>
      <c r="Z1108">
        <v>4</v>
      </c>
      <c r="AA1108">
        <v>80</v>
      </c>
      <c r="AB1108">
        <v>1</v>
      </c>
      <c r="AC1108">
        <v>10</v>
      </c>
      <c r="AD1108">
        <v>4</v>
      </c>
      <c r="AE1108">
        <v>3</v>
      </c>
      <c r="AF1108">
        <v>10</v>
      </c>
      <c r="AG1108">
        <v>8</v>
      </c>
      <c r="AH1108">
        <v>6</v>
      </c>
      <c r="AI1108">
        <v>7</v>
      </c>
    </row>
    <row r="1109" spans="1:35" x14ac:dyDescent="0.25">
      <c r="A1109">
        <v>38</v>
      </c>
      <c r="B1109" t="str">
        <f t="shared" si="34"/>
        <v>35-44</v>
      </c>
      <c r="C1109" s="1" t="s">
        <v>38</v>
      </c>
      <c r="D1109" s="17">
        <f>IF(Table1[[#This Row],[Attrition]]="Yes",1,0)</f>
        <v>0</v>
      </c>
      <c r="E1109" t="s">
        <v>58</v>
      </c>
      <c r="F1109" s="2">
        <v>888</v>
      </c>
      <c r="G1109" t="s">
        <v>55</v>
      </c>
      <c r="H1109">
        <v>10</v>
      </c>
      <c r="I1109">
        <v>4</v>
      </c>
      <c r="J1109" t="str">
        <f t="shared" si="35"/>
        <v>Master</v>
      </c>
      <c r="K1109" t="s">
        <v>55</v>
      </c>
      <c r="L1109">
        <v>3</v>
      </c>
      <c r="M1109" t="s">
        <v>40</v>
      </c>
      <c r="N1109" s="2">
        <v>71</v>
      </c>
      <c r="O1109">
        <v>3</v>
      </c>
      <c r="P1109">
        <v>2</v>
      </c>
      <c r="Q1109" t="s">
        <v>55</v>
      </c>
      <c r="R1109">
        <v>3</v>
      </c>
      <c r="S1109" t="s">
        <v>42</v>
      </c>
      <c r="T1109" s="2">
        <v>6077</v>
      </c>
      <c r="U1109" s="2">
        <v>14814</v>
      </c>
      <c r="V1109">
        <v>3</v>
      </c>
      <c r="W1109" t="s">
        <v>38</v>
      </c>
      <c r="X1109">
        <v>11</v>
      </c>
      <c r="Y1109">
        <v>3</v>
      </c>
      <c r="Z1109">
        <v>3</v>
      </c>
      <c r="AA1109">
        <v>80</v>
      </c>
      <c r="AB1109">
        <v>0</v>
      </c>
      <c r="AC1109">
        <v>10</v>
      </c>
      <c r="AD1109">
        <v>2</v>
      </c>
      <c r="AE1109">
        <v>3</v>
      </c>
      <c r="AF1109">
        <v>6</v>
      </c>
      <c r="AG1109">
        <v>3</v>
      </c>
      <c r="AH1109">
        <v>1</v>
      </c>
      <c r="AI1109">
        <v>2</v>
      </c>
    </row>
    <row r="1110" spans="1:35" x14ac:dyDescent="0.25">
      <c r="A1110">
        <v>35</v>
      </c>
      <c r="B1110" t="str">
        <f t="shared" si="34"/>
        <v>35-44</v>
      </c>
      <c r="C1110" s="1" t="s">
        <v>38</v>
      </c>
      <c r="D1110" s="17">
        <f>IF(Table1[[#This Row],[Attrition]]="Yes",1,0)</f>
        <v>0</v>
      </c>
      <c r="E1110" t="s">
        <v>57</v>
      </c>
      <c r="F1110" s="2">
        <v>992</v>
      </c>
      <c r="G1110" t="s">
        <v>39</v>
      </c>
      <c r="H1110">
        <v>1</v>
      </c>
      <c r="I1110">
        <v>3</v>
      </c>
      <c r="J1110" t="str">
        <f t="shared" si="35"/>
        <v>Bachelor</v>
      </c>
      <c r="K1110" t="s">
        <v>45</v>
      </c>
      <c r="L1110">
        <v>4</v>
      </c>
      <c r="M1110" t="s">
        <v>40</v>
      </c>
      <c r="N1110" s="2">
        <v>68</v>
      </c>
      <c r="O1110">
        <v>2</v>
      </c>
      <c r="P1110">
        <v>1</v>
      </c>
      <c r="Q1110" t="s">
        <v>44</v>
      </c>
      <c r="R1110">
        <v>1</v>
      </c>
      <c r="S1110" t="s">
        <v>37</v>
      </c>
      <c r="T1110" s="2">
        <v>2450</v>
      </c>
      <c r="U1110" s="2">
        <v>21731</v>
      </c>
      <c r="V1110">
        <v>1</v>
      </c>
      <c r="W1110" t="s">
        <v>38</v>
      </c>
      <c r="X1110">
        <v>19</v>
      </c>
      <c r="Y1110">
        <v>3</v>
      </c>
      <c r="Z1110">
        <v>2</v>
      </c>
      <c r="AA1110">
        <v>80</v>
      </c>
      <c r="AB1110">
        <v>0</v>
      </c>
      <c r="AC1110">
        <v>3</v>
      </c>
      <c r="AD1110">
        <v>3</v>
      </c>
      <c r="AE1110">
        <v>3</v>
      </c>
      <c r="AF1110">
        <v>3</v>
      </c>
      <c r="AG1110">
        <v>0</v>
      </c>
      <c r="AH1110">
        <v>1</v>
      </c>
      <c r="AI1110">
        <v>2</v>
      </c>
    </row>
    <row r="1111" spans="1:35" x14ac:dyDescent="0.25">
      <c r="A1111">
        <v>30</v>
      </c>
      <c r="B1111" t="str">
        <f t="shared" si="34"/>
        <v>25-34</v>
      </c>
      <c r="C1111" s="1" t="s">
        <v>38</v>
      </c>
      <c r="D1111" s="17">
        <f>IF(Table1[[#This Row],[Attrition]]="Yes",1,0)</f>
        <v>0</v>
      </c>
      <c r="E1111" t="s">
        <v>57</v>
      </c>
      <c r="F1111" s="2">
        <v>1288</v>
      </c>
      <c r="G1111" t="s">
        <v>33</v>
      </c>
      <c r="H1111">
        <v>29</v>
      </c>
      <c r="I1111">
        <v>4</v>
      </c>
      <c r="J1111" t="str">
        <f t="shared" si="35"/>
        <v>Master</v>
      </c>
      <c r="K1111" t="s">
        <v>54</v>
      </c>
      <c r="L1111">
        <v>3</v>
      </c>
      <c r="M1111" t="s">
        <v>40</v>
      </c>
      <c r="N1111" s="2">
        <v>33</v>
      </c>
      <c r="O1111">
        <v>3</v>
      </c>
      <c r="P1111">
        <v>3</v>
      </c>
      <c r="Q1111" t="s">
        <v>36</v>
      </c>
      <c r="R1111">
        <v>2</v>
      </c>
      <c r="S1111" t="s">
        <v>42</v>
      </c>
      <c r="T1111" s="2">
        <v>9250</v>
      </c>
      <c r="U1111" s="2">
        <v>17799</v>
      </c>
      <c r="V1111">
        <v>3</v>
      </c>
      <c r="W1111" t="s">
        <v>38</v>
      </c>
      <c r="X1111">
        <v>12</v>
      </c>
      <c r="Y1111">
        <v>3</v>
      </c>
      <c r="Z1111">
        <v>2</v>
      </c>
      <c r="AA1111">
        <v>80</v>
      </c>
      <c r="AB1111">
        <v>1</v>
      </c>
      <c r="AC1111">
        <v>9</v>
      </c>
      <c r="AD1111">
        <v>3</v>
      </c>
      <c r="AE1111">
        <v>3</v>
      </c>
      <c r="AF1111">
        <v>4</v>
      </c>
      <c r="AG1111">
        <v>2</v>
      </c>
      <c r="AH1111">
        <v>1</v>
      </c>
      <c r="AI1111">
        <v>3</v>
      </c>
    </row>
    <row r="1112" spans="1:35" x14ac:dyDescent="0.25">
      <c r="A1112">
        <v>35</v>
      </c>
      <c r="B1112" t="str">
        <f t="shared" si="34"/>
        <v>35-44</v>
      </c>
      <c r="C1112" s="1" t="s">
        <v>32</v>
      </c>
      <c r="D1112" s="17">
        <f>IF(Table1[[#This Row],[Attrition]]="Yes",1,0)</f>
        <v>1</v>
      </c>
      <c r="E1112" t="s">
        <v>57</v>
      </c>
      <c r="F1112" s="2">
        <v>104</v>
      </c>
      <c r="G1112" t="s">
        <v>39</v>
      </c>
      <c r="H1112">
        <v>2</v>
      </c>
      <c r="I1112">
        <v>3</v>
      </c>
      <c r="J1112" t="str">
        <f t="shared" si="35"/>
        <v>Bachelor</v>
      </c>
      <c r="K1112" t="s">
        <v>34</v>
      </c>
      <c r="L1112">
        <v>1</v>
      </c>
      <c r="M1112" t="s">
        <v>35</v>
      </c>
      <c r="N1112" s="2">
        <v>69</v>
      </c>
      <c r="O1112">
        <v>3</v>
      </c>
      <c r="P1112">
        <v>1</v>
      </c>
      <c r="Q1112" t="s">
        <v>44</v>
      </c>
      <c r="R1112">
        <v>1</v>
      </c>
      <c r="S1112" t="s">
        <v>46</v>
      </c>
      <c r="T1112" s="2">
        <v>2074</v>
      </c>
      <c r="U1112" s="2">
        <v>26619</v>
      </c>
      <c r="V1112">
        <v>1</v>
      </c>
      <c r="W1112" t="s">
        <v>32</v>
      </c>
      <c r="X1112">
        <v>12</v>
      </c>
      <c r="Y1112">
        <v>3</v>
      </c>
      <c r="Z1112">
        <v>4</v>
      </c>
      <c r="AA1112">
        <v>80</v>
      </c>
      <c r="AB1112">
        <v>1</v>
      </c>
      <c r="AC1112">
        <v>1</v>
      </c>
      <c r="AD1112">
        <v>2</v>
      </c>
      <c r="AE1112">
        <v>3</v>
      </c>
      <c r="AF1112">
        <v>1</v>
      </c>
      <c r="AG1112">
        <v>0</v>
      </c>
      <c r="AH1112">
        <v>0</v>
      </c>
      <c r="AI1112">
        <v>0</v>
      </c>
    </row>
    <row r="1113" spans="1:35" x14ac:dyDescent="0.25">
      <c r="A1113">
        <v>53</v>
      </c>
      <c r="B1113" t="str">
        <f t="shared" si="34"/>
        <v>45-54</v>
      </c>
      <c r="C1113" s="1" t="s">
        <v>32</v>
      </c>
      <c r="D1113" s="17">
        <f>IF(Table1[[#This Row],[Attrition]]="Yes",1,0)</f>
        <v>1</v>
      </c>
      <c r="E1113" t="s">
        <v>57</v>
      </c>
      <c r="F1113" s="2">
        <v>607</v>
      </c>
      <c r="G1113" t="s">
        <v>39</v>
      </c>
      <c r="H1113">
        <v>2</v>
      </c>
      <c r="I1113">
        <v>5</v>
      </c>
      <c r="J1113" t="str">
        <f t="shared" si="35"/>
        <v>Doctor</v>
      </c>
      <c r="K1113" t="s">
        <v>54</v>
      </c>
      <c r="L1113">
        <v>3</v>
      </c>
      <c r="M1113" t="s">
        <v>35</v>
      </c>
      <c r="N1113" s="2">
        <v>78</v>
      </c>
      <c r="O1113">
        <v>2</v>
      </c>
      <c r="P1113">
        <v>3</v>
      </c>
      <c r="Q1113" t="s">
        <v>47</v>
      </c>
      <c r="R1113">
        <v>4</v>
      </c>
      <c r="S1113" t="s">
        <v>42</v>
      </c>
      <c r="T1113" s="2">
        <v>10169</v>
      </c>
      <c r="U1113" s="2">
        <v>14618</v>
      </c>
      <c r="V1113">
        <v>0</v>
      </c>
      <c r="W1113" t="s">
        <v>38</v>
      </c>
      <c r="X1113">
        <v>16</v>
      </c>
      <c r="Y1113">
        <v>3</v>
      </c>
      <c r="Z1113">
        <v>2</v>
      </c>
      <c r="AA1113">
        <v>80</v>
      </c>
      <c r="AB1113">
        <v>1</v>
      </c>
      <c r="AC1113">
        <v>34</v>
      </c>
      <c r="AD1113">
        <v>4</v>
      </c>
      <c r="AE1113">
        <v>3</v>
      </c>
      <c r="AF1113">
        <v>33</v>
      </c>
      <c r="AG1113">
        <v>7</v>
      </c>
      <c r="AH1113">
        <v>1</v>
      </c>
      <c r="AI1113">
        <v>9</v>
      </c>
    </row>
    <row r="1114" spans="1:35" x14ac:dyDescent="0.25">
      <c r="A1114">
        <v>38</v>
      </c>
      <c r="B1114" t="str">
        <f t="shared" si="34"/>
        <v>35-44</v>
      </c>
      <c r="C1114" s="1" t="s">
        <v>32</v>
      </c>
      <c r="D1114" s="17">
        <f>IF(Table1[[#This Row],[Attrition]]="Yes",1,0)</f>
        <v>1</v>
      </c>
      <c r="E1114" t="s">
        <v>57</v>
      </c>
      <c r="F1114" s="2">
        <v>903</v>
      </c>
      <c r="G1114" t="s">
        <v>39</v>
      </c>
      <c r="H1114">
        <v>2</v>
      </c>
      <c r="I1114">
        <v>3</v>
      </c>
      <c r="J1114" t="str">
        <f t="shared" si="35"/>
        <v>Bachelor</v>
      </c>
      <c r="K1114" t="s">
        <v>45</v>
      </c>
      <c r="L1114">
        <v>3</v>
      </c>
      <c r="M1114" t="s">
        <v>40</v>
      </c>
      <c r="N1114" s="2">
        <v>81</v>
      </c>
      <c r="O1114">
        <v>3</v>
      </c>
      <c r="P1114">
        <v>2</v>
      </c>
      <c r="Q1114" t="s">
        <v>47</v>
      </c>
      <c r="R1114">
        <v>2</v>
      </c>
      <c r="S1114" t="s">
        <v>42</v>
      </c>
      <c r="T1114" s="2">
        <v>4855</v>
      </c>
      <c r="U1114" s="2">
        <v>7653</v>
      </c>
      <c r="V1114">
        <v>4</v>
      </c>
      <c r="W1114" t="s">
        <v>38</v>
      </c>
      <c r="X1114">
        <v>11</v>
      </c>
      <c r="Y1114">
        <v>3</v>
      </c>
      <c r="Z1114">
        <v>1</v>
      </c>
      <c r="AA1114">
        <v>80</v>
      </c>
      <c r="AB1114">
        <v>2</v>
      </c>
      <c r="AC1114">
        <v>7</v>
      </c>
      <c r="AD1114">
        <v>2</v>
      </c>
      <c r="AE1114">
        <v>3</v>
      </c>
      <c r="AF1114">
        <v>5</v>
      </c>
      <c r="AG1114">
        <v>2</v>
      </c>
      <c r="AH1114">
        <v>1</v>
      </c>
      <c r="AI1114">
        <v>4</v>
      </c>
    </row>
    <row r="1115" spans="1:35" x14ac:dyDescent="0.25">
      <c r="A1115">
        <v>32</v>
      </c>
      <c r="B1115" t="str">
        <f t="shared" si="34"/>
        <v>25-34</v>
      </c>
      <c r="C1115" s="1" t="s">
        <v>38</v>
      </c>
      <c r="D1115" s="17">
        <f>IF(Table1[[#This Row],[Attrition]]="Yes",1,0)</f>
        <v>0</v>
      </c>
      <c r="E1115" t="s">
        <v>49</v>
      </c>
      <c r="F1115" s="2">
        <v>1200</v>
      </c>
      <c r="G1115" t="s">
        <v>39</v>
      </c>
      <c r="H1115">
        <v>1</v>
      </c>
      <c r="I1115">
        <v>4</v>
      </c>
      <c r="J1115" t="str">
        <f t="shared" si="35"/>
        <v>Master</v>
      </c>
      <c r="K1115" t="s">
        <v>54</v>
      </c>
      <c r="L1115">
        <v>4</v>
      </c>
      <c r="M1115" t="s">
        <v>40</v>
      </c>
      <c r="N1115" s="2">
        <v>62</v>
      </c>
      <c r="O1115">
        <v>3</v>
      </c>
      <c r="P1115">
        <v>2</v>
      </c>
      <c r="Q1115" t="s">
        <v>41</v>
      </c>
      <c r="R1115">
        <v>1</v>
      </c>
      <c r="S1115" t="s">
        <v>42</v>
      </c>
      <c r="T1115" s="2">
        <v>4087</v>
      </c>
      <c r="U1115" s="2">
        <v>25174</v>
      </c>
      <c r="V1115">
        <v>4</v>
      </c>
      <c r="W1115" t="s">
        <v>38</v>
      </c>
      <c r="X1115">
        <v>14</v>
      </c>
      <c r="Y1115">
        <v>3</v>
      </c>
      <c r="Z1115">
        <v>2</v>
      </c>
      <c r="AA1115">
        <v>80</v>
      </c>
      <c r="AB1115">
        <v>1</v>
      </c>
      <c r="AC1115">
        <v>9</v>
      </c>
      <c r="AD1115">
        <v>3</v>
      </c>
      <c r="AE1115">
        <v>2</v>
      </c>
      <c r="AF1115">
        <v>6</v>
      </c>
      <c r="AG1115">
        <v>5</v>
      </c>
      <c r="AH1115">
        <v>1</v>
      </c>
      <c r="AI1115">
        <v>2</v>
      </c>
    </row>
    <row r="1116" spans="1:35" x14ac:dyDescent="0.25">
      <c r="A1116">
        <v>48</v>
      </c>
      <c r="B1116" t="str">
        <f t="shared" si="34"/>
        <v>45-54</v>
      </c>
      <c r="C1116" s="1" t="s">
        <v>38</v>
      </c>
      <c r="D1116" s="17">
        <f>IF(Table1[[#This Row],[Attrition]]="Yes",1,0)</f>
        <v>0</v>
      </c>
      <c r="E1116" t="s">
        <v>57</v>
      </c>
      <c r="F1116" s="2">
        <v>1108</v>
      </c>
      <c r="G1116" t="s">
        <v>39</v>
      </c>
      <c r="H1116">
        <v>15</v>
      </c>
      <c r="I1116">
        <v>4</v>
      </c>
      <c r="J1116" t="str">
        <f t="shared" si="35"/>
        <v>Master</v>
      </c>
      <c r="K1116" t="s">
        <v>43</v>
      </c>
      <c r="L1116">
        <v>3</v>
      </c>
      <c r="M1116" t="s">
        <v>35</v>
      </c>
      <c r="N1116" s="2">
        <v>65</v>
      </c>
      <c r="O1116">
        <v>3</v>
      </c>
      <c r="P1116">
        <v>1</v>
      </c>
      <c r="Q1116" t="s">
        <v>41</v>
      </c>
      <c r="R1116">
        <v>1</v>
      </c>
      <c r="S1116" t="s">
        <v>42</v>
      </c>
      <c r="T1116" s="2">
        <v>2367</v>
      </c>
      <c r="U1116" s="2">
        <v>16530</v>
      </c>
      <c r="V1116">
        <v>8</v>
      </c>
      <c r="W1116" t="s">
        <v>38</v>
      </c>
      <c r="X1116">
        <v>12</v>
      </c>
      <c r="Y1116">
        <v>3</v>
      </c>
      <c r="Z1116">
        <v>4</v>
      </c>
      <c r="AA1116">
        <v>80</v>
      </c>
      <c r="AB1116">
        <v>1</v>
      </c>
      <c r="AC1116">
        <v>10</v>
      </c>
      <c r="AD1116">
        <v>3</v>
      </c>
      <c r="AE1116">
        <v>2</v>
      </c>
      <c r="AF1116">
        <v>8</v>
      </c>
      <c r="AG1116">
        <v>2</v>
      </c>
      <c r="AH1116">
        <v>7</v>
      </c>
      <c r="AI1116">
        <v>6</v>
      </c>
    </row>
    <row r="1117" spans="1:35" x14ac:dyDescent="0.25">
      <c r="A1117">
        <v>34</v>
      </c>
      <c r="B1117" t="str">
        <f t="shared" si="34"/>
        <v>25-34</v>
      </c>
      <c r="C1117" s="1" t="s">
        <v>38</v>
      </c>
      <c r="D1117" s="17">
        <f>IF(Table1[[#This Row],[Attrition]]="Yes",1,0)</f>
        <v>0</v>
      </c>
      <c r="E1117" t="s">
        <v>57</v>
      </c>
      <c r="F1117" s="2">
        <v>479</v>
      </c>
      <c r="G1117" t="s">
        <v>39</v>
      </c>
      <c r="H1117">
        <v>7</v>
      </c>
      <c r="I1117">
        <v>4</v>
      </c>
      <c r="J1117" t="str">
        <f t="shared" si="35"/>
        <v>Master</v>
      </c>
      <c r="K1117" t="s">
        <v>45</v>
      </c>
      <c r="L1117">
        <v>1</v>
      </c>
      <c r="M1117" t="s">
        <v>40</v>
      </c>
      <c r="N1117" s="2">
        <v>35</v>
      </c>
      <c r="O1117">
        <v>3</v>
      </c>
      <c r="P1117">
        <v>1</v>
      </c>
      <c r="Q1117" t="s">
        <v>41</v>
      </c>
      <c r="R1117">
        <v>4</v>
      </c>
      <c r="S1117" t="s">
        <v>37</v>
      </c>
      <c r="T1117" s="2">
        <v>2972</v>
      </c>
      <c r="U1117" s="2">
        <v>22061</v>
      </c>
      <c r="V1117">
        <v>1</v>
      </c>
      <c r="W1117" t="s">
        <v>38</v>
      </c>
      <c r="X1117">
        <v>13</v>
      </c>
      <c r="Y1117">
        <v>3</v>
      </c>
      <c r="Z1117">
        <v>3</v>
      </c>
      <c r="AA1117">
        <v>80</v>
      </c>
      <c r="AB1117">
        <v>0</v>
      </c>
      <c r="AC1117">
        <v>1</v>
      </c>
      <c r="AD1117">
        <v>4</v>
      </c>
      <c r="AE1117">
        <v>1</v>
      </c>
      <c r="AF1117">
        <v>1</v>
      </c>
      <c r="AG1117">
        <v>0</v>
      </c>
      <c r="AH1117">
        <v>0</v>
      </c>
      <c r="AI1117">
        <v>0</v>
      </c>
    </row>
    <row r="1118" spans="1:35" x14ac:dyDescent="0.25">
      <c r="A1118">
        <v>55</v>
      </c>
      <c r="B1118" t="str">
        <f t="shared" si="34"/>
        <v>55-64</v>
      </c>
      <c r="C1118" s="1" t="s">
        <v>38</v>
      </c>
      <c r="D1118" s="17">
        <f>IF(Table1[[#This Row],[Attrition]]="Yes",1,0)</f>
        <v>0</v>
      </c>
      <c r="E1118" t="s">
        <v>57</v>
      </c>
      <c r="F1118" s="2">
        <v>685</v>
      </c>
      <c r="G1118" t="s">
        <v>33</v>
      </c>
      <c r="H1118">
        <v>26</v>
      </c>
      <c r="I1118">
        <v>5</v>
      </c>
      <c r="J1118" t="str">
        <f t="shared" si="35"/>
        <v>Doctor</v>
      </c>
      <c r="K1118" t="s">
        <v>53</v>
      </c>
      <c r="L1118">
        <v>3</v>
      </c>
      <c r="M1118" t="s">
        <v>40</v>
      </c>
      <c r="N1118" s="2">
        <v>60</v>
      </c>
      <c r="O1118">
        <v>2</v>
      </c>
      <c r="P1118">
        <v>5</v>
      </c>
      <c r="Q1118" t="s">
        <v>50</v>
      </c>
      <c r="R1118">
        <v>4</v>
      </c>
      <c r="S1118" t="s">
        <v>42</v>
      </c>
      <c r="T1118" s="2">
        <v>19586</v>
      </c>
      <c r="U1118" s="2">
        <v>23037</v>
      </c>
      <c r="V1118">
        <v>1</v>
      </c>
      <c r="W1118" t="s">
        <v>38</v>
      </c>
      <c r="X1118">
        <v>21</v>
      </c>
      <c r="Y1118">
        <v>4</v>
      </c>
      <c r="Z1118">
        <v>3</v>
      </c>
      <c r="AA1118">
        <v>80</v>
      </c>
      <c r="AB1118">
        <v>1</v>
      </c>
      <c r="AC1118">
        <v>36</v>
      </c>
      <c r="AD1118">
        <v>3</v>
      </c>
      <c r="AE1118">
        <v>3</v>
      </c>
      <c r="AF1118">
        <v>36</v>
      </c>
      <c r="AG1118">
        <v>6</v>
      </c>
      <c r="AH1118">
        <v>2</v>
      </c>
      <c r="AI1118">
        <v>13</v>
      </c>
    </row>
    <row r="1119" spans="1:35" x14ac:dyDescent="0.25">
      <c r="A1119">
        <v>34</v>
      </c>
      <c r="B1119" t="str">
        <f t="shared" si="34"/>
        <v>25-34</v>
      </c>
      <c r="C1119" s="1" t="s">
        <v>38</v>
      </c>
      <c r="D1119" s="17">
        <f>IF(Table1[[#This Row],[Attrition]]="Yes",1,0)</f>
        <v>0</v>
      </c>
      <c r="E1119" t="s">
        <v>57</v>
      </c>
      <c r="F1119" s="2">
        <v>1351</v>
      </c>
      <c r="G1119" t="s">
        <v>39</v>
      </c>
      <c r="H1119">
        <v>1</v>
      </c>
      <c r="I1119">
        <v>4</v>
      </c>
      <c r="J1119" t="str">
        <f t="shared" si="35"/>
        <v>Master</v>
      </c>
      <c r="K1119" t="s">
        <v>34</v>
      </c>
      <c r="L1119">
        <v>2</v>
      </c>
      <c r="M1119" t="s">
        <v>40</v>
      </c>
      <c r="N1119" s="2">
        <v>45</v>
      </c>
      <c r="O1119">
        <v>3</v>
      </c>
      <c r="P1119">
        <v>2</v>
      </c>
      <c r="Q1119" t="s">
        <v>41</v>
      </c>
      <c r="R1119">
        <v>4</v>
      </c>
      <c r="S1119" t="s">
        <v>42</v>
      </c>
      <c r="T1119" s="2">
        <v>5484</v>
      </c>
      <c r="U1119" s="2">
        <v>13008</v>
      </c>
      <c r="V1119">
        <v>9</v>
      </c>
      <c r="W1119" t="s">
        <v>38</v>
      </c>
      <c r="X1119">
        <v>17</v>
      </c>
      <c r="Y1119">
        <v>3</v>
      </c>
      <c r="Z1119">
        <v>2</v>
      </c>
      <c r="AA1119">
        <v>80</v>
      </c>
      <c r="AB1119">
        <v>1</v>
      </c>
      <c r="AC1119">
        <v>9</v>
      </c>
      <c r="AD1119">
        <v>3</v>
      </c>
      <c r="AE1119">
        <v>2</v>
      </c>
      <c r="AF1119">
        <v>2</v>
      </c>
      <c r="AG1119">
        <v>2</v>
      </c>
      <c r="AH1119">
        <v>2</v>
      </c>
      <c r="AI1119">
        <v>1</v>
      </c>
    </row>
    <row r="1120" spans="1:35" x14ac:dyDescent="0.25">
      <c r="A1120">
        <v>26</v>
      </c>
      <c r="B1120" t="str">
        <f t="shared" si="34"/>
        <v>25-34</v>
      </c>
      <c r="C1120" s="1" t="s">
        <v>38</v>
      </c>
      <c r="D1120" s="17">
        <f>IF(Table1[[#This Row],[Attrition]]="Yes",1,0)</f>
        <v>0</v>
      </c>
      <c r="E1120" t="s">
        <v>57</v>
      </c>
      <c r="F1120" s="2">
        <v>474</v>
      </c>
      <c r="G1120" t="s">
        <v>39</v>
      </c>
      <c r="H1120">
        <v>3</v>
      </c>
      <c r="I1120">
        <v>3</v>
      </c>
      <c r="J1120" t="str">
        <f t="shared" si="35"/>
        <v>Bachelor</v>
      </c>
      <c r="K1120" t="s">
        <v>34</v>
      </c>
      <c r="L1120">
        <v>1</v>
      </c>
      <c r="M1120" t="s">
        <v>35</v>
      </c>
      <c r="N1120" s="2">
        <v>89</v>
      </c>
      <c r="O1120">
        <v>3</v>
      </c>
      <c r="P1120">
        <v>1</v>
      </c>
      <c r="Q1120" t="s">
        <v>41</v>
      </c>
      <c r="R1120">
        <v>4</v>
      </c>
      <c r="S1120" t="s">
        <v>42</v>
      </c>
      <c r="T1120" s="2">
        <v>2061</v>
      </c>
      <c r="U1120" s="2">
        <v>11133</v>
      </c>
      <c r="V1120">
        <v>1</v>
      </c>
      <c r="W1120" t="s">
        <v>38</v>
      </c>
      <c r="X1120">
        <v>21</v>
      </c>
      <c r="Y1120">
        <v>4</v>
      </c>
      <c r="Z1120">
        <v>1</v>
      </c>
      <c r="AA1120">
        <v>80</v>
      </c>
      <c r="AB1120">
        <v>0</v>
      </c>
      <c r="AC1120">
        <v>1</v>
      </c>
      <c r="AD1120">
        <v>5</v>
      </c>
      <c r="AE1120">
        <v>3</v>
      </c>
      <c r="AF1120">
        <v>1</v>
      </c>
      <c r="AG1120">
        <v>0</v>
      </c>
      <c r="AH1120">
        <v>0</v>
      </c>
      <c r="AI1120">
        <v>0</v>
      </c>
    </row>
    <row r="1121" spans="1:35" x14ac:dyDescent="0.25">
      <c r="A1121">
        <v>38</v>
      </c>
      <c r="B1121" t="str">
        <f t="shared" si="34"/>
        <v>35-44</v>
      </c>
      <c r="C1121" s="1" t="s">
        <v>38</v>
      </c>
      <c r="D1121" s="17">
        <f>IF(Table1[[#This Row],[Attrition]]="Yes",1,0)</f>
        <v>0</v>
      </c>
      <c r="E1121" t="s">
        <v>57</v>
      </c>
      <c r="F1121" s="2">
        <v>1245</v>
      </c>
      <c r="G1121" t="s">
        <v>33</v>
      </c>
      <c r="H1121">
        <v>14</v>
      </c>
      <c r="I1121">
        <v>3</v>
      </c>
      <c r="J1121" t="str">
        <f t="shared" si="35"/>
        <v>Bachelor</v>
      </c>
      <c r="K1121" t="s">
        <v>34</v>
      </c>
      <c r="L1121">
        <v>3</v>
      </c>
      <c r="M1121" t="s">
        <v>40</v>
      </c>
      <c r="N1121" s="2">
        <v>80</v>
      </c>
      <c r="O1121">
        <v>3</v>
      </c>
      <c r="P1121">
        <v>2</v>
      </c>
      <c r="Q1121" t="s">
        <v>36</v>
      </c>
      <c r="R1121">
        <v>2</v>
      </c>
      <c r="S1121" t="s">
        <v>42</v>
      </c>
      <c r="T1121" s="2">
        <v>9924</v>
      </c>
      <c r="U1121" s="2">
        <v>12355</v>
      </c>
      <c r="V1121">
        <v>0</v>
      </c>
      <c r="W1121" t="s">
        <v>38</v>
      </c>
      <c r="X1121">
        <v>11</v>
      </c>
      <c r="Y1121">
        <v>3</v>
      </c>
      <c r="Z1121">
        <v>4</v>
      </c>
      <c r="AA1121">
        <v>80</v>
      </c>
      <c r="AB1121">
        <v>1</v>
      </c>
      <c r="AC1121">
        <v>10</v>
      </c>
      <c r="AD1121">
        <v>3</v>
      </c>
      <c r="AE1121">
        <v>3</v>
      </c>
      <c r="AF1121">
        <v>9</v>
      </c>
      <c r="AG1121">
        <v>8</v>
      </c>
      <c r="AH1121">
        <v>7</v>
      </c>
      <c r="AI1121">
        <v>7</v>
      </c>
    </row>
    <row r="1122" spans="1:35" x14ac:dyDescent="0.25">
      <c r="A1122">
        <v>38</v>
      </c>
      <c r="B1122" t="str">
        <f t="shared" si="34"/>
        <v>35-44</v>
      </c>
      <c r="C1122" s="1" t="s">
        <v>38</v>
      </c>
      <c r="D1122" s="17">
        <f>IF(Table1[[#This Row],[Attrition]]="Yes",1,0)</f>
        <v>0</v>
      </c>
      <c r="E1122" t="s">
        <v>57</v>
      </c>
      <c r="F1122" s="2">
        <v>437</v>
      </c>
      <c r="G1122" t="s">
        <v>33</v>
      </c>
      <c r="H1122">
        <v>16</v>
      </c>
      <c r="I1122">
        <v>3</v>
      </c>
      <c r="J1122" t="str">
        <f t="shared" si="35"/>
        <v>Bachelor</v>
      </c>
      <c r="K1122" t="s">
        <v>34</v>
      </c>
      <c r="L1122">
        <v>2</v>
      </c>
      <c r="M1122" t="s">
        <v>35</v>
      </c>
      <c r="N1122" s="2">
        <v>90</v>
      </c>
      <c r="O1122">
        <v>3</v>
      </c>
      <c r="P1122">
        <v>2</v>
      </c>
      <c r="Q1122" t="s">
        <v>36</v>
      </c>
      <c r="R1122">
        <v>2</v>
      </c>
      <c r="S1122" t="s">
        <v>37</v>
      </c>
      <c r="T1122" s="2">
        <v>4198</v>
      </c>
      <c r="U1122" s="2">
        <v>16379</v>
      </c>
      <c r="V1122">
        <v>2</v>
      </c>
      <c r="W1122" t="s">
        <v>38</v>
      </c>
      <c r="X1122">
        <v>12</v>
      </c>
      <c r="Y1122">
        <v>3</v>
      </c>
      <c r="Z1122">
        <v>2</v>
      </c>
      <c r="AA1122">
        <v>80</v>
      </c>
      <c r="AB1122">
        <v>0</v>
      </c>
      <c r="AC1122">
        <v>8</v>
      </c>
      <c r="AD1122">
        <v>5</v>
      </c>
      <c r="AE1122">
        <v>4</v>
      </c>
      <c r="AF1122">
        <v>3</v>
      </c>
      <c r="AG1122">
        <v>2</v>
      </c>
      <c r="AH1122">
        <v>1</v>
      </c>
      <c r="AI1122">
        <v>2</v>
      </c>
    </row>
    <row r="1123" spans="1:35" x14ac:dyDescent="0.25">
      <c r="A1123">
        <v>36</v>
      </c>
      <c r="B1123" t="str">
        <f t="shared" si="34"/>
        <v>35-44</v>
      </c>
      <c r="C1123" s="1" t="s">
        <v>38</v>
      </c>
      <c r="D1123" s="17">
        <f>IF(Table1[[#This Row],[Attrition]]="Yes",1,0)</f>
        <v>0</v>
      </c>
      <c r="E1123" t="s">
        <v>57</v>
      </c>
      <c r="F1123" s="2">
        <v>884</v>
      </c>
      <c r="G1123" t="s">
        <v>33</v>
      </c>
      <c r="H1123">
        <v>1</v>
      </c>
      <c r="I1123">
        <v>4</v>
      </c>
      <c r="J1123" t="str">
        <f t="shared" si="35"/>
        <v>Master</v>
      </c>
      <c r="K1123" t="s">
        <v>34</v>
      </c>
      <c r="L1123">
        <v>2</v>
      </c>
      <c r="M1123" t="s">
        <v>35</v>
      </c>
      <c r="N1123" s="2">
        <v>73</v>
      </c>
      <c r="O1123">
        <v>3</v>
      </c>
      <c r="P1123">
        <v>2</v>
      </c>
      <c r="Q1123" t="s">
        <v>36</v>
      </c>
      <c r="R1123">
        <v>3</v>
      </c>
      <c r="S1123" t="s">
        <v>37</v>
      </c>
      <c r="T1123" s="2">
        <v>6815</v>
      </c>
      <c r="U1123" s="2">
        <v>21447</v>
      </c>
      <c r="V1123">
        <v>6</v>
      </c>
      <c r="W1123" t="s">
        <v>38</v>
      </c>
      <c r="X1123">
        <v>13</v>
      </c>
      <c r="Y1123">
        <v>3</v>
      </c>
      <c r="Z1123">
        <v>1</v>
      </c>
      <c r="AA1123">
        <v>80</v>
      </c>
      <c r="AB1123">
        <v>0</v>
      </c>
      <c r="AC1123">
        <v>15</v>
      </c>
      <c r="AD1123">
        <v>5</v>
      </c>
      <c r="AE1123">
        <v>3</v>
      </c>
      <c r="AF1123">
        <v>1</v>
      </c>
      <c r="AG1123">
        <v>0</v>
      </c>
      <c r="AH1123">
        <v>0</v>
      </c>
      <c r="AI1123">
        <v>0</v>
      </c>
    </row>
    <row r="1124" spans="1:35" x14ac:dyDescent="0.25">
      <c r="A1124">
        <v>29</v>
      </c>
      <c r="B1124" t="str">
        <f t="shared" si="34"/>
        <v>25-34</v>
      </c>
      <c r="C1124" s="1" t="s">
        <v>38</v>
      </c>
      <c r="D1124" s="17">
        <f>IF(Table1[[#This Row],[Attrition]]="Yes",1,0)</f>
        <v>0</v>
      </c>
      <c r="E1124" t="s">
        <v>57</v>
      </c>
      <c r="F1124" s="2">
        <v>1370</v>
      </c>
      <c r="G1124" t="s">
        <v>39</v>
      </c>
      <c r="H1124">
        <v>3</v>
      </c>
      <c r="I1124">
        <v>1</v>
      </c>
      <c r="J1124" t="str">
        <f t="shared" si="35"/>
        <v>Below College</v>
      </c>
      <c r="K1124" t="s">
        <v>45</v>
      </c>
      <c r="L1124">
        <v>2</v>
      </c>
      <c r="M1124" t="s">
        <v>40</v>
      </c>
      <c r="N1124" s="2">
        <v>87</v>
      </c>
      <c r="O1124">
        <v>3</v>
      </c>
      <c r="P1124">
        <v>1</v>
      </c>
      <c r="Q1124" t="s">
        <v>44</v>
      </c>
      <c r="R1124">
        <v>1</v>
      </c>
      <c r="S1124" t="s">
        <v>37</v>
      </c>
      <c r="T1124" s="2">
        <v>4723</v>
      </c>
      <c r="U1124" s="2">
        <v>16213</v>
      </c>
      <c r="V1124">
        <v>1</v>
      </c>
      <c r="W1124" t="s">
        <v>32</v>
      </c>
      <c r="X1124">
        <v>18</v>
      </c>
      <c r="Y1124">
        <v>3</v>
      </c>
      <c r="Z1124">
        <v>4</v>
      </c>
      <c r="AA1124">
        <v>80</v>
      </c>
      <c r="AB1124">
        <v>0</v>
      </c>
      <c r="AC1124">
        <v>10</v>
      </c>
      <c r="AD1124">
        <v>3</v>
      </c>
      <c r="AE1124">
        <v>3</v>
      </c>
      <c r="AF1124">
        <v>10</v>
      </c>
      <c r="AG1124">
        <v>9</v>
      </c>
      <c r="AH1124">
        <v>1</v>
      </c>
      <c r="AI1124">
        <v>5</v>
      </c>
    </row>
    <row r="1125" spans="1:35" x14ac:dyDescent="0.25">
      <c r="A1125">
        <v>35</v>
      </c>
      <c r="B1125" t="str">
        <f t="shared" si="34"/>
        <v>35-44</v>
      </c>
      <c r="C1125" s="1" t="s">
        <v>38</v>
      </c>
      <c r="D1125" s="17">
        <f>IF(Table1[[#This Row],[Attrition]]="Yes",1,0)</f>
        <v>0</v>
      </c>
      <c r="E1125" t="s">
        <v>57</v>
      </c>
      <c r="F1125" s="2">
        <v>670</v>
      </c>
      <c r="G1125" t="s">
        <v>39</v>
      </c>
      <c r="H1125">
        <v>10</v>
      </c>
      <c r="I1125">
        <v>4</v>
      </c>
      <c r="J1125" t="str">
        <f t="shared" si="35"/>
        <v>Master</v>
      </c>
      <c r="K1125" t="s">
        <v>45</v>
      </c>
      <c r="L1125">
        <v>1</v>
      </c>
      <c r="M1125" t="s">
        <v>35</v>
      </c>
      <c r="N1125" s="2">
        <v>51</v>
      </c>
      <c r="O1125">
        <v>3</v>
      </c>
      <c r="P1125">
        <v>2</v>
      </c>
      <c r="Q1125" t="s">
        <v>48</v>
      </c>
      <c r="R1125">
        <v>3</v>
      </c>
      <c r="S1125" t="s">
        <v>37</v>
      </c>
      <c r="T1125" s="2">
        <v>6142</v>
      </c>
      <c r="U1125" s="2">
        <v>4223</v>
      </c>
      <c r="V1125">
        <v>3</v>
      </c>
      <c r="W1125" t="s">
        <v>32</v>
      </c>
      <c r="X1125">
        <v>16</v>
      </c>
      <c r="Y1125">
        <v>3</v>
      </c>
      <c r="Z1125">
        <v>3</v>
      </c>
      <c r="AA1125">
        <v>80</v>
      </c>
      <c r="AB1125">
        <v>0</v>
      </c>
      <c r="AC1125">
        <v>10</v>
      </c>
      <c r="AD1125">
        <v>4</v>
      </c>
      <c r="AE1125">
        <v>3</v>
      </c>
      <c r="AF1125">
        <v>5</v>
      </c>
      <c r="AG1125">
        <v>2</v>
      </c>
      <c r="AH1125">
        <v>0</v>
      </c>
      <c r="AI1125">
        <v>4</v>
      </c>
    </row>
    <row r="1126" spans="1:35" x14ac:dyDescent="0.25">
      <c r="A1126">
        <v>39</v>
      </c>
      <c r="B1126" t="str">
        <f t="shared" si="34"/>
        <v>35-44</v>
      </c>
      <c r="C1126" s="1" t="s">
        <v>38</v>
      </c>
      <c r="D1126" s="17">
        <f>IF(Table1[[#This Row],[Attrition]]="Yes",1,0)</f>
        <v>0</v>
      </c>
      <c r="E1126" t="s">
        <v>57</v>
      </c>
      <c r="F1126" s="2">
        <v>1462</v>
      </c>
      <c r="G1126" t="s">
        <v>33</v>
      </c>
      <c r="H1126">
        <v>6</v>
      </c>
      <c r="I1126">
        <v>3</v>
      </c>
      <c r="J1126" t="str">
        <f t="shared" si="35"/>
        <v>Bachelor</v>
      </c>
      <c r="K1126" t="s">
        <v>45</v>
      </c>
      <c r="L1126">
        <v>4</v>
      </c>
      <c r="M1126" t="s">
        <v>40</v>
      </c>
      <c r="N1126" s="2">
        <v>38</v>
      </c>
      <c r="O1126">
        <v>4</v>
      </c>
      <c r="P1126">
        <v>3</v>
      </c>
      <c r="Q1126" t="s">
        <v>36</v>
      </c>
      <c r="R1126">
        <v>3</v>
      </c>
      <c r="S1126" t="s">
        <v>42</v>
      </c>
      <c r="T1126" s="2">
        <v>8237</v>
      </c>
      <c r="U1126" s="2">
        <v>4658</v>
      </c>
      <c r="V1126">
        <v>2</v>
      </c>
      <c r="W1126" t="s">
        <v>38</v>
      </c>
      <c r="X1126">
        <v>11</v>
      </c>
      <c r="Y1126">
        <v>3</v>
      </c>
      <c r="Z1126">
        <v>1</v>
      </c>
      <c r="AA1126">
        <v>80</v>
      </c>
      <c r="AB1126">
        <v>1</v>
      </c>
      <c r="AC1126">
        <v>11</v>
      </c>
      <c r="AD1126">
        <v>3</v>
      </c>
      <c r="AE1126">
        <v>3</v>
      </c>
      <c r="AF1126">
        <v>7</v>
      </c>
      <c r="AG1126">
        <v>6</v>
      </c>
      <c r="AH1126">
        <v>7</v>
      </c>
      <c r="AI1126">
        <v>6</v>
      </c>
    </row>
    <row r="1127" spans="1:35" x14ac:dyDescent="0.25">
      <c r="A1127">
        <v>29</v>
      </c>
      <c r="B1127" t="str">
        <f t="shared" si="34"/>
        <v>25-34</v>
      </c>
      <c r="C1127" s="1" t="s">
        <v>38</v>
      </c>
      <c r="D1127" s="17">
        <f>IF(Table1[[#This Row],[Attrition]]="Yes",1,0)</f>
        <v>0</v>
      </c>
      <c r="E1127" t="s">
        <v>58</v>
      </c>
      <c r="F1127" s="2">
        <v>995</v>
      </c>
      <c r="G1127" t="s">
        <v>39</v>
      </c>
      <c r="H1127">
        <v>2</v>
      </c>
      <c r="I1127">
        <v>1</v>
      </c>
      <c r="J1127" t="str">
        <f t="shared" si="35"/>
        <v>Below College</v>
      </c>
      <c r="K1127" t="s">
        <v>34</v>
      </c>
      <c r="L1127">
        <v>1</v>
      </c>
      <c r="M1127" t="s">
        <v>40</v>
      </c>
      <c r="N1127" s="2">
        <v>87</v>
      </c>
      <c r="O1127">
        <v>3</v>
      </c>
      <c r="P1127">
        <v>2</v>
      </c>
      <c r="Q1127" t="s">
        <v>48</v>
      </c>
      <c r="R1127">
        <v>4</v>
      </c>
      <c r="S1127" t="s">
        <v>46</v>
      </c>
      <c r="T1127" s="2">
        <v>8853</v>
      </c>
      <c r="U1127" s="2">
        <v>24483</v>
      </c>
      <c r="V1127">
        <v>1</v>
      </c>
      <c r="W1127" t="s">
        <v>38</v>
      </c>
      <c r="X1127">
        <v>19</v>
      </c>
      <c r="Y1127">
        <v>3</v>
      </c>
      <c r="Z1127">
        <v>4</v>
      </c>
      <c r="AA1127">
        <v>80</v>
      </c>
      <c r="AB1127">
        <v>1</v>
      </c>
      <c r="AC1127">
        <v>6</v>
      </c>
      <c r="AD1127">
        <v>0</v>
      </c>
      <c r="AE1127">
        <v>4</v>
      </c>
      <c r="AF1127">
        <v>6</v>
      </c>
      <c r="AG1127">
        <v>4</v>
      </c>
      <c r="AH1127">
        <v>1</v>
      </c>
      <c r="AI1127">
        <v>3</v>
      </c>
    </row>
    <row r="1128" spans="1:35" x14ac:dyDescent="0.25">
      <c r="A1128">
        <v>50</v>
      </c>
      <c r="B1128" t="str">
        <f t="shared" si="34"/>
        <v>45-54</v>
      </c>
      <c r="C1128" s="1" t="s">
        <v>38</v>
      </c>
      <c r="D1128" s="17">
        <f>IF(Table1[[#This Row],[Attrition]]="Yes",1,0)</f>
        <v>0</v>
      </c>
      <c r="E1128" t="s">
        <v>57</v>
      </c>
      <c r="F1128" s="2">
        <v>264</v>
      </c>
      <c r="G1128" t="s">
        <v>33</v>
      </c>
      <c r="H1128">
        <v>9</v>
      </c>
      <c r="I1128">
        <v>3</v>
      </c>
      <c r="J1128" t="str">
        <f t="shared" si="35"/>
        <v>Bachelor</v>
      </c>
      <c r="K1128" t="s">
        <v>53</v>
      </c>
      <c r="L1128">
        <v>3</v>
      </c>
      <c r="M1128" t="s">
        <v>40</v>
      </c>
      <c r="N1128" s="2">
        <v>59</v>
      </c>
      <c r="O1128">
        <v>3</v>
      </c>
      <c r="P1128">
        <v>5</v>
      </c>
      <c r="Q1128" t="s">
        <v>50</v>
      </c>
      <c r="R1128">
        <v>3</v>
      </c>
      <c r="S1128" t="s">
        <v>42</v>
      </c>
      <c r="T1128" s="2">
        <v>19331</v>
      </c>
      <c r="U1128" s="2">
        <v>19519</v>
      </c>
      <c r="V1128">
        <v>4</v>
      </c>
      <c r="W1128" t="s">
        <v>32</v>
      </c>
      <c r="X1128">
        <v>16</v>
      </c>
      <c r="Y1128">
        <v>3</v>
      </c>
      <c r="Z1128">
        <v>3</v>
      </c>
      <c r="AA1128">
        <v>80</v>
      </c>
      <c r="AB1128">
        <v>1</v>
      </c>
      <c r="AC1128">
        <v>27</v>
      </c>
      <c r="AD1128">
        <v>2</v>
      </c>
      <c r="AE1128">
        <v>3</v>
      </c>
      <c r="AF1128">
        <v>1</v>
      </c>
      <c r="AG1128">
        <v>0</v>
      </c>
      <c r="AH1128">
        <v>0</v>
      </c>
      <c r="AI1128">
        <v>0</v>
      </c>
    </row>
    <row r="1129" spans="1:35" x14ac:dyDescent="0.25">
      <c r="A1129">
        <v>23</v>
      </c>
      <c r="B1129" t="str">
        <f t="shared" si="34"/>
        <v>18-24</v>
      </c>
      <c r="C1129" s="1" t="s">
        <v>38</v>
      </c>
      <c r="D1129" s="17">
        <f>IF(Table1[[#This Row],[Attrition]]="Yes",1,0)</f>
        <v>0</v>
      </c>
      <c r="E1129" t="s">
        <v>57</v>
      </c>
      <c r="F1129" s="2">
        <v>977</v>
      </c>
      <c r="G1129" t="s">
        <v>39</v>
      </c>
      <c r="H1129">
        <v>10</v>
      </c>
      <c r="I1129">
        <v>3</v>
      </c>
      <c r="J1129" t="str">
        <f t="shared" si="35"/>
        <v>Bachelor</v>
      </c>
      <c r="K1129" t="s">
        <v>54</v>
      </c>
      <c r="L1129">
        <v>4</v>
      </c>
      <c r="M1129" t="s">
        <v>40</v>
      </c>
      <c r="N1129" s="2">
        <v>45</v>
      </c>
      <c r="O1129">
        <v>4</v>
      </c>
      <c r="P1129">
        <v>1</v>
      </c>
      <c r="Q1129" t="s">
        <v>41</v>
      </c>
      <c r="R1129">
        <v>3</v>
      </c>
      <c r="S1129" t="s">
        <v>42</v>
      </c>
      <c r="T1129" s="2">
        <v>2073</v>
      </c>
      <c r="U1129" s="2">
        <v>12826</v>
      </c>
      <c r="V1129">
        <v>2</v>
      </c>
      <c r="W1129" t="s">
        <v>38</v>
      </c>
      <c r="X1129">
        <v>16</v>
      </c>
      <c r="Y1129">
        <v>3</v>
      </c>
      <c r="Z1129">
        <v>4</v>
      </c>
      <c r="AA1129">
        <v>80</v>
      </c>
      <c r="AB1129">
        <v>1</v>
      </c>
      <c r="AC1129">
        <v>4</v>
      </c>
      <c r="AD1129">
        <v>2</v>
      </c>
      <c r="AE1129">
        <v>3</v>
      </c>
      <c r="AF1129">
        <v>2</v>
      </c>
      <c r="AG1129">
        <v>2</v>
      </c>
      <c r="AH1129">
        <v>2</v>
      </c>
      <c r="AI1129">
        <v>2</v>
      </c>
    </row>
    <row r="1130" spans="1:35" x14ac:dyDescent="0.25">
      <c r="A1130">
        <v>36</v>
      </c>
      <c r="B1130" t="str">
        <f t="shared" si="34"/>
        <v>35-44</v>
      </c>
      <c r="C1130" s="1" t="s">
        <v>38</v>
      </c>
      <c r="D1130" s="17">
        <f>IF(Table1[[#This Row],[Attrition]]="Yes",1,0)</f>
        <v>0</v>
      </c>
      <c r="E1130" t="s">
        <v>58</v>
      </c>
      <c r="F1130" s="2">
        <v>1302</v>
      </c>
      <c r="G1130" t="s">
        <v>39</v>
      </c>
      <c r="H1130">
        <v>6</v>
      </c>
      <c r="I1130">
        <v>4</v>
      </c>
      <c r="J1130" t="str">
        <f t="shared" si="35"/>
        <v>Master</v>
      </c>
      <c r="K1130" t="s">
        <v>34</v>
      </c>
      <c r="L1130">
        <v>1</v>
      </c>
      <c r="M1130" t="s">
        <v>40</v>
      </c>
      <c r="N1130" s="2">
        <v>80</v>
      </c>
      <c r="O1130">
        <v>4</v>
      </c>
      <c r="P1130">
        <v>2</v>
      </c>
      <c r="Q1130" t="s">
        <v>44</v>
      </c>
      <c r="R1130">
        <v>1</v>
      </c>
      <c r="S1130" t="s">
        <v>42</v>
      </c>
      <c r="T1130" s="2">
        <v>5562</v>
      </c>
      <c r="U1130" s="2">
        <v>19711</v>
      </c>
      <c r="V1130">
        <v>3</v>
      </c>
      <c r="W1130" t="s">
        <v>32</v>
      </c>
      <c r="X1130">
        <v>13</v>
      </c>
      <c r="Y1130">
        <v>3</v>
      </c>
      <c r="Z1130">
        <v>4</v>
      </c>
      <c r="AA1130">
        <v>80</v>
      </c>
      <c r="AB1130">
        <v>1</v>
      </c>
      <c r="AC1130">
        <v>9</v>
      </c>
      <c r="AD1130">
        <v>3</v>
      </c>
      <c r="AE1130">
        <v>3</v>
      </c>
      <c r="AF1130">
        <v>3</v>
      </c>
      <c r="AG1130">
        <v>2</v>
      </c>
      <c r="AH1130">
        <v>0</v>
      </c>
      <c r="AI1130">
        <v>2</v>
      </c>
    </row>
    <row r="1131" spans="1:35" x14ac:dyDescent="0.25">
      <c r="A1131">
        <v>42</v>
      </c>
      <c r="B1131" t="str">
        <f t="shared" si="34"/>
        <v>35-44</v>
      </c>
      <c r="C1131" s="1" t="s">
        <v>38</v>
      </c>
      <c r="D1131" s="17">
        <f>IF(Table1[[#This Row],[Attrition]]="Yes",1,0)</f>
        <v>0</v>
      </c>
      <c r="E1131" t="s">
        <v>57</v>
      </c>
      <c r="F1131" s="2">
        <v>1059</v>
      </c>
      <c r="G1131" t="s">
        <v>39</v>
      </c>
      <c r="H1131">
        <v>9</v>
      </c>
      <c r="I1131">
        <v>2</v>
      </c>
      <c r="J1131" t="str">
        <f t="shared" si="35"/>
        <v>College</v>
      </c>
      <c r="K1131" t="s">
        <v>43</v>
      </c>
      <c r="L1131">
        <v>4</v>
      </c>
      <c r="M1131" t="s">
        <v>40</v>
      </c>
      <c r="N1131" s="2">
        <v>93</v>
      </c>
      <c r="O1131">
        <v>2</v>
      </c>
      <c r="P1131">
        <v>5</v>
      </c>
      <c r="Q1131" t="s">
        <v>50</v>
      </c>
      <c r="R1131">
        <v>4</v>
      </c>
      <c r="S1131" t="s">
        <v>37</v>
      </c>
      <c r="T1131" s="2">
        <v>19613</v>
      </c>
      <c r="U1131" s="2">
        <v>26362</v>
      </c>
      <c r="V1131">
        <v>8</v>
      </c>
      <c r="W1131" t="s">
        <v>38</v>
      </c>
      <c r="X1131">
        <v>22</v>
      </c>
      <c r="Y1131">
        <v>4</v>
      </c>
      <c r="Z1131">
        <v>4</v>
      </c>
      <c r="AA1131">
        <v>80</v>
      </c>
      <c r="AB1131">
        <v>0</v>
      </c>
      <c r="AC1131">
        <v>24</v>
      </c>
      <c r="AD1131">
        <v>2</v>
      </c>
      <c r="AE1131">
        <v>3</v>
      </c>
      <c r="AF1131">
        <v>1</v>
      </c>
      <c r="AG1131">
        <v>0</v>
      </c>
      <c r="AH1131">
        <v>0</v>
      </c>
      <c r="AI1131">
        <v>1</v>
      </c>
    </row>
    <row r="1132" spans="1:35" x14ac:dyDescent="0.25">
      <c r="A1132">
        <v>35</v>
      </c>
      <c r="B1132" t="str">
        <f t="shared" si="34"/>
        <v>35-44</v>
      </c>
      <c r="C1132" s="1" t="s">
        <v>38</v>
      </c>
      <c r="D1132" s="17">
        <f>IF(Table1[[#This Row],[Attrition]]="Yes",1,0)</f>
        <v>0</v>
      </c>
      <c r="E1132" t="s">
        <v>57</v>
      </c>
      <c r="F1132" s="2">
        <v>750</v>
      </c>
      <c r="G1132" t="s">
        <v>39</v>
      </c>
      <c r="H1132">
        <v>28</v>
      </c>
      <c r="I1132">
        <v>3</v>
      </c>
      <c r="J1132" t="str">
        <f t="shared" si="35"/>
        <v>Bachelor</v>
      </c>
      <c r="K1132" t="s">
        <v>34</v>
      </c>
      <c r="L1132">
        <v>2</v>
      </c>
      <c r="M1132" t="s">
        <v>40</v>
      </c>
      <c r="N1132" s="2">
        <v>46</v>
      </c>
      <c r="O1132">
        <v>4</v>
      </c>
      <c r="P1132">
        <v>2</v>
      </c>
      <c r="Q1132" t="s">
        <v>44</v>
      </c>
      <c r="R1132">
        <v>3</v>
      </c>
      <c r="S1132" t="s">
        <v>42</v>
      </c>
      <c r="T1132" s="2">
        <v>3407</v>
      </c>
      <c r="U1132" s="2">
        <v>25348</v>
      </c>
      <c r="V1132">
        <v>1</v>
      </c>
      <c r="W1132" t="s">
        <v>38</v>
      </c>
      <c r="X1132">
        <v>17</v>
      </c>
      <c r="Y1132">
        <v>3</v>
      </c>
      <c r="Z1132">
        <v>4</v>
      </c>
      <c r="AA1132">
        <v>80</v>
      </c>
      <c r="AB1132">
        <v>2</v>
      </c>
      <c r="AC1132">
        <v>10</v>
      </c>
      <c r="AD1132">
        <v>3</v>
      </c>
      <c r="AE1132">
        <v>2</v>
      </c>
      <c r="AF1132">
        <v>10</v>
      </c>
      <c r="AG1132">
        <v>9</v>
      </c>
      <c r="AH1132">
        <v>6</v>
      </c>
      <c r="AI1132">
        <v>8</v>
      </c>
    </row>
    <row r="1133" spans="1:35" x14ac:dyDescent="0.25">
      <c r="A1133">
        <v>34</v>
      </c>
      <c r="B1133" t="str">
        <f t="shared" si="34"/>
        <v>25-34</v>
      </c>
      <c r="C1133" s="1" t="s">
        <v>38</v>
      </c>
      <c r="D1133" s="17">
        <f>IF(Table1[[#This Row],[Attrition]]="Yes",1,0)</f>
        <v>0</v>
      </c>
      <c r="E1133" t="s">
        <v>58</v>
      </c>
      <c r="F1133" s="2">
        <v>653</v>
      </c>
      <c r="G1133" t="s">
        <v>39</v>
      </c>
      <c r="H1133">
        <v>10</v>
      </c>
      <c r="I1133">
        <v>4</v>
      </c>
      <c r="J1133" t="str">
        <f t="shared" si="35"/>
        <v>Master</v>
      </c>
      <c r="K1133" t="s">
        <v>54</v>
      </c>
      <c r="L1133">
        <v>4</v>
      </c>
      <c r="M1133" t="s">
        <v>40</v>
      </c>
      <c r="N1133" s="2">
        <v>92</v>
      </c>
      <c r="O1133">
        <v>2</v>
      </c>
      <c r="P1133">
        <v>2</v>
      </c>
      <c r="Q1133" t="s">
        <v>48</v>
      </c>
      <c r="R1133">
        <v>3</v>
      </c>
      <c r="S1133" t="s">
        <v>42</v>
      </c>
      <c r="T1133" s="2">
        <v>5063</v>
      </c>
      <c r="U1133" s="2">
        <v>15332</v>
      </c>
      <c r="V1133">
        <v>1</v>
      </c>
      <c r="W1133" t="s">
        <v>38</v>
      </c>
      <c r="X1133">
        <v>14</v>
      </c>
      <c r="Y1133">
        <v>3</v>
      </c>
      <c r="Z1133">
        <v>2</v>
      </c>
      <c r="AA1133">
        <v>80</v>
      </c>
      <c r="AB1133">
        <v>1</v>
      </c>
      <c r="AC1133">
        <v>8</v>
      </c>
      <c r="AD1133">
        <v>3</v>
      </c>
      <c r="AE1133">
        <v>2</v>
      </c>
      <c r="AF1133">
        <v>8</v>
      </c>
      <c r="AG1133">
        <v>2</v>
      </c>
      <c r="AH1133">
        <v>7</v>
      </c>
      <c r="AI1133">
        <v>7</v>
      </c>
    </row>
    <row r="1134" spans="1:35" x14ac:dyDescent="0.25">
      <c r="A1134">
        <v>40</v>
      </c>
      <c r="B1134" t="str">
        <f t="shared" si="34"/>
        <v>35-44</v>
      </c>
      <c r="C1134" s="1" t="s">
        <v>38</v>
      </c>
      <c r="D1134" s="17">
        <f>IF(Table1[[#This Row],[Attrition]]="Yes",1,0)</f>
        <v>0</v>
      </c>
      <c r="E1134" t="s">
        <v>57</v>
      </c>
      <c r="F1134" s="2">
        <v>118</v>
      </c>
      <c r="G1134" t="s">
        <v>33</v>
      </c>
      <c r="H1134">
        <v>14</v>
      </c>
      <c r="I1134">
        <v>2</v>
      </c>
      <c r="J1134" t="str">
        <f t="shared" si="35"/>
        <v>College</v>
      </c>
      <c r="K1134" t="s">
        <v>34</v>
      </c>
      <c r="L1134">
        <v>4</v>
      </c>
      <c r="M1134" t="s">
        <v>35</v>
      </c>
      <c r="N1134" s="2">
        <v>84</v>
      </c>
      <c r="O1134">
        <v>3</v>
      </c>
      <c r="P1134">
        <v>2</v>
      </c>
      <c r="Q1134" t="s">
        <v>36</v>
      </c>
      <c r="R1134">
        <v>1</v>
      </c>
      <c r="S1134" t="s">
        <v>42</v>
      </c>
      <c r="T1134" s="2">
        <v>4639</v>
      </c>
      <c r="U1134" s="2">
        <v>11262</v>
      </c>
      <c r="V1134">
        <v>1</v>
      </c>
      <c r="W1134" t="s">
        <v>38</v>
      </c>
      <c r="X1134">
        <v>15</v>
      </c>
      <c r="Y1134">
        <v>3</v>
      </c>
      <c r="Z1134">
        <v>3</v>
      </c>
      <c r="AA1134">
        <v>80</v>
      </c>
      <c r="AB1134">
        <v>1</v>
      </c>
      <c r="AC1134">
        <v>5</v>
      </c>
      <c r="AD1134">
        <v>2</v>
      </c>
      <c r="AE1134">
        <v>3</v>
      </c>
      <c r="AF1134">
        <v>5</v>
      </c>
      <c r="AG1134">
        <v>4</v>
      </c>
      <c r="AH1134">
        <v>1</v>
      </c>
      <c r="AI1134">
        <v>2</v>
      </c>
    </row>
    <row r="1135" spans="1:35" x14ac:dyDescent="0.25">
      <c r="A1135">
        <v>43</v>
      </c>
      <c r="B1135" t="str">
        <f t="shared" si="34"/>
        <v>35-44</v>
      </c>
      <c r="C1135" s="1" t="s">
        <v>38</v>
      </c>
      <c r="D1135" s="17">
        <f>IF(Table1[[#This Row],[Attrition]]="Yes",1,0)</f>
        <v>0</v>
      </c>
      <c r="E1135" t="s">
        <v>57</v>
      </c>
      <c r="F1135" s="2">
        <v>990</v>
      </c>
      <c r="G1135" t="s">
        <v>39</v>
      </c>
      <c r="H1135">
        <v>27</v>
      </c>
      <c r="I1135">
        <v>3</v>
      </c>
      <c r="J1135" t="str">
        <f t="shared" si="35"/>
        <v>Bachelor</v>
      </c>
      <c r="K1135" t="s">
        <v>54</v>
      </c>
      <c r="L1135">
        <v>4</v>
      </c>
      <c r="M1135" t="s">
        <v>40</v>
      </c>
      <c r="N1135" s="2">
        <v>87</v>
      </c>
      <c r="O1135">
        <v>4</v>
      </c>
      <c r="P1135">
        <v>1</v>
      </c>
      <c r="Q1135" t="s">
        <v>44</v>
      </c>
      <c r="R1135">
        <v>2</v>
      </c>
      <c r="S1135" t="s">
        <v>46</v>
      </c>
      <c r="T1135" s="2">
        <v>4876</v>
      </c>
      <c r="U1135" s="2">
        <v>5855</v>
      </c>
      <c r="V1135">
        <v>5</v>
      </c>
      <c r="W1135" t="s">
        <v>38</v>
      </c>
      <c r="X1135">
        <v>12</v>
      </c>
      <c r="Y1135">
        <v>3</v>
      </c>
      <c r="Z1135">
        <v>3</v>
      </c>
      <c r="AA1135">
        <v>80</v>
      </c>
      <c r="AB1135">
        <v>1</v>
      </c>
      <c r="AC1135">
        <v>8</v>
      </c>
      <c r="AD1135">
        <v>0</v>
      </c>
      <c r="AE1135">
        <v>3</v>
      </c>
      <c r="AF1135">
        <v>6</v>
      </c>
      <c r="AG1135">
        <v>4</v>
      </c>
      <c r="AH1135">
        <v>0</v>
      </c>
      <c r="AI1135">
        <v>2</v>
      </c>
    </row>
    <row r="1136" spans="1:35" x14ac:dyDescent="0.25">
      <c r="A1136">
        <v>35</v>
      </c>
      <c r="B1136" t="str">
        <f t="shared" si="34"/>
        <v>35-44</v>
      </c>
      <c r="C1136" s="1" t="s">
        <v>38</v>
      </c>
      <c r="D1136" s="17">
        <f>IF(Table1[[#This Row],[Attrition]]="Yes",1,0)</f>
        <v>0</v>
      </c>
      <c r="E1136" t="s">
        <v>57</v>
      </c>
      <c r="F1136" s="2">
        <v>1349</v>
      </c>
      <c r="G1136" t="s">
        <v>39</v>
      </c>
      <c r="H1136">
        <v>7</v>
      </c>
      <c r="I1136">
        <v>2</v>
      </c>
      <c r="J1136" t="str">
        <f t="shared" si="35"/>
        <v>College</v>
      </c>
      <c r="K1136" t="s">
        <v>34</v>
      </c>
      <c r="L1136">
        <v>3</v>
      </c>
      <c r="M1136" t="s">
        <v>40</v>
      </c>
      <c r="N1136" s="2">
        <v>63</v>
      </c>
      <c r="O1136">
        <v>2</v>
      </c>
      <c r="P1136">
        <v>1</v>
      </c>
      <c r="Q1136" t="s">
        <v>44</v>
      </c>
      <c r="R1136">
        <v>4</v>
      </c>
      <c r="S1136" t="s">
        <v>42</v>
      </c>
      <c r="T1136" s="2">
        <v>2690</v>
      </c>
      <c r="U1136" s="2">
        <v>7713</v>
      </c>
      <c r="V1136">
        <v>1</v>
      </c>
      <c r="W1136" t="s">
        <v>38</v>
      </c>
      <c r="X1136">
        <v>18</v>
      </c>
      <c r="Y1136">
        <v>3</v>
      </c>
      <c r="Z1136">
        <v>4</v>
      </c>
      <c r="AA1136">
        <v>80</v>
      </c>
      <c r="AB1136">
        <v>1</v>
      </c>
      <c r="AC1136">
        <v>1</v>
      </c>
      <c r="AD1136">
        <v>5</v>
      </c>
      <c r="AE1136">
        <v>2</v>
      </c>
      <c r="AF1136">
        <v>1</v>
      </c>
      <c r="AG1136">
        <v>0</v>
      </c>
      <c r="AH1136">
        <v>0</v>
      </c>
      <c r="AI1136">
        <v>1</v>
      </c>
    </row>
    <row r="1137" spans="1:35" x14ac:dyDescent="0.25">
      <c r="A1137">
        <v>46</v>
      </c>
      <c r="B1137" t="str">
        <f t="shared" si="34"/>
        <v>45-54</v>
      </c>
      <c r="C1137" s="1" t="s">
        <v>38</v>
      </c>
      <c r="D1137" s="17">
        <f>IF(Table1[[#This Row],[Attrition]]="Yes",1,0)</f>
        <v>0</v>
      </c>
      <c r="E1137" t="s">
        <v>57</v>
      </c>
      <c r="F1137" s="2">
        <v>563</v>
      </c>
      <c r="G1137" t="s">
        <v>33</v>
      </c>
      <c r="H1137">
        <v>1</v>
      </c>
      <c r="I1137">
        <v>4</v>
      </c>
      <c r="J1137" t="str">
        <f t="shared" si="35"/>
        <v>Master</v>
      </c>
      <c r="K1137" t="s">
        <v>34</v>
      </c>
      <c r="L1137">
        <v>4</v>
      </c>
      <c r="M1137" t="s">
        <v>40</v>
      </c>
      <c r="N1137" s="2">
        <v>56</v>
      </c>
      <c r="O1137">
        <v>4</v>
      </c>
      <c r="P1137">
        <v>4</v>
      </c>
      <c r="Q1137" t="s">
        <v>50</v>
      </c>
      <c r="R1137">
        <v>1</v>
      </c>
      <c r="S1137" t="s">
        <v>37</v>
      </c>
      <c r="T1137" s="2">
        <v>17567</v>
      </c>
      <c r="U1137" s="2">
        <v>3156</v>
      </c>
      <c r="V1137">
        <v>1</v>
      </c>
      <c r="W1137" t="s">
        <v>38</v>
      </c>
      <c r="X1137">
        <v>15</v>
      </c>
      <c r="Y1137">
        <v>3</v>
      </c>
      <c r="Z1137">
        <v>2</v>
      </c>
      <c r="AA1137">
        <v>80</v>
      </c>
      <c r="AB1137">
        <v>0</v>
      </c>
      <c r="AC1137">
        <v>27</v>
      </c>
      <c r="AD1137">
        <v>5</v>
      </c>
      <c r="AE1137">
        <v>1</v>
      </c>
      <c r="AF1137">
        <v>26</v>
      </c>
      <c r="AG1137">
        <v>0</v>
      </c>
      <c r="AH1137">
        <v>0</v>
      </c>
      <c r="AI1137">
        <v>12</v>
      </c>
    </row>
    <row r="1138" spans="1:35" x14ac:dyDescent="0.25">
      <c r="A1138">
        <v>28</v>
      </c>
      <c r="B1138" t="str">
        <f t="shared" si="34"/>
        <v>25-34</v>
      </c>
      <c r="C1138" s="1" t="s">
        <v>32</v>
      </c>
      <c r="D1138" s="17">
        <f>IF(Table1[[#This Row],[Attrition]]="Yes",1,0)</f>
        <v>1</v>
      </c>
      <c r="E1138" t="s">
        <v>57</v>
      </c>
      <c r="F1138" s="2">
        <v>329</v>
      </c>
      <c r="G1138" t="s">
        <v>39</v>
      </c>
      <c r="H1138">
        <v>24</v>
      </c>
      <c r="I1138">
        <v>3</v>
      </c>
      <c r="J1138" t="str">
        <f t="shared" si="35"/>
        <v>Bachelor</v>
      </c>
      <c r="K1138" t="s">
        <v>45</v>
      </c>
      <c r="L1138">
        <v>3</v>
      </c>
      <c r="M1138" t="s">
        <v>40</v>
      </c>
      <c r="N1138" s="2">
        <v>51</v>
      </c>
      <c r="O1138">
        <v>3</v>
      </c>
      <c r="P1138">
        <v>1</v>
      </c>
      <c r="Q1138" t="s">
        <v>44</v>
      </c>
      <c r="R1138">
        <v>2</v>
      </c>
      <c r="S1138" t="s">
        <v>42</v>
      </c>
      <c r="T1138" s="2">
        <v>2408</v>
      </c>
      <c r="U1138" s="2">
        <v>7324</v>
      </c>
      <c r="V1138">
        <v>1</v>
      </c>
      <c r="W1138" t="s">
        <v>32</v>
      </c>
      <c r="X1138">
        <v>17</v>
      </c>
      <c r="Y1138">
        <v>3</v>
      </c>
      <c r="Z1138">
        <v>3</v>
      </c>
      <c r="AA1138">
        <v>80</v>
      </c>
      <c r="AB1138">
        <v>3</v>
      </c>
      <c r="AC1138">
        <v>1</v>
      </c>
      <c r="AD1138">
        <v>3</v>
      </c>
      <c r="AE1138">
        <v>3</v>
      </c>
      <c r="AF1138">
        <v>1</v>
      </c>
      <c r="AG1138">
        <v>1</v>
      </c>
      <c r="AH1138">
        <v>0</v>
      </c>
      <c r="AI1138">
        <v>0</v>
      </c>
    </row>
    <row r="1139" spans="1:35" x14ac:dyDescent="0.25">
      <c r="A1139">
        <v>22</v>
      </c>
      <c r="B1139" t="str">
        <f t="shared" si="34"/>
        <v>18-24</v>
      </c>
      <c r="C1139" s="1" t="s">
        <v>38</v>
      </c>
      <c r="D1139" s="17">
        <f>IF(Table1[[#This Row],[Attrition]]="Yes",1,0)</f>
        <v>0</v>
      </c>
      <c r="E1139" t="s">
        <v>49</v>
      </c>
      <c r="F1139" s="2">
        <v>457</v>
      </c>
      <c r="G1139" t="s">
        <v>39</v>
      </c>
      <c r="H1139">
        <v>26</v>
      </c>
      <c r="I1139">
        <v>2</v>
      </c>
      <c r="J1139" t="str">
        <f t="shared" si="35"/>
        <v>College</v>
      </c>
      <c r="K1139" t="s">
        <v>43</v>
      </c>
      <c r="L1139">
        <v>2</v>
      </c>
      <c r="M1139" t="s">
        <v>35</v>
      </c>
      <c r="N1139" s="2">
        <v>85</v>
      </c>
      <c r="O1139">
        <v>2</v>
      </c>
      <c r="P1139">
        <v>1</v>
      </c>
      <c r="Q1139" t="s">
        <v>41</v>
      </c>
      <c r="R1139">
        <v>3</v>
      </c>
      <c r="S1139" t="s">
        <v>42</v>
      </c>
      <c r="T1139" s="2">
        <v>2814</v>
      </c>
      <c r="U1139" s="2">
        <v>10293</v>
      </c>
      <c r="V1139">
        <v>1</v>
      </c>
      <c r="W1139" t="s">
        <v>32</v>
      </c>
      <c r="X1139">
        <v>14</v>
      </c>
      <c r="Y1139">
        <v>3</v>
      </c>
      <c r="Z1139">
        <v>2</v>
      </c>
      <c r="AA1139">
        <v>80</v>
      </c>
      <c r="AB1139">
        <v>0</v>
      </c>
      <c r="AC1139">
        <v>4</v>
      </c>
      <c r="AD1139">
        <v>2</v>
      </c>
      <c r="AE1139">
        <v>2</v>
      </c>
      <c r="AF1139">
        <v>4</v>
      </c>
      <c r="AG1139">
        <v>2</v>
      </c>
      <c r="AH1139">
        <v>1</v>
      </c>
      <c r="AI1139">
        <v>3</v>
      </c>
    </row>
    <row r="1140" spans="1:35" x14ac:dyDescent="0.25">
      <c r="A1140">
        <v>50</v>
      </c>
      <c r="B1140" t="str">
        <f t="shared" si="34"/>
        <v>45-54</v>
      </c>
      <c r="C1140" s="1" t="s">
        <v>38</v>
      </c>
      <c r="D1140" s="17">
        <f>IF(Table1[[#This Row],[Attrition]]="Yes",1,0)</f>
        <v>0</v>
      </c>
      <c r="E1140" t="s">
        <v>58</v>
      </c>
      <c r="F1140" s="2">
        <v>1234</v>
      </c>
      <c r="G1140" t="s">
        <v>39</v>
      </c>
      <c r="H1140">
        <v>20</v>
      </c>
      <c r="I1140">
        <v>5</v>
      </c>
      <c r="J1140" t="str">
        <f t="shared" si="35"/>
        <v>Doctor</v>
      </c>
      <c r="K1140" t="s">
        <v>45</v>
      </c>
      <c r="L1140">
        <v>2</v>
      </c>
      <c r="M1140" t="s">
        <v>40</v>
      </c>
      <c r="N1140" s="2">
        <v>41</v>
      </c>
      <c r="O1140">
        <v>3</v>
      </c>
      <c r="P1140">
        <v>4</v>
      </c>
      <c r="Q1140" t="s">
        <v>48</v>
      </c>
      <c r="R1140">
        <v>3</v>
      </c>
      <c r="S1140" t="s">
        <v>42</v>
      </c>
      <c r="T1140" s="2">
        <v>11245</v>
      </c>
      <c r="U1140" s="2">
        <v>20689</v>
      </c>
      <c r="V1140">
        <v>2</v>
      </c>
      <c r="W1140" t="s">
        <v>32</v>
      </c>
      <c r="X1140">
        <v>15</v>
      </c>
      <c r="Y1140">
        <v>3</v>
      </c>
      <c r="Z1140">
        <v>3</v>
      </c>
      <c r="AA1140">
        <v>80</v>
      </c>
      <c r="AB1140">
        <v>1</v>
      </c>
      <c r="AC1140">
        <v>32</v>
      </c>
      <c r="AD1140">
        <v>3</v>
      </c>
      <c r="AE1140">
        <v>3</v>
      </c>
      <c r="AF1140">
        <v>30</v>
      </c>
      <c r="AG1140">
        <v>8</v>
      </c>
      <c r="AH1140">
        <v>12</v>
      </c>
      <c r="AI1140">
        <v>13</v>
      </c>
    </row>
    <row r="1141" spans="1:35" x14ac:dyDescent="0.25">
      <c r="A1141">
        <v>32</v>
      </c>
      <c r="B1141" t="str">
        <f t="shared" si="34"/>
        <v>25-34</v>
      </c>
      <c r="C1141" s="1" t="s">
        <v>38</v>
      </c>
      <c r="D1141" s="17">
        <f>IF(Table1[[#This Row],[Attrition]]="Yes",1,0)</f>
        <v>0</v>
      </c>
      <c r="E1141" t="s">
        <v>57</v>
      </c>
      <c r="F1141" s="2">
        <v>634</v>
      </c>
      <c r="G1141" t="s">
        <v>39</v>
      </c>
      <c r="H1141">
        <v>5</v>
      </c>
      <c r="I1141">
        <v>4</v>
      </c>
      <c r="J1141" t="str">
        <f t="shared" si="35"/>
        <v>Master</v>
      </c>
      <c r="K1141" t="s">
        <v>43</v>
      </c>
      <c r="L1141">
        <v>2</v>
      </c>
      <c r="M1141" t="s">
        <v>35</v>
      </c>
      <c r="N1141" s="2">
        <v>35</v>
      </c>
      <c r="O1141">
        <v>4</v>
      </c>
      <c r="P1141">
        <v>1</v>
      </c>
      <c r="Q1141" t="s">
        <v>41</v>
      </c>
      <c r="R1141">
        <v>4</v>
      </c>
      <c r="S1141" t="s">
        <v>42</v>
      </c>
      <c r="T1141" s="2">
        <v>3312</v>
      </c>
      <c r="U1141" s="2">
        <v>18783</v>
      </c>
      <c r="V1141">
        <v>3</v>
      </c>
      <c r="W1141" t="s">
        <v>38</v>
      </c>
      <c r="X1141">
        <v>17</v>
      </c>
      <c r="Y1141">
        <v>3</v>
      </c>
      <c r="Z1141">
        <v>4</v>
      </c>
      <c r="AA1141">
        <v>80</v>
      </c>
      <c r="AB1141">
        <v>2</v>
      </c>
      <c r="AC1141">
        <v>6</v>
      </c>
      <c r="AD1141">
        <v>3</v>
      </c>
      <c r="AE1141">
        <v>3</v>
      </c>
      <c r="AF1141">
        <v>3</v>
      </c>
      <c r="AG1141">
        <v>2</v>
      </c>
      <c r="AH1141">
        <v>0</v>
      </c>
      <c r="AI1141">
        <v>2</v>
      </c>
    </row>
    <row r="1142" spans="1:35" x14ac:dyDescent="0.25">
      <c r="A1142">
        <v>44</v>
      </c>
      <c r="B1142" t="str">
        <f t="shared" si="34"/>
        <v>35-44</v>
      </c>
      <c r="C1142" s="1" t="s">
        <v>38</v>
      </c>
      <c r="D1142" s="17">
        <f>IF(Table1[[#This Row],[Attrition]]="Yes",1,0)</f>
        <v>0</v>
      </c>
      <c r="E1142" t="s">
        <v>57</v>
      </c>
      <c r="F1142" s="2">
        <v>1313</v>
      </c>
      <c r="G1142" t="s">
        <v>39</v>
      </c>
      <c r="H1142">
        <v>7</v>
      </c>
      <c r="I1142">
        <v>3</v>
      </c>
      <c r="J1142" t="str">
        <f t="shared" si="35"/>
        <v>Bachelor</v>
      </c>
      <c r="K1142" t="s">
        <v>45</v>
      </c>
      <c r="L1142">
        <v>2</v>
      </c>
      <c r="M1142" t="s">
        <v>35</v>
      </c>
      <c r="N1142" s="2">
        <v>31</v>
      </c>
      <c r="O1142">
        <v>3</v>
      </c>
      <c r="P1142">
        <v>5</v>
      </c>
      <c r="Q1142" t="s">
        <v>52</v>
      </c>
      <c r="R1142">
        <v>4</v>
      </c>
      <c r="S1142" t="s">
        <v>46</v>
      </c>
      <c r="T1142" s="2">
        <v>19049</v>
      </c>
      <c r="U1142" s="2">
        <v>3549</v>
      </c>
      <c r="V1142">
        <v>0</v>
      </c>
      <c r="W1142" t="s">
        <v>32</v>
      </c>
      <c r="X1142">
        <v>14</v>
      </c>
      <c r="Y1142">
        <v>3</v>
      </c>
      <c r="Z1142">
        <v>4</v>
      </c>
      <c r="AA1142">
        <v>80</v>
      </c>
      <c r="AB1142">
        <v>1</v>
      </c>
      <c r="AC1142">
        <v>23</v>
      </c>
      <c r="AD1142">
        <v>4</v>
      </c>
      <c r="AE1142">
        <v>2</v>
      </c>
      <c r="AF1142">
        <v>22</v>
      </c>
      <c r="AG1142">
        <v>7</v>
      </c>
      <c r="AH1142">
        <v>1</v>
      </c>
      <c r="AI1142">
        <v>10</v>
      </c>
    </row>
    <row r="1143" spans="1:35" x14ac:dyDescent="0.25">
      <c r="A1143">
        <v>30</v>
      </c>
      <c r="B1143" t="str">
        <f t="shared" si="34"/>
        <v>25-34</v>
      </c>
      <c r="C1143" s="1" t="s">
        <v>38</v>
      </c>
      <c r="D1143" s="17">
        <f>IF(Table1[[#This Row],[Attrition]]="Yes",1,0)</f>
        <v>0</v>
      </c>
      <c r="E1143" t="s">
        <v>57</v>
      </c>
      <c r="F1143" s="2">
        <v>241</v>
      </c>
      <c r="G1143" t="s">
        <v>39</v>
      </c>
      <c r="H1143">
        <v>7</v>
      </c>
      <c r="I1143">
        <v>3</v>
      </c>
      <c r="J1143" t="str">
        <f t="shared" si="35"/>
        <v>Bachelor</v>
      </c>
      <c r="K1143" t="s">
        <v>45</v>
      </c>
      <c r="L1143">
        <v>2</v>
      </c>
      <c r="M1143" t="s">
        <v>40</v>
      </c>
      <c r="N1143" s="2">
        <v>48</v>
      </c>
      <c r="O1143">
        <v>2</v>
      </c>
      <c r="P1143">
        <v>1</v>
      </c>
      <c r="Q1143" t="s">
        <v>41</v>
      </c>
      <c r="R1143">
        <v>2</v>
      </c>
      <c r="S1143" t="s">
        <v>42</v>
      </c>
      <c r="T1143" s="2">
        <v>2141</v>
      </c>
      <c r="U1143" s="2">
        <v>5348</v>
      </c>
      <c r="V1143">
        <v>1</v>
      </c>
      <c r="W1143" t="s">
        <v>38</v>
      </c>
      <c r="X1143">
        <v>12</v>
      </c>
      <c r="Y1143">
        <v>3</v>
      </c>
      <c r="Z1143">
        <v>2</v>
      </c>
      <c r="AA1143">
        <v>80</v>
      </c>
      <c r="AB1143">
        <v>1</v>
      </c>
      <c r="AC1143">
        <v>6</v>
      </c>
      <c r="AD1143">
        <v>3</v>
      </c>
      <c r="AE1143">
        <v>2</v>
      </c>
      <c r="AF1143">
        <v>6</v>
      </c>
      <c r="AG1143">
        <v>4</v>
      </c>
      <c r="AH1143">
        <v>1</v>
      </c>
      <c r="AI1143">
        <v>1</v>
      </c>
    </row>
    <row r="1144" spans="1:35" x14ac:dyDescent="0.25">
      <c r="A1144">
        <v>45</v>
      </c>
      <c r="B1144" t="str">
        <f t="shared" si="34"/>
        <v>45-54</v>
      </c>
      <c r="C1144" s="1" t="s">
        <v>38</v>
      </c>
      <c r="D1144" s="17">
        <f>IF(Table1[[#This Row],[Attrition]]="Yes",1,0)</f>
        <v>0</v>
      </c>
      <c r="E1144" t="s">
        <v>57</v>
      </c>
      <c r="F1144" s="2">
        <v>1015</v>
      </c>
      <c r="G1144" t="s">
        <v>39</v>
      </c>
      <c r="H1144">
        <v>5</v>
      </c>
      <c r="I1144">
        <v>5</v>
      </c>
      <c r="J1144" t="str">
        <f t="shared" si="35"/>
        <v>Doctor</v>
      </c>
      <c r="K1144" t="s">
        <v>45</v>
      </c>
      <c r="L1144">
        <v>3</v>
      </c>
      <c r="M1144" t="s">
        <v>35</v>
      </c>
      <c r="N1144" s="2">
        <v>50</v>
      </c>
      <c r="O1144">
        <v>1</v>
      </c>
      <c r="P1144">
        <v>2</v>
      </c>
      <c r="Q1144" t="s">
        <v>44</v>
      </c>
      <c r="R1144">
        <v>1</v>
      </c>
      <c r="S1144" t="s">
        <v>37</v>
      </c>
      <c r="T1144" s="2">
        <v>5769</v>
      </c>
      <c r="U1144" s="2">
        <v>23447</v>
      </c>
      <c r="V1144">
        <v>1</v>
      </c>
      <c r="W1144" t="s">
        <v>32</v>
      </c>
      <c r="X1144">
        <v>14</v>
      </c>
      <c r="Y1144">
        <v>3</v>
      </c>
      <c r="Z1144">
        <v>1</v>
      </c>
      <c r="AA1144">
        <v>80</v>
      </c>
      <c r="AB1144">
        <v>0</v>
      </c>
      <c r="AC1144">
        <v>10</v>
      </c>
      <c r="AD1144">
        <v>3</v>
      </c>
      <c r="AE1144">
        <v>3</v>
      </c>
      <c r="AF1144">
        <v>10</v>
      </c>
      <c r="AG1144">
        <v>7</v>
      </c>
      <c r="AH1144">
        <v>1</v>
      </c>
      <c r="AI1144">
        <v>4</v>
      </c>
    </row>
    <row r="1145" spans="1:35" x14ac:dyDescent="0.25">
      <c r="A1145">
        <v>45</v>
      </c>
      <c r="B1145" t="str">
        <f t="shared" si="34"/>
        <v>45-54</v>
      </c>
      <c r="C1145" s="1" t="s">
        <v>38</v>
      </c>
      <c r="D1145" s="17">
        <f>IF(Table1[[#This Row],[Attrition]]="Yes",1,0)</f>
        <v>0</v>
      </c>
      <c r="E1145" t="s">
        <v>49</v>
      </c>
      <c r="F1145" s="2">
        <v>336</v>
      </c>
      <c r="G1145" t="s">
        <v>33</v>
      </c>
      <c r="H1145">
        <v>26</v>
      </c>
      <c r="I1145">
        <v>3</v>
      </c>
      <c r="J1145" t="str">
        <f t="shared" si="35"/>
        <v>Bachelor</v>
      </c>
      <c r="K1145" t="s">
        <v>53</v>
      </c>
      <c r="L1145">
        <v>1</v>
      </c>
      <c r="M1145" t="s">
        <v>40</v>
      </c>
      <c r="N1145" s="2">
        <v>52</v>
      </c>
      <c r="O1145">
        <v>2</v>
      </c>
      <c r="P1145">
        <v>2</v>
      </c>
      <c r="Q1145" t="s">
        <v>36</v>
      </c>
      <c r="R1145">
        <v>1</v>
      </c>
      <c r="S1145" t="s">
        <v>42</v>
      </c>
      <c r="T1145" s="2">
        <v>4385</v>
      </c>
      <c r="U1145" s="2">
        <v>24162</v>
      </c>
      <c r="V1145">
        <v>1</v>
      </c>
      <c r="W1145" t="s">
        <v>38</v>
      </c>
      <c r="X1145">
        <v>15</v>
      </c>
      <c r="Y1145">
        <v>3</v>
      </c>
      <c r="Z1145">
        <v>1</v>
      </c>
      <c r="AA1145">
        <v>80</v>
      </c>
      <c r="AB1145">
        <v>1</v>
      </c>
      <c r="AC1145">
        <v>10</v>
      </c>
      <c r="AD1145">
        <v>2</v>
      </c>
      <c r="AE1145">
        <v>3</v>
      </c>
      <c r="AF1145">
        <v>10</v>
      </c>
      <c r="AG1145">
        <v>7</v>
      </c>
      <c r="AH1145">
        <v>4</v>
      </c>
      <c r="AI1145">
        <v>5</v>
      </c>
    </row>
    <row r="1146" spans="1:35" x14ac:dyDescent="0.25">
      <c r="A1146">
        <v>31</v>
      </c>
      <c r="B1146" t="str">
        <f t="shared" si="34"/>
        <v>25-34</v>
      </c>
      <c r="C1146" s="1" t="s">
        <v>38</v>
      </c>
      <c r="D1146" s="17">
        <f>IF(Table1[[#This Row],[Attrition]]="Yes",1,0)</f>
        <v>0</v>
      </c>
      <c r="E1146" t="s">
        <v>58</v>
      </c>
      <c r="F1146" s="2">
        <v>715</v>
      </c>
      <c r="G1146" t="s">
        <v>33</v>
      </c>
      <c r="H1146">
        <v>2</v>
      </c>
      <c r="I1146">
        <v>4</v>
      </c>
      <c r="J1146" t="str">
        <f t="shared" si="35"/>
        <v>Master</v>
      </c>
      <c r="K1146" t="s">
        <v>43</v>
      </c>
      <c r="L1146">
        <v>4</v>
      </c>
      <c r="M1146" t="s">
        <v>40</v>
      </c>
      <c r="N1146" s="2">
        <v>54</v>
      </c>
      <c r="O1146">
        <v>3</v>
      </c>
      <c r="P1146">
        <v>2</v>
      </c>
      <c r="Q1146" t="s">
        <v>36</v>
      </c>
      <c r="R1146">
        <v>1</v>
      </c>
      <c r="S1146" t="s">
        <v>37</v>
      </c>
      <c r="T1146" s="2">
        <v>5332</v>
      </c>
      <c r="U1146" s="2">
        <v>21602</v>
      </c>
      <c r="V1146">
        <v>7</v>
      </c>
      <c r="W1146" t="s">
        <v>38</v>
      </c>
      <c r="X1146">
        <v>13</v>
      </c>
      <c r="Y1146">
        <v>3</v>
      </c>
      <c r="Z1146">
        <v>4</v>
      </c>
      <c r="AA1146">
        <v>80</v>
      </c>
      <c r="AB1146">
        <v>0</v>
      </c>
      <c r="AC1146">
        <v>10</v>
      </c>
      <c r="AD1146">
        <v>3</v>
      </c>
      <c r="AE1146">
        <v>3</v>
      </c>
      <c r="AF1146">
        <v>5</v>
      </c>
      <c r="AG1146">
        <v>2</v>
      </c>
      <c r="AH1146">
        <v>0</v>
      </c>
      <c r="AI1146">
        <v>3</v>
      </c>
    </row>
    <row r="1147" spans="1:35" x14ac:dyDescent="0.25">
      <c r="A1147">
        <v>36</v>
      </c>
      <c r="B1147" t="str">
        <f t="shared" si="34"/>
        <v>35-44</v>
      </c>
      <c r="C1147" s="1" t="s">
        <v>38</v>
      </c>
      <c r="D1147" s="17">
        <f>IF(Table1[[#This Row],[Attrition]]="Yes",1,0)</f>
        <v>0</v>
      </c>
      <c r="E1147" t="s">
        <v>57</v>
      </c>
      <c r="F1147" s="2">
        <v>559</v>
      </c>
      <c r="G1147" t="s">
        <v>39</v>
      </c>
      <c r="H1147">
        <v>12</v>
      </c>
      <c r="I1147">
        <v>4</v>
      </c>
      <c r="J1147" t="str">
        <f t="shared" si="35"/>
        <v>Master</v>
      </c>
      <c r="K1147" t="s">
        <v>34</v>
      </c>
      <c r="L1147">
        <v>3</v>
      </c>
      <c r="M1147" t="s">
        <v>35</v>
      </c>
      <c r="N1147" s="2">
        <v>76</v>
      </c>
      <c r="O1147">
        <v>3</v>
      </c>
      <c r="P1147">
        <v>2</v>
      </c>
      <c r="Q1147" t="s">
        <v>47</v>
      </c>
      <c r="R1147">
        <v>3</v>
      </c>
      <c r="S1147" t="s">
        <v>42</v>
      </c>
      <c r="T1147" s="2">
        <v>4663</v>
      </c>
      <c r="U1147" s="2">
        <v>12421</v>
      </c>
      <c r="V1147">
        <v>9</v>
      </c>
      <c r="W1147" t="s">
        <v>32</v>
      </c>
      <c r="X1147">
        <v>12</v>
      </c>
      <c r="Y1147">
        <v>3</v>
      </c>
      <c r="Z1147">
        <v>2</v>
      </c>
      <c r="AA1147">
        <v>80</v>
      </c>
      <c r="AB1147">
        <v>2</v>
      </c>
      <c r="AC1147">
        <v>7</v>
      </c>
      <c r="AD1147">
        <v>2</v>
      </c>
      <c r="AE1147">
        <v>3</v>
      </c>
      <c r="AF1147">
        <v>3</v>
      </c>
      <c r="AG1147">
        <v>2</v>
      </c>
      <c r="AH1147">
        <v>1</v>
      </c>
      <c r="AI1147">
        <v>1</v>
      </c>
    </row>
    <row r="1148" spans="1:35" x14ac:dyDescent="0.25">
      <c r="A1148">
        <v>34</v>
      </c>
      <c r="B1148" t="str">
        <f t="shared" si="34"/>
        <v>25-34</v>
      </c>
      <c r="C1148" s="1" t="s">
        <v>38</v>
      </c>
      <c r="D1148" s="17">
        <f>IF(Table1[[#This Row],[Attrition]]="Yes",1,0)</f>
        <v>0</v>
      </c>
      <c r="E1148" t="s">
        <v>58</v>
      </c>
      <c r="F1148" s="2">
        <v>426</v>
      </c>
      <c r="G1148" t="s">
        <v>39</v>
      </c>
      <c r="H1148">
        <v>10</v>
      </c>
      <c r="I1148">
        <v>4</v>
      </c>
      <c r="J1148" t="str">
        <f t="shared" si="35"/>
        <v>Master</v>
      </c>
      <c r="K1148" t="s">
        <v>34</v>
      </c>
      <c r="L1148">
        <v>3</v>
      </c>
      <c r="M1148" t="s">
        <v>40</v>
      </c>
      <c r="N1148" s="2">
        <v>42</v>
      </c>
      <c r="O1148">
        <v>4</v>
      </c>
      <c r="P1148">
        <v>2</v>
      </c>
      <c r="Q1148" t="s">
        <v>47</v>
      </c>
      <c r="R1148">
        <v>4</v>
      </c>
      <c r="S1148" t="s">
        <v>46</v>
      </c>
      <c r="T1148" s="2">
        <v>4724</v>
      </c>
      <c r="U1148" s="2">
        <v>17000</v>
      </c>
      <c r="V1148">
        <v>1</v>
      </c>
      <c r="W1148" t="s">
        <v>38</v>
      </c>
      <c r="X1148">
        <v>13</v>
      </c>
      <c r="Y1148">
        <v>3</v>
      </c>
      <c r="Z1148">
        <v>1</v>
      </c>
      <c r="AA1148">
        <v>80</v>
      </c>
      <c r="AB1148">
        <v>1</v>
      </c>
      <c r="AC1148">
        <v>9</v>
      </c>
      <c r="AD1148">
        <v>3</v>
      </c>
      <c r="AE1148">
        <v>3</v>
      </c>
      <c r="AF1148">
        <v>9</v>
      </c>
      <c r="AG1148">
        <v>7</v>
      </c>
      <c r="AH1148">
        <v>7</v>
      </c>
      <c r="AI1148">
        <v>2</v>
      </c>
    </row>
    <row r="1149" spans="1:35" x14ac:dyDescent="0.25">
      <c r="A1149">
        <v>49</v>
      </c>
      <c r="B1149" t="str">
        <f t="shared" si="34"/>
        <v>45-54</v>
      </c>
      <c r="C1149" s="1" t="s">
        <v>38</v>
      </c>
      <c r="D1149" s="17">
        <f>IF(Table1[[#This Row],[Attrition]]="Yes",1,0)</f>
        <v>0</v>
      </c>
      <c r="E1149" t="s">
        <v>57</v>
      </c>
      <c r="F1149" s="2">
        <v>722</v>
      </c>
      <c r="G1149" t="s">
        <v>39</v>
      </c>
      <c r="H1149">
        <v>25</v>
      </c>
      <c r="I1149">
        <v>4</v>
      </c>
      <c r="J1149" t="str">
        <f t="shared" si="35"/>
        <v>Master</v>
      </c>
      <c r="K1149" t="s">
        <v>34</v>
      </c>
      <c r="L1149">
        <v>3</v>
      </c>
      <c r="M1149" t="s">
        <v>35</v>
      </c>
      <c r="N1149" s="2">
        <v>84</v>
      </c>
      <c r="O1149">
        <v>3</v>
      </c>
      <c r="P1149">
        <v>1</v>
      </c>
      <c r="Q1149" t="s">
        <v>44</v>
      </c>
      <c r="R1149">
        <v>1</v>
      </c>
      <c r="S1149" t="s">
        <v>42</v>
      </c>
      <c r="T1149" s="2">
        <v>3211</v>
      </c>
      <c r="U1149" s="2">
        <v>22102</v>
      </c>
      <c r="V1149">
        <v>1</v>
      </c>
      <c r="W1149" t="s">
        <v>38</v>
      </c>
      <c r="X1149">
        <v>14</v>
      </c>
      <c r="Y1149">
        <v>3</v>
      </c>
      <c r="Z1149">
        <v>4</v>
      </c>
      <c r="AA1149">
        <v>80</v>
      </c>
      <c r="AB1149">
        <v>1</v>
      </c>
      <c r="AC1149">
        <v>10</v>
      </c>
      <c r="AD1149">
        <v>3</v>
      </c>
      <c r="AE1149">
        <v>2</v>
      </c>
      <c r="AF1149">
        <v>9</v>
      </c>
      <c r="AG1149">
        <v>6</v>
      </c>
      <c r="AH1149">
        <v>1</v>
      </c>
      <c r="AI1149">
        <v>4</v>
      </c>
    </row>
    <row r="1150" spans="1:35" x14ac:dyDescent="0.25">
      <c r="A1150">
        <v>39</v>
      </c>
      <c r="B1150" t="str">
        <f t="shared" si="34"/>
        <v>35-44</v>
      </c>
      <c r="C1150" s="1" t="s">
        <v>38</v>
      </c>
      <c r="D1150" s="17">
        <f>IF(Table1[[#This Row],[Attrition]]="Yes",1,0)</f>
        <v>0</v>
      </c>
      <c r="E1150" t="s">
        <v>57</v>
      </c>
      <c r="F1150" s="2">
        <v>1387</v>
      </c>
      <c r="G1150" t="s">
        <v>39</v>
      </c>
      <c r="H1150">
        <v>10</v>
      </c>
      <c r="I1150">
        <v>5</v>
      </c>
      <c r="J1150" t="str">
        <f t="shared" si="35"/>
        <v>Doctor</v>
      </c>
      <c r="K1150" t="s">
        <v>45</v>
      </c>
      <c r="L1150">
        <v>2</v>
      </c>
      <c r="M1150" t="s">
        <v>40</v>
      </c>
      <c r="N1150" s="2">
        <v>76</v>
      </c>
      <c r="O1150">
        <v>3</v>
      </c>
      <c r="P1150">
        <v>2</v>
      </c>
      <c r="Q1150" t="s">
        <v>47</v>
      </c>
      <c r="R1150">
        <v>1</v>
      </c>
      <c r="S1150" t="s">
        <v>42</v>
      </c>
      <c r="T1150" s="2">
        <v>5377</v>
      </c>
      <c r="U1150" s="2">
        <v>3835</v>
      </c>
      <c r="V1150">
        <v>2</v>
      </c>
      <c r="W1150" t="s">
        <v>38</v>
      </c>
      <c r="X1150">
        <v>13</v>
      </c>
      <c r="Y1150">
        <v>3</v>
      </c>
      <c r="Z1150">
        <v>4</v>
      </c>
      <c r="AA1150">
        <v>80</v>
      </c>
      <c r="AB1150">
        <v>3</v>
      </c>
      <c r="AC1150">
        <v>10</v>
      </c>
      <c r="AD1150">
        <v>3</v>
      </c>
      <c r="AE1150">
        <v>3</v>
      </c>
      <c r="AF1150">
        <v>7</v>
      </c>
      <c r="AG1150">
        <v>7</v>
      </c>
      <c r="AH1150">
        <v>7</v>
      </c>
      <c r="AI1150">
        <v>7</v>
      </c>
    </row>
    <row r="1151" spans="1:35" x14ac:dyDescent="0.25">
      <c r="A1151">
        <v>27</v>
      </c>
      <c r="B1151" t="str">
        <f t="shared" si="34"/>
        <v>25-34</v>
      </c>
      <c r="C1151" s="1" t="s">
        <v>38</v>
      </c>
      <c r="D1151" s="17">
        <f>IF(Table1[[#This Row],[Attrition]]="Yes",1,0)</f>
        <v>0</v>
      </c>
      <c r="E1151" t="s">
        <v>57</v>
      </c>
      <c r="F1151" s="2">
        <v>1302</v>
      </c>
      <c r="G1151" t="s">
        <v>39</v>
      </c>
      <c r="H1151">
        <v>19</v>
      </c>
      <c r="I1151">
        <v>3</v>
      </c>
      <c r="J1151" t="str">
        <f t="shared" si="35"/>
        <v>Bachelor</v>
      </c>
      <c r="K1151" t="s">
        <v>43</v>
      </c>
      <c r="L1151">
        <v>4</v>
      </c>
      <c r="M1151" t="s">
        <v>40</v>
      </c>
      <c r="N1151" s="2">
        <v>67</v>
      </c>
      <c r="O1151">
        <v>2</v>
      </c>
      <c r="P1151">
        <v>1</v>
      </c>
      <c r="Q1151" t="s">
        <v>44</v>
      </c>
      <c r="R1151">
        <v>1</v>
      </c>
      <c r="S1151" t="s">
        <v>46</v>
      </c>
      <c r="T1151" s="2">
        <v>4066</v>
      </c>
      <c r="U1151" s="2">
        <v>16290</v>
      </c>
      <c r="V1151">
        <v>1</v>
      </c>
      <c r="W1151" t="s">
        <v>38</v>
      </c>
      <c r="X1151">
        <v>11</v>
      </c>
      <c r="Y1151">
        <v>3</v>
      </c>
      <c r="Z1151">
        <v>1</v>
      </c>
      <c r="AA1151">
        <v>80</v>
      </c>
      <c r="AB1151">
        <v>2</v>
      </c>
      <c r="AC1151">
        <v>7</v>
      </c>
      <c r="AD1151">
        <v>3</v>
      </c>
      <c r="AE1151">
        <v>3</v>
      </c>
      <c r="AF1151">
        <v>7</v>
      </c>
      <c r="AG1151">
        <v>7</v>
      </c>
      <c r="AH1151">
        <v>0</v>
      </c>
      <c r="AI1151">
        <v>7</v>
      </c>
    </row>
    <row r="1152" spans="1:35" x14ac:dyDescent="0.25">
      <c r="A1152">
        <v>35</v>
      </c>
      <c r="B1152" t="str">
        <f t="shared" si="34"/>
        <v>35-44</v>
      </c>
      <c r="C1152" s="1" t="s">
        <v>38</v>
      </c>
      <c r="D1152" s="17">
        <f>IF(Table1[[#This Row],[Attrition]]="Yes",1,0)</f>
        <v>0</v>
      </c>
      <c r="E1152" t="s">
        <v>57</v>
      </c>
      <c r="F1152" s="2">
        <v>819</v>
      </c>
      <c r="G1152" t="s">
        <v>39</v>
      </c>
      <c r="H1152">
        <v>18</v>
      </c>
      <c r="I1152">
        <v>5</v>
      </c>
      <c r="J1152" t="str">
        <f t="shared" si="35"/>
        <v>Doctor</v>
      </c>
      <c r="K1152" t="s">
        <v>34</v>
      </c>
      <c r="L1152">
        <v>2</v>
      </c>
      <c r="M1152" t="s">
        <v>40</v>
      </c>
      <c r="N1152" s="2">
        <v>48</v>
      </c>
      <c r="O1152">
        <v>4</v>
      </c>
      <c r="P1152">
        <v>2</v>
      </c>
      <c r="Q1152" t="s">
        <v>41</v>
      </c>
      <c r="R1152">
        <v>1</v>
      </c>
      <c r="S1152" t="s">
        <v>42</v>
      </c>
      <c r="T1152" s="2">
        <v>5208</v>
      </c>
      <c r="U1152" s="2">
        <v>26312</v>
      </c>
      <c r="V1152">
        <v>1</v>
      </c>
      <c r="W1152" t="s">
        <v>38</v>
      </c>
      <c r="X1152">
        <v>11</v>
      </c>
      <c r="Y1152">
        <v>3</v>
      </c>
      <c r="Z1152">
        <v>4</v>
      </c>
      <c r="AA1152">
        <v>80</v>
      </c>
      <c r="AB1152">
        <v>0</v>
      </c>
      <c r="AC1152">
        <v>16</v>
      </c>
      <c r="AD1152">
        <v>2</v>
      </c>
      <c r="AE1152">
        <v>3</v>
      </c>
      <c r="AF1152">
        <v>16</v>
      </c>
      <c r="AG1152">
        <v>15</v>
      </c>
      <c r="AH1152">
        <v>1</v>
      </c>
      <c r="AI1152">
        <v>10</v>
      </c>
    </row>
    <row r="1153" spans="1:35" x14ac:dyDescent="0.25">
      <c r="A1153">
        <v>28</v>
      </c>
      <c r="B1153" t="str">
        <f t="shared" si="34"/>
        <v>25-34</v>
      </c>
      <c r="C1153" s="1" t="s">
        <v>38</v>
      </c>
      <c r="D1153" s="17">
        <f>IF(Table1[[#This Row],[Attrition]]="Yes",1,0)</f>
        <v>0</v>
      </c>
      <c r="E1153" t="s">
        <v>57</v>
      </c>
      <c r="F1153" s="2">
        <v>580</v>
      </c>
      <c r="G1153" t="s">
        <v>39</v>
      </c>
      <c r="H1153">
        <v>27</v>
      </c>
      <c r="I1153">
        <v>3</v>
      </c>
      <c r="J1153" t="str">
        <f t="shared" si="35"/>
        <v>Bachelor</v>
      </c>
      <c r="K1153" t="s">
        <v>45</v>
      </c>
      <c r="L1153">
        <v>2</v>
      </c>
      <c r="M1153" t="s">
        <v>35</v>
      </c>
      <c r="N1153" s="2">
        <v>39</v>
      </c>
      <c r="O1153">
        <v>1</v>
      </c>
      <c r="P1153">
        <v>2</v>
      </c>
      <c r="Q1153" t="s">
        <v>47</v>
      </c>
      <c r="R1153">
        <v>1</v>
      </c>
      <c r="S1153" t="s">
        <v>46</v>
      </c>
      <c r="T1153" s="2">
        <v>4877</v>
      </c>
      <c r="U1153" s="2">
        <v>20460</v>
      </c>
      <c r="V1153">
        <v>0</v>
      </c>
      <c r="W1153" t="s">
        <v>38</v>
      </c>
      <c r="X1153">
        <v>21</v>
      </c>
      <c r="Y1153">
        <v>4</v>
      </c>
      <c r="Z1153">
        <v>2</v>
      </c>
      <c r="AA1153">
        <v>80</v>
      </c>
      <c r="AB1153">
        <v>1</v>
      </c>
      <c r="AC1153">
        <v>6</v>
      </c>
      <c r="AD1153">
        <v>5</v>
      </c>
      <c r="AE1153">
        <v>2</v>
      </c>
      <c r="AF1153">
        <v>5</v>
      </c>
      <c r="AG1153">
        <v>3</v>
      </c>
      <c r="AH1153">
        <v>0</v>
      </c>
      <c r="AI1153">
        <v>0</v>
      </c>
    </row>
    <row r="1154" spans="1:35" x14ac:dyDescent="0.25">
      <c r="A1154">
        <v>21</v>
      </c>
      <c r="B1154" t="str">
        <f t="shared" ref="B1154:B1217" si="36">IF(A1154="","",IF(A1154&lt;25,"18-24",
 IF(A1154&lt;35,"25-34",
 IF(A1154&lt;45,"35-44",
 IF(A1154&lt;55,"45-54",
 IF(A1154&lt;65,"55-64","65+"))))))</f>
        <v>18-24</v>
      </c>
      <c r="C1154" s="1" t="s">
        <v>38</v>
      </c>
      <c r="D1154" s="17">
        <f>IF(Table1[[#This Row],[Attrition]]="Yes",1,0)</f>
        <v>0</v>
      </c>
      <c r="E1154" t="s">
        <v>57</v>
      </c>
      <c r="F1154" s="2">
        <v>546</v>
      </c>
      <c r="G1154" t="s">
        <v>39</v>
      </c>
      <c r="H1154">
        <v>5</v>
      </c>
      <c r="I1154">
        <v>1</v>
      </c>
      <c r="J1154" t="str">
        <f t="shared" ref="J1154:J1217" si="37">CHOOSE(I1154,"Below College","College","Bachelor","Master","Doctor")</f>
        <v>Below College</v>
      </c>
      <c r="K1154" t="s">
        <v>45</v>
      </c>
      <c r="L1154">
        <v>3</v>
      </c>
      <c r="M1154" t="s">
        <v>40</v>
      </c>
      <c r="N1154" s="2">
        <v>97</v>
      </c>
      <c r="O1154">
        <v>3</v>
      </c>
      <c r="P1154">
        <v>1</v>
      </c>
      <c r="Q1154" t="s">
        <v>41</v>
      </c>
      <c r="R1154">
        <v>4</v>
      </c>
      <c r="S1154" t="s">
        <v>37</v>
      </c>
      <c r="T1154" s="2">
        <v>3117</v>
      </c>
      <c r="U1154" s="2">
        <v>26009</v>
      </c>
      <c r="V1154">
        <v>1</v>
      </c>
      <c r="W1154" t="s">
        <v>38</v>
      </c>
      <c r="X1154">
        <v>18</v>
      </c>
      <c r="Y1154">
        <v>3</v>
      </c>
      <c r="Z1154">
        <v>3</v>
      </c>
      <c r="AA1154">
        <v>80</v>
      </c>
      <c r="AB1154">
        <v>0</v>
      </c>
      <c r="AC1154">
        <v>3</v>
      </c>
      <c r="AD1154">
        <v>2</v>
      </c>
      <c r="AE1154">
        <v>3</v>
      </c>
      <c r="AF1154">
        <v>2</v>
      </c>
      <c r="AG1154">
        <v>2</v>
      </c>
      <c r="AH1154">
        <v>2</v>
      </c>
      <c r="AI1154">
        <v>2</v>
      </c>
    </row>
    <row r="1155" spans="1:35" x14ac:dyDescent="0.25">
      <c r="A1155">
        <v>18</v>
      </c>
      <c r="B1155" t="str">
        <f t="shared" si="36"/>
        <v>18-24</v>
      </c>
      <c r="C1155" s="1" t="s">
        <v>32</v>
      </c>
      <c r="D1155" s="17">
        <f>IF(Table1[[#This Row],[Attrition]]="Yes",1,0)</f>
        <v>1</v>
      </c>
      <c r="E1155" t="s">
        <v>58</v>
      </c>
      <c r="F1155" s="2">
        <v>544</v>
      </c>
      <c r="G1155" t="s">
        <v>33</v>
      </c>
      <c r="H1155">
        <v>3</v>
      </c>
      <c r="I1155">
        <v>2</v>
      </c>
      <c r="J1155" t="str">
        <f t="shared" si="37"/>
        <v>College</v>
      </c>
      <c r="K1155" t="s">
        <v>45</v>
      </c>
      <c r="L1155">
        <v>2</v>
      </c>
      <c r="M1155" t="s">
        <v>35</v>
      </c>
      <c r="N1155" s="2">
        <v>70</v>
      </c>
      <c r="O1155">
        <v>3</v>
      </c>
      <c r="P1155">
        <v>1</v>
      </c>
      <c r="Q1155" t="s">
        <v>51</v>
      </c>
      <c r="R1155">
        <v>4</v>
      </c>
      <c r="S1155" t="s">
        <v>37</v>
      </c>
      <c r="T1155" s="2">
        <v>1569</v>
      </c>
      <c r="U1155" s="2">
        <v>18420</v>
      </c>
      <c r="V1155">
        <v>1</v>
      </c>
      <c r="W1155" t="s">
        <v>32</v>
      </c>
      <c r="X1155">
        <v>12</v>
      </c>
      <c r="Y1155">
        <v>3</v>
      </c>
      <c r="Z1155">
        <v>3</v>
      </c>
      <c r="AA1155">
        <v>80</v>
      </c>
      <c r="AB1155">
        <v>0</v>
      </c>
      <c r="AC1155">
        <v>0</v>
      </c>
      <c r="AD1155">
        <v>2</v>
      </c>
      <c r="AE1155">
        <v>4</v>
      </c>
      <c r="AF1155">
        <v>0</v>
      </c>
      <c r="AG1155">
        <v>0</v>
      </c>
      <c r="AH1155">
        <v>0</v>
      </c>
      <c r="AI1155">
        <v>0</v>
      </c>
    </row>
    <row r="1156" spans="1:35" x14ac:dyDescent="0.25">
      <c r="A1156">
        <v>47</v>
      </c>
      <c r="B1156" t="str">
        <f t="shared" si="36"/>
        <v>45-54</v>
      </c>
      <c r="C1156" s="1" t="s">
        <v>38</v>
      </c>
      <c r="D1156" s="17">
        <f>IF(Table1[[#This Row],[Attrition]]="Yes",1,0)</f>
        <v>0</v>
      </c>
      <c r="E1156" t="s">
        <v>57</v>
      </c>
      <c r="F1156" s="2">
        <v>1176</v>
      </c>
      <c r="G1156" t="s">
        <v>55</v>
      </c>
      <c r="H1156">
        <v>26</v>
      </c>
      <c r="I1156">
        <v>4</v>
      </c>
      <c r="J1156" t="str">
        <f t="shared" si="37"/>
        <v>Master</v>
      </c>
      <c r="K1156" t="s">
        <v>34</v>
      </c>
      <c r="L1156">
        <v>4</v>
      </c>
      <c r="M1156" t="s">
        <v>35</v>
      </c>
      <c r="N1156" s="2">
        <v>98</v>
      </c>
      <c r="O1156">
        <v>3</v>
      </c>
      <c r="P1156">
        <v>5</v>
      </c>
      <c r="Q1156" t="s">
        <v>50</v>
      </c>
      <c r="R1156">
        <v>3</v>
      </c>
      <c r="S1156" t="s">
        <v>42</v>
      </c>
      <c r="T1156" s="2">
        <v>19658</v>
      </c>
      <c r="U1156" s="2">
        <v>5220</v>
      </c>
      <c r="V1156">
        <v>3</v>
      </c>
      <c r="W1156" t="s">
        <v>38</v>
      </c>
      <c r="X1156">
        <v>11</v>
      </c>
      <c r="Y1156">
        <v>3</v>
      </c>
      <c r="Z1156">
        <v>3</v>
      </c>
      <c r="AA1156">
        <v>80</v>
      </c>
      <c r="AB1156">
        <v>1</v>
      </c>
      <c r="AC1156">
        <v>27</v>
      </c>
      <c r="AD1156">
        <v>2</v>
      </c>
      <c r="AE1156">
        <v>3</v>
      </c>
      <c r="AF1156">
        <v>5</v>
      </c>
      <c r="AG1156">
        <v>2</v>
      </c>
      <c r="AH1156">
        <v>1</v>
      </c>
      <c r="AI1156">
        <v>0</v>
      </c>
    </row>
    <row r="1157" spans="1:35" x14ac:dyDescent="0.25">
      <c r="A1157">
        <v>39</v>
      </c>
      <c r="B1157" t="str">
        <f t="shared" si="36"/>
        <v>35-44</v>
      </c>
      <c r="C1157" s="1" t="s">
        <v>38</v>
      </c>
      <c r="D1157" s="17">
        <f>IF(Table1[[#This Row],[Attrition]]="Yes",1,0)</f>
        <v>0</v>
      </c>
      <c r="E1157" t="s">
        <v>57</v>
      </c>
      <c r="F1157" s="2">
        <v>170</v>
      </c>
      <c r="G1157" t="s">
        <v>39</v>
      </c>
      <c r="H1157">
        <v>3</v>
      </c>
      <c r="I1157">
        <v>2</v>
      </c>
      <c r="J1157" t="str">
        <f t="shared" si="37"/>
        <v>College</v>
      </c>
      <c r="K1157" t="s">
        <v>45</v>
      </c>
      <c r="L1157">
        <v>3</v>
      </c>
      <c r="M1157" t="s">
        <v>40</v>
      </c>
      <c r="N1157" s="2">
        <v>76</v>
      </c>
      <c r="O1157">
        <v>2</v>
      </c>
      <c r="P1157">
        <v>2</v>
      </c>
      <c r="Q1157" t="s">
        <v>44</v>
      </c>
      <c r="R1157">
        <v>3</v>
      </c>
      <c r="S1157" t="s">
        <v>46</v>
      </c>
      <c r="T1157" s="2">
        <v>3069</v>
      </c>
      <c r="U1157" s="2">
        <v>10302</v>
      </c>
      <c r="V1157">
        <v>0</v>
      </c>
      <c r="W1157" t="s">
        <v>38</v>
      </c>
      <c r="X1157">
        <v>15</v>
      </c>
      <c r="Y1157">
        <v>3</v>
      </c>
      <c r="Z1157">
        <v>4</v>
      </c>
      <c r="AA1157">
        <v>80</v>
      </c>
      <c r="AB1157">
        <v>1</v>
      </c>
      <c r="AC1157">
        <v>11</v>
      </c>
      <c r="AD1157">
        <v>3</v>
      </c>
      <c r="AE1157">
        <v>3</v>
      </c>
      <c r="AF1157">
        <v>10</v>
      </c>
      <c r="AG1157">
        <v>8</v>
      </c>
      <c r="AH1157">
        <v>0</v>
      </c>
      <c r="AI1157">
        <v>7</v>
      </c>
    </row>
    <row r="1158" spans="1:35" x14ac:dyDescent="0.25">
      <c r="A1158">
        <v>40</v>
      </c>
      <c r="B1158" t="str">
        <f t="shared" si="36"/>
        <v>35-44</v>
      </c>
      <c r="C1158" s="1" t="s">
        <v>38</v>
      </c>
      <c r="D1158" s="17">
        <f>IF(Table1[[#This Row],[Attrition]]="Yes",1,0)</f>
        <v>0</v>
      </c>
      <c r="E1158" t="s">
        <v>57</v>
      </c>
      <c r="F1158" s="2">
        <v>884</v>
      </c>
      <c r="G1158" t="s">
        <v>39</v>
      </c>
      <c r="H1158">
        <v>15</v>
      </c>
      <c r="I1158">
        <v>3</v>
      </c>
      <c r="J1158" t="str">
        <f t="shared" si="37"/>
        <v>Bachelor</v>
      </c>
      <c r="K1158" t="s">
        <v>34</v>
      </c>
      <c r="L1158">
        <v>1</v>
      </c>
      <c r="M1158" t="s">
        <v>35</v>
      </c>
      <c r="N1158" s="2">
        <v>80</v>
      </c>
      <c r="O1158">
        <v>2</v>
      </c>
      <c r="P1158">
        <v>3</v>
      </c>
      <c r="Q1158" t="s">
        <v>47</v>
      </c>
      <c r="R1158">
        <v>3</v>
      </c>
      <c r="S1158" t="s">
        <v>42</v>
      </c>
      <c r="T1158" s="2">
        <v>10435</v>
      </c>
      <c r="U1158" s="2">
        <v>25800</v>
      </c>
      <c r="V1158">
        <v>1</v>
      </c>
      <c r="W1158" t="s">
        <v>38</v>
      </c>
      <c r="X1158">
        <v>13</v>
      </c>
      <c r="Y1158">
        <v>3</v>
      </c>
      <c r="Z1158">
        <v>4</v>
      </c>
      <c r="AA1158">
        <v>80</v>
      </c>
      <c r="AB1158">
        <v>2</v>
      </c>
      <c r="AC1158">
        <v>18</v>
      </c>
      <c r="AD1158">
        <v>2</v>
      </c>
      <c r="AE1158">
        <v>3</v>
      </c>
      <c r="AF1158">
        <v>18</v>
      </c>
      <c r="AG1158">
        <v>15</v>
      </c>
      <c r="AH1158">
        <v>14</v>
      </c>
      <c r="AI1158">
        <v>12</v>
      </c>
    </row>
    <row r="1159" spans="1:35" x14ac:dyDescent="0.25">
      <c r="A1159">
        <v>35</v>
      </c>
      <c r="B1159" t="str">
        <f t="shared" si="36"/>
        <v>35-44</v>
      </c>
      <c r="C1159" s="1" t="s">
        <v>38</v>
      </c>
      <c r="D1159" s="17">
        <f>IF(Table1[[#This Row],[Attrition]]="Yes",1,0)</f>
        <v>0</v>
      </c>
      <c r="E1159" t="s">
        <v>49</v>
      </c>
      <c r="F1159" s="2">
        <v>208</v>
      </c>
      <c r="G1159" t="s">
        <v>39</v>
      </c>
      <c r="H1159">
        <v>8</v>
      </c>
      <c r="I1159">
        <v>4</v>
      </c>
      <c r="J1159" t="str">
        <f t="shared" si="37"/>
        <v>Master</v>
      </c>
      <c r="K1159" t="s">
        <v>34</v>
      </c>
      <c r="L1159">
        <v>3</v>
      </c>
      <c r="M1159" t="s">
        <v>35</v>
      </c>
      <c r="N1159" s="2">
        <v>52</v>
      </c>
      <c r="O1159">
        <v>3</v>
      </c>
      <c r="P1159">
        <v>2</v>
      </c>
      <c r="Q1159" t="s">
        <v>48</v>
      </c>
      <c r="R1159">
        <v>3</v>
      </c>
      <c r="S1159" t="s">
        <v>42</v>
      </c>
      <c r="T1159" s="2">
        <v>4148</v>
      </c>
      <c r="U1159" s="2">
        <v>12250</v>
      </c>
      <c r="V1159">
        <v>1</v>
      </c>
      <c r="W1159" t="s">
        <v>38</v>
      </c>
      <c r="X1159">
        <v>12</v>
      </c>
      <c r="Y1159">
        <v>3</v>
      </c>
      <c r="Z1159">
        <v>4</v>
      </c>
      <c r="AA1159">
        <v>80</v>
      </c>
      <c r="AB1159">
        <v>1</v>
      </c>
      <c r="AC1159">
        <v>15</v>
      </c>
      <c r="AD1159">
        <v>5</v>
      </c>
      <c r="AE1159">
        <v>3</v>
      </c>
      <c r="AF1159">
        <v>14</v>
      </c>
      <c r="AG1159">
        <v>11</v>
      </c>
      <c r="AH1159">
        <v>2</v>
      </c>
      <c r="AI1159">
        <v>9</v>
      </c>
    </row>
    <row r="1160" spans="1:35" x14ac:dyDescent="0.25">
      <c r="A1160">
        <v>37</v>
      </c>
      <c r="B1160" t="str">
        <f t="shared" si="36"/>
        <v>35-44</v>
      </c>
      <c r="C1160" s="1" t="s">
        <v>38</v>
      </c>
      <c r="D1160" s="17">
        <f>IF(Table1[[#This Row],[Attrition]]="Yes",1,0)</f>
        <v>0</v>
      </c>
      <c r="E1160" t="s">
        <v>57</v>
      </c>
      <c r="F1160" s="2">
        <v>671</v>
      </c>
      <c r="G1160" t="s">
        <v>39</v>
      </c>
      <c r="H1160">
        <v>19</v>
      </c>
      <c r="I1160">
        <v>3</v>
      </c>
      <c r="J1160" t="str">
        <f t="shared" si="37"/>
        <v>Bachelor</v>
      </c>
      <c r="K1160" t="s">
        <v>34</v>
      </c>
      <c r="L1160">
        <v>3</v>
      </c>
      <c r="M1160" t="s">
        <v>40</v>
      </c>
      <c r="N1160" s="2">
        <v>85</v>
      </c>
      <c r="O1160">
        <v>3</v>
      </c>
      <c r="P1160">
        <v>2</v>
      </c>
      <c r="Q1160" t="s">
        <v>47</v>
      </c>
      <c r="R1160">
        <v>3</v>
      </c>
      <c r="S1160" t="s">
        <v>42</v>
      </c>
      <c r="T1160" s="2">
        <v>5768</v>
      </c>
      <c r="U1160" s="2">
        <v>26493</v>
      </c>
      <c r="V1160">
        <v>3</v>
      </c>
      <c r="W1160" t="s">
        <v>38</v>
      </c>
      <c r="X1160">
        <v>17</v>
      </c>
      <c r="Y1160">
        <v>3</v>
      </c>
      <c r="Z1160">
        <v>1</v>
      </c>
      <c r="AA1160">
        <v>80</v>
      </c>
      <c r="AB1160">
        <v>3</v>
      </c>
      <c r="AC1160">
        <v>9</v>
      </c>
      <c r="AD1160">
        <v>2</v>
      </c>
      <c r="AE1160">
        <v>2</v>
      </c>
      <c r="AF1160">
        <v>4</v>
      </c>
      <c r="AG1160">
        <v>3</v>
      </c>
      <c r="AH1160">
        <v>0</v>
      </c>
      <c r="AI1160">
        <v>2</v>
      </c>
    </row>
    <row r="1161" spans="1:35" x14ac:dyDescent="0.25">
      <c r="A1161">
        <v>39</v>
      </c>
      <c r="B1161" t="str">
        <f t="shared" si="36"/>
        <v>35-44</v>
      </c>
      <c r="C1161" s="1" t="s">
        <v>38</v>
      </c>
      <c r="D1161" s="17">
        <f>IF(Table1[[#This Row],[Attrition]]="Yes",1,0)</f>
        <v>0</v>
      </c>
      <c r="E1161" t="s">
        <v>58</v>
      </c>
      <c r="F1161" s="2">
        <v>711</v>
      </c>
      <c r="G1161" t="s">
        <v>39</v>
      </c>
      <c r="H1161">
        <v>4</v>
      </c>
      <c r="I1161">
        <v>3</v>
      </c>
      <c r="J1161" t="str">
        <f t="shared" si="37"/>
        <v>Bachelor</v>
      </c>
      <c r="K1161" t="s">
        <v>45</v>
      </c>
      <c r="L1161">
        <v>1</v>
      </c>
      <c r="M1161" t="s">
        <v>35</v>
      </c>
      <c r="N1161" s="2">
        <v>81</v>
      </c>
      <c r="O1161">
        <v>3</v>
      </c>
      <c r="P1161">
        <v>2</v>
      </c>
      <c r="Q1161" t="s">
        <v>47</v>
      </c>
      <c r="R1161">
        <v>3</v>
      </c>
      <c r="S1161" t="s">
        <v>37</v>
      </c>
      <c r="T1161" s="2">
        <v>5042</v>
      </c>
      <c r="U1161" s="2">
        <v>3140</v>
      </c>
      <c r="V1161">
        <v>0</v>
      </c>
      <c r="W1161" t="s">
        <v>38</v>
      </c>
      <c r="X1161">
        <v>13</v>
      </c>
      <c r="Y1161">
        <v>3</v>
      </c>
      <c r="Z1161">
        <v>4</v>
      </c>
      <c r="AA1161">
        <v>80</v>
      </c>
      <c r="AB1161">
        <v>0</v>
      </c>
      <c r="AC1161">
        <v>10</v>
      </c>
      <c r="AD1161">
        <v>2</v>
      </c>
      <c r="AE1161">
        <v>1</v>
      </c>
      <c r="AF1161">
        <v>9</v>
      </c>
      <c r="AG1161">
        <v>2</v>
      </c>
      <c r="AH1161">
        <v>3</v>
      </c>
      <c r="AI1161">
        <v>8</v>
      </c>
    </row>
    <row r="1162" spans="1:35" x14ac:dyDescent="0.25">
      <c r="A1162">
        <v>45</v>
      </c>
      <c r="B1162" t="str">
        <f t="shared" si="36"/>
        <v>45-54</v>
      </c>
      <c r="C1162" s="1" t="s">
        <v>38</v>
      </c>
      <c r="D1162" s="17">
        <f>IF(Table1[[#This Row],[Attrition]]="Yes",1,0)</f>
        <v>0</v>
      </c>
      <c r="E1162" t="s">
        <v>57</v>
      </c>
      <c r="F1162" s="2">
        <v>1329</v>
      </c>
      <c r="G1162" t="s">
        <v>39</v>
      </c>
      <c r="H1162">
        <v>2</v>
      </c>
      <c r="I1162">
        <v>2</v>
      </c>
      <c r="J1162" t="str">
        <f t="shared" si="37"/>
        <v>College</v>
      </c>
      <c r="K1162" t="s">
        <v>43</v>
      </c>
      <c r="L1162">
        <v>4</v>
      </c>
      <c r="M1162" t="s">
        <v>35</v>
      </c>
      <c r="N1162" s="2">
        <v>59</v>
      </c>
      <c r="O1162">
        <v>2</v>
      </c>
      <c r="P1162">
        <v>2</v>
      </c>
      <c r="Q1162" t="s">
        <v>47</v>
      </c>
      <c r="R1162">
        <v>4</v>
      </c>
      <c r="S1162" t="s">
        <v>46</v>
      </c>
      <c r="T1162" s="2">
        <v>5770</v>
      </c>
      <c r="U1162" s="2">
        <v>5388</v>
      </c>
      <c r="V1162">
        <v>1</v>
      </c>
      <c r="W1162" t="s">
        <v>38</v>
      </c>
      <c r="X1162">
        <v>19</v>
      </c>
      <c r="Y1162">
        <v>3</v>
      </c>
      <c r="Z1162">
        <v>1</v>
      </c>
      <c r="AA1162">
        <v>80</v>
      </c>
      <c r="AB1162">
        <v>2</v>
      </c>
      <c r="AC1162">
        <v>10</v>
      </c>
      <c r="AD1162">
        <v>3</v>
      </c>
      <c r="AE1162">
        <v>3</v>
      </c>
      <c r="AF1162">
        <v>10</v>
      </c>
      <c r="AG1162">
        <v>7</v>
      </c>
      <c r="AH1162">
        <v>3</v>
      </c>
      <c r="AI1162">
        <v>9</v>
      </c>
    </row>
    <row r="1163" spans="1:35" x14ac:dyDescent="0.25">
      <c r="A1163">
        <v>38</v>
      </c>
      <c r="B1163" t="str">
        <f t="shared" si="36"/>
        <v>35-44</v>
      </c>
      <c r="C1163" s="1" t="s">
        <v>38</v>
      </c>
      <c r="D1163" s="17">
        <f>IF(Table1[[#This Row],[Attrition]]="Yes",1,0)</f>
        <v>0</v>
      </c>
      <c r="E1163" t="s">
        <v>57</v>
      </c>
      <c r="F1163" s="2">
        <v>397</v>
      </c>
      <c r="G1163" t="s">
        <v>39</v>
      </c>
      <c r="H1163">
        <v>2</v>
      </c>
      <c r="I1163">
        <v>2</v>
      </c>
      <c r="J1163" t="str">
        <f t="shared" si="37"/>
        <v>College</v>
      </c>
      <c r="K1163" t="s">
        <v>45</v>
      </c>
      <c r="L1163">
        <v>4</v>
      </c>
      <c r="M1163" t="s">
        <v>35</v>
      </c>
      <c r="N1163" s="2">
        <v>54</v>
      </c>
      <c r="O1163">
        <v>2</v>
      </c>
      <c r="P1163">
        <v>3</v>
      </c>
      <c r="Q1163" t="s">
        <v>47</v>
      </c>
      <c r="R1163">
        <v>3</v>
      </c>
      <c r="S1163" t="s">
        <v>42</v>
      </c>
      <c r="T1163" s="2">
        <v>7756</v>
      </c>
      <c r="U1163" s="2">
        <v>14199</v>
      </c>
      <c r="V1163">
        <v>3</v>
      </c>
      <c r="W1163" t="s">
        <v>32</v>
      </c>
      <c r="X1163">
        <v>19</v>
      </c>
      <c r="Y1163">
        <v>3</v>
      </c>
      <c r="Z1163">
        <v>4</v>
      </c>
      <c r="AA1163">
        <v>80</v>
      </c>
      <c r="AB1163">
        <v>1</v>
      </c>
      <c r="AC1163">
        <v>10</v>
      </c>
      <c r="AD1163">
        <v>6</v>
      </c>
      <c r="AE1163">
        <v>4</v>
      </c>
      <c r="AF1163">
        <v>5</v>
      </c>
      <c r="AG1163">
        <v>4</v>
      </c>
      <c r="AH1163">
        <v>0</v>
      </c>
      <c r="AI1163">
        <v>2</v>
      </c>
    </row>
    <row r="1164" spans="1:35" x14ac:dyDescent="0.25">
      <c r="A1164">
        <v>35</v>
      </c>
      <c r="B1164" t="str">
        <f t="shared" si="36"/>
        <v>35-44</v>
      </c>
      <c r="C1164" s="1" t="s">
        <v>32</v>
      </c>
      <c r="D1164" s="17">
        <f>IF(Table1[[#This Row],[Attrition]]="Yes",1,0)</f>
        <v>1</v>
      </c>
      <c r="E1164" t="s">
        <v>57</v>
      </c>
      <c r="F1164" s="2">
        <v>737</v>
      </c>
      <c r="G1164" t="s">
        <v>33</v>
      </c>
      <c r="H1164">
        <v>10</v>
      </c>
      <c r="I1164">
        <v>3</v>
      </c>
      <c r="J1164" t="str">
        <f t="shared" si="37"/>
        <v>Bachelor</v>
      </c>
      <c r="K1164" t="s">
        <v>45</v>
      </c>
      <c r="L1164">
        <v>4</v>
      </c>
      <c r="M1164" t="s">
        <v>40</v>
      </c>
      <c r="N1164" s="2">
        <v>55</v>
      </c>
      <c r="O1164">
        <v>2</v>
      </c>
      <c r="P1164">
        <v>3</v>
      </c>
      <c r="Q1164" t="s">
        <v>36</v>
      </c>
      <c r="R1164">
        <v>1</v>
      </c>
      <c r="S1164" t="s">
        <v>42</v>
      </c>
      <c r="T1164" s="2">
        <v>10306</v>
      </c>
      <c r="U1164" s="2">
        <v>21530</v>
      </c>
      <c r="V1164">
        <v>9</v>
      </c>
      <c r="W1164" t="s">
        <v>38</v>
      </c>
      <c r="X1164">
        <v>17</v>
      </c>
      <c r="Y1164">
        <v>3</v>
      </c>
      <c r="Z1164">
        <v>3</v>
      </c>
      <c r="AA1164">
        <v>80</v>
      </c>
      <c r="AB1164">
        <v>0</v>
      </c>
      <c r="AC1164">
        <v>15</v>
      </c>
      <c r="AD1164">
        <v>3</v>
      </c>
      <c r="AE1164">
        <v>3</v>
      </c>
      <c r="AF1164">
        <v>13</v>
      </c>
      <c r="AG1164">
        <v>12</v>
      </c>
      <c r="AH1164">
        <v>6</v>
      </c>
      <c r="AI1164">
        <v>0</v>
      </c>
    </row>
    <row r="1165" spans="1:35" x14ac:dyDescent="0.25">
      <c r="A1165">
        <v>37</v>
      </c>
      <c r="B1165" t="str">
        <f t="shared" si="36"/>
        <v>35-44</v>
      </c>
      <c r="C1165" s="1" t="s">
        <v>38</v>
      </c>
      <c r="D1165" s="17">
        <f>IF(Table1[[#This Row],[Attrition]]="Yes",1,0)</f>
        <v>0</v>
      </c>
      <c r="E1165" t="s">
        <v>57</v>
      </c>
      <c r="F1165" s="2">
        <v>1470</v>
      </c>
      <c r="G1165" t="s">
        <v>39</v>
      </c>
      <c r="H1165">
        <v>10</v>
      </c>
      <c r="I1165">
        <v>3</v>
      </c>
      <c r="J1165" t="str">
        <f t="shared" si="37"/>
        <v>Bachelor</v>
      </c>
      <c r="K1165" t="s">
        <v>45</v>
      </c>
      <c r="L1165">
        <v>2</v>
      </c>
      <c r="M1165" t="s">
        <v>35</v>
      </c>
      <c r="N1165" s="2">
        <v>71</v>
      </c>
      <c r="O1165">
        <v>3</v>
      </c>
      <c r="P1165">
        <v>1</v>
      </c>
      <c r="Q1165" t="s">
        <v>41</v>
      </c>
      <c r="R1165">
        <v>2</v>
      </c>
      <c r="S1165" t="s">
        <v>42</v>
      </c>
      <c r="T1165" s="2">
        <v>3936</v>
      </c>
      <c r="U1165" s="2">
        <v>9953</v>
      </c>
      <c r="V1165">
        <v>1</v>
      </c>
      <c r="W1165" t="s">
        <v>38</v>
      </c>
      <c r="X1165">
        <v>11</v>
      </c>
      <c r="Y1165">
        <v>3</v>
      </c>
      <c r="Z1165">
        <v>1</v>
      </c>
      <c r="AA1165">
        <v>80</v>
      </c>
      <c r="AB1165">
        <v>1</v>
      </c>
      <c r="AC1165">
        <v>8</v>
      </c>
      <c r="AD1165">
        <v>2</v>
      </c>
      <c r="AE1165">
        <v>1</v>
      </c>
      <c r="AF1165">
        <v>8</v>
      </c>
      <c r="AG1165">
        <v>4</v>
      </c>
      <c r="AH1165">
        <v>7</v>
      </c>
      <c r="AI1165">
        <v>7</v>
      </c>
    </row>
    <row r="1166" spans="1:35" x14ac:dyDescent="0.25">
      <c r="A1166">
        <v>40</v>
      </c>
      <c r="B1166" t="str">
        <f t="shared" si="36"/>
        <v>35-44</v>
      </c>
      <c r="C1166" s="1" t="s">
        <v>38</v>
      </c>
      <c r="D1166" s="17">
        <f>IF(Table1[[#This Row],[Attrition]]="Yes",1,0)</f>
        <v>0</v>
      </c>
      <c r="E1166" t="s">
        <v>57</v>
      </c>
      <c r="F1166" s="2">
        <v>448</v>
      </c>
      <c r="G1166" t="s">
        <v>39</v>
      </c>
      <c r="H1166">
        <v>16</v>
      </c>
      <c r="I1166">
        <v>3</v>
      </c>
      <c r="J1166" t="str">
        <f t="shared" si="37"/>
        <v>Bachelor</v>
      </c>
      <c r="K1166" t="s">
        <v>34</v>
      </c>
      <c r="L1166">
        <v>3</v>
      </c>
      <c r="M1166" t="s">
        <v>35</v>
      </c>
      <c r="N1166" s="2">
        <v>84</v>
      </c>
      <c r="O1166">
        <v>3</v>
      </c>
      <c r="P1166">
        <v>3</v>
      </c>
      <c r="Q1166" t="s">
        <v>47</v>
      </c>
      <c r="R1166">
        <v>4</v>
      </c>
      <c r="S1166" t="s">
        <v>37</v>
      </c>
      <c r="T1166" s="2">
        <v>7945</v>
      </c>
      <c r="U1166" s="2">
        <v>19948</v>
      </c>
      <c r="V1166">
        <v>6</v>
      </c>
      <c r="W1166" t="s">
        <v>32</v>
      </c>
      <c r="X1166">
        <v>15</v>
      </c>
      <c r="Y1166">
        <v>3</v>
      </c>
      <c r="Z1166">
        <v>4</v>
      </c>
      <c r="AA1166">
        <v>80</v>
      </c>
      <c r="AB1166">
        <v>0</v>
      </c>
      <c r="AC1166">
        <v>18</v>
      </c>
      <c r="AD1166">
        <v>2</v>
      </c>
      <c r="AE1166">
        <v>2</v>
      </c>
      <c r="AF1166">
        <v>4</v>
      </c>
      <c r="AG1166">
        <v>2</v>
      </c>
      <c r="AH1166">
        <v>3</v>
      </c>
      <c r="AI1166">
        <v>3</v>
      </c>
    </row>
    <row r="1167" spans="1:35" x14ac:dyDescent="0.25">
      <c r="A1167">
        <v>44</v>
      </c>
      <c r="B1167" t="str">
        <f t="shared" si="36"/>
        <v>35-44</v>
      </c>
      <c r="C1167" s="1" t="s">
        <v>38</v>
      </c>
      <c r="D1167" s="17">
        <f>IF(Table1[[#This Row],[Attrition]]="Yes",1,0)</f>
        <v>0</v>
      </c>
      <c r="E1167" t="s">
        <v>58</v>
      </c>
      <c r="F1167" s="2">
        <v>602</v>
      </c>
      <c r="G1167" t="s">
        <v>55</v>
      </c>
      <c r="H1167">
        <v>1</v>
      </c>
      <c r="I1167">
        <v>5</v>
      </c>
      <c r="J1167" t="str">
        <f t="shared" si="37"/>
        <v>Doctor</v>
      </c>
      <c r="K1167" t="s">
        <v>55</v>
      </c>
      <c r="L1167">
        <v>1</v>
      </c>
      <c r="M1167" t="s">
        <v>40</v>
      </c>
      <c r="N1167" s="2">
        <v>37</v>
      </c>
      <c r="O1167">
        <v>3</v>
      </c>
      <c r="P1167">
        <v>2</v>
      </c>
      <c r="Q1167" t="s">
        <v>55</v>
      </c>
      <c r="R1167">
        <v>4</v>
      </c>
      <c r="S1167" t="s">
        <v>42</v>
      </c>
      <c r="T1167" s="2">
        <v>5743</v>
      </c>
      <c r="U1167" s="2">
        <v>10503</v>
      </c>
      <c r="V1167">
        <v>4</v>
      </c>
      <c r="W1167" t="s">
        <v>32</v>
      </c>
      <c r="X1167">
        <v>11</v>
      </c>
      <c r="Y1167">
        <v>3</v>
      </c>
      <c r="Z1167">
        <v>3</v>
      </c>
      <c r="AA1167">
        <v>80</v>
      </c>
      <c r="AB1167">
        <v>0</v>
      </c>
      <c r="AC1167">
        <v>14</v>
      </c>
      <c r="AD1167">
        <v>3</v>
      </c>
      <c r="AE1167">
        <v>3</v>
      </c>
      <c r="AF1167">
        <v>10</v>
      </c>
      <c r="AG1167">
        <v>7</v>
      </c>
      <c r="AH1167">
        <v>0</v>
      </c>
      <c r="AI1167">
        <v>2</v>
      </c>
    </row>
    <row r="1168" spans="1:35" x14ac:dyDescent="0.25">
      <c r="A1168">
        <v>48</v>
      </c>
      <c r="B1168" t="str">
        <f t="shared" si="36"/>
        <v>45-54</v>
      </c>
      <c r="C1168" s="1" t="s">
        <v>38</v>
      </c>
      <c r="D1168" s="17">
        <f>IF(Table1[[#This Row],[Attrition]]="Yes",1,0)</f>
        <v>0</v>
      </c>
      <c r="E1168" t="s">
        <v>58</v>
      </c>
      <c r="F1168" s="2">
        <v>365</v>
      </c>
      <c r="G1168" t="s">
        <v>39</v>
      </c>
      <c r="H1168">
        <v>4</v>
      </c>
      <c r="I1168">
        <v>5</v>
      </c>
      <c r="J1168" t="str">
        <f t="shared" si="37"/>
        <v>Doctor</v>
      </c>
      <c r="K1168" t="s">
        <v>45</v>
      </c>
      <c r="L1168">
        <v>3</v>
      </c>
      <c r="M1168" t="s">
        <v>40</v>
      </c>
      <c r="N1168" s="2">
        <v>89</v>
      </c>
      <c r="O1168">
        <v>2</v>
      </c>
      <c r="P1168">
        <v>4</v>
      </c>
      <c r="Q1168" t="s">
        <v>50</v>
      </c>
      <c r="R1168">
        <v>4</v>
      </c>
      <c r="S1168" t="s">
        <v>42</v>
      </c>
      <c r="T1168" s="2">
        <v>15202</v>
      </c>
      <c r="U1168" s="2">
        <v>5602</v>
      </c>
      <c r="V1168">
        <v>2</v>
      </c>
      <c r="W1168" t="s">
        <v>38</v>
      </c>
      <c r="X1168">
        <v>25</v>
      </c>
      <c r="Y1168">
        <v>4</v>
      </c>
      <c r="Z1168">
        <v>2</v>
      </c>
      <c r="AA1168">
        <v>80</v>
      </c>
      <c r="AB1168">
        <v>1</v>
      </c>
      <c r="AC1168">
        <v>23</v>
      </c>
      <c r="AD1168">
        <v>3</v>
      </c>
      <c r="AE1168">
        <v>3</v>
      </c>
      <c r="AF1168">
        <v>2</v>
      </c>
      <c r="AG1168">
        <v>2</v>
      </c>
      <c r="AH1168">
        <v>2</v>
      </c>
      <c r="AI1168">
        <v>2</v>
      </c>
    </row>
    <row r="1169" spans="1:35" x14ac:dyDescent="0.25">
      <c r="A1169">
        <v>35</v>
      </c>
      <c r="B1169" t="str">
        <f t="shared" si="36"/>
        <v>35-44</v>
      </c>
      <c r="C1169" s="1" t="s">
        <v>32</v>
      </c>
      <c r="D1169" s="17">
        <f>IF(Table1[[#This Row],[Attrition]]="Yes",1,0)</f>
        <v>1</v>
      </c>
      <c r="E1169" t="s">
        <v>57</v>
      </c>
      <c r="F1169" s="2">
        <v>763</v>
      </c>
      <c r="G1169" t="s">
        <v>33</v>
      </c>
      <c r="H1169">
        <v>15</v>
      </c>
      <c r="I1169">
        <v>2</v>
      </c>
      <c r="J1169" t="str">
        <f t="shared" si="37"/>
        <v>College</v>
      </c>
      <c r="K1169" t="s">
        <v>45</v>
      </c>
      <c r="L1169">
        <v>1</v>
      </c>
      <c r="M1169" t="s">
        <v>40</v>
      </c>
      <c r="N1169" s="2">
        <v>59</v>
      </c>
      <c r="O1169">
        <v>1</v>
      </c>
      <c r="P1169">
        <v>2</v>
      </c>
      <c r="Q1169" t="s">
        <v>36</v>
      </c>
      <c r="R1169">
        <v>4</v>
      </c>
      <c r="S1169" t="s">
        <v>46</v>
      </c>
      <c r="T1169" s="2">
        <v>5440</v>
      </c>
      <c r="U1169" s="2">
        <v>22098</v>
      </c>
      <c r="V1169">
        <v>6</v>
      </c>
      <c r="W1169" t="s">
        <v>32</v>
      </c>
      <c r="X1169">
        <v>14</v>
      </c>
      <c r="Y1169">
        <v>3</v>
      </c>
      <c r="Z1169">
        <v>4</v>
      </c>
      <c r="AA1169">
        <v>80</v>
      </c>
      <c r="AB1169">
        <v>2</v>
      </c>
      <c r="AC1169">
        <v>7</v>
      </c>
      <c r="AD1169">
        <v>2</v>
      </c>
      <c r="AE1169">
        <v>2</v>
      </c>
      <c r="AF1169">
        <v>2</v>
      </c>
      <c r="AG1169">
        <v>2</v>
      </c>
      <c r="AH1169">
        <v>2</v>
      </c>
      <c r="AI1169">
        <v>2</v>
      </c>
    </row>
    <row r="1170" spans="1:35" x14ac:dyDescent="0.25">
      <c r="A1170">
        <v>24</v>
      </c>
      <c r="B1170" t="str">
        <f t="shared" si="36"/>
        <v>18-24</v>
      </c>
      <c r="C1170" s="1" t="s">
        <v>38</v>
      </c>
      <c r="D1170" s="17">
        <f>IF(Table1[[#This Row],[Attrition]]="Yes",1,0)</f>
        <v>0</v>
      </c>
      <c r="E1170" t="s">
        <v>58</v>
      </c>
      <c r="F1170" s="2">
        <v>567</v>
      </c>
      <c r="G1170" t="s">
        <v>39</v>
      </c>
      <c r="H1170">
        <v>2</v>
      </c>
      <c r="I1170">
        <v>1</v>
      </c>
      <c r="J1170" t="str">
        <f t="shared" si="37"/>
        <v>Below College</v>
      </c>
      <c r="K1170" t="s">
        <v>54</v>
      </c>
      <c r="L1170">
        <v>1</v>
      </c>
      <c r="M1170" t="s">
        <v>35</v>
      </c>
      <c r="N1170" s="2">
        <v>32</v>
      </c>
      <c r="O1170">
        <v>3</v>
      </c>
      <c r="P1170">
        <v>1</v>
      </c>
      <c r="Q1170" t="s">
        <v>41</v>
      </c>
      <c r="R1170">
        <v>4</v>
      </c>
      <c r="S1170" t="s">
        <v>37</v>
      </c>
      <c r="T1170" s="2">
        <v>3760</v>
      </c>
      <c r="U1170" s="2">
        <v>17218</v>
      </c>
      <c r="V1170">
        <v>1</v>
      </c>
      <c r="W1170" t="s">
        <v>32</v>
      </c>
      <c r="X1170">
        <v>13</v>
      </c>
      <c r="Y1170">
        <v>3</v>
      </c>
      <c r="Z1170">
        <v>3</v>
      </c>
      <c r="AA1170">
        <v>80</v>
      </c>
      <c r="AB1170">
        <v>0</v>
      </c>
      <c r="AC1170">
        <v>6</v>
      </c>
      <c r="AD1170">
        <v>2</v>
      </c>
      <c r="AE1170">
        <v>3</v>
      </c>
      <c r="AF1170">
        <v>6</v>
      </c>
      <c r="AG1170">
        <v>3</v>
      </c>
      <c r="AH1170">
        <v>1</v>
      </c>
      <c r="AI1170">
        <v>3</v>
      </c>
    </row>
    <row r="1171" spans="1:35" x14ac:dyDescent="0.25">
      <c r="A1171">
        <v>27</v>
      </c>
      <c r="B1171" t="str">
        <f t="shared" si="36"/>
        <v>25-34</v>
      </c>
      <c r="C1171" s="1" t="s">
        <v>38</v>
      </c>
      <c r="D1171" s="17">
        <f>IF(Table1[[#This Row],[Attrition]]="Yes",1,0)</f>
        <v>0</v>
      </c>
      <c r="E1171" t="s">
        <v>57</v>
      </c>
      <c r="F1171" s="2">
        <v>486</v>
      </c>
      <c r="G1171" t="s">
        <v>39</v>
      </c>
      <c r="H1171">
        <v>8</v>
      </c>
      <c r="I1171">
        <v>3</v>
      </c>
      <c r="J1171" t="str">
        <f t="shared" si="37"/>
        <v>Bachelor</v>
      </c>
      <c r="K1171" t="s">
        <v>45</v>
      </c>
      <c r="L1171">
        <v>2</v>
      </c>
      <c r="M1171" t="s">
        <v>35</v>
      </c>
      <c r="N1171" s="2">
        <v>86</v>
      </c>
      <c r="O1171">
        <v>4</v>
      </c>
      <c r="P1171">
        <v>1</v>
      </c>
      <c r="Q1171" t="s">
        <v>41</v>
      </c>
      <c r="R1171">
        <v>3</v>
      </c>
      <c r="S1171" t="s">
        <v>42</v>
      </c>
      <c r="T1171" s="2">
        <v>3517</v>
      </c>
      <c r="U1171" s="2">
        <v>22490</v>
      </c>
      <c r="V1171">
        <v>7</v>
      </c>
      <c r="W1171" t="s">
        <v>38</v>
      </c>
      <c r="X1171">
        <v>17</v>
      </c>
      <c r="Y1171">
        <v>3</v>
      </c>
      <c r="Z1171">
        <v>1</v>
      </c>
      <c r="AA1171">
        <v>80</v>
      </c>
      <c r="AB1171">
        <v>0</v>
      </c>
      <c r="AC1171">
        <v>5</v>
      </c>
      <c r="AD1171">
        <v>0</v>
      </c>
      <c r="AE1171">
        <v>3</v>
      </c>
      <c r="AF1171">
        <v>3</v>
      </c>
      <c r="AG1171">
        <v>2</v>
      </c>
      <c r="AH1171">
        <v>0</v>
      </c>
      <c r="AI1171">
        <v>2</v>
      </c>
    </row>
    <row r="1172" spans="1:35" x14ac:dyDescent="0.25">
      <c r="A1172">
        <v>27</v>
      </c>
      <c r="B1172" t="str">
        <f t="shared" si="36"/>
        <v>25-34</v>
      </c>
      <c r="C1172" s="1" t="s">
        <v>38</v>
      </c>
      <c r="D1172" s="17">
        <f>IF(Table1[[#This Row],[Attrition]]="Yes",1,0)</f>
        <v>0</v>
      </c>
      <c r="E1172" t="s">
        <v>58</v>
      </c>
      <c r="F1172" s="2">
        <v>591</v>
      </c>
      <c r="G1172" t="s">
        <v>39</v>
      </c>
      <c r="H1172">
        <v>2</v>
      </c>
      <c r="I1172">
        <v>3</v>
      </c>
      <c r="J1172" t="str">
        <f t="shared" si="37"/>
        <v>Bachelor</v>
      </c>
      <c r="K1172" t="s">
        <v>45</v>
      </c>
      <c r="L1172">
        <v>4</v>
      </c>
      <c r="M1172" t="s">
        <v>40</v>
      </c>
      <c r="N1172" s="2">
        <v>87</v>
      </c>
      <c r="O1172">
        <v>3</v>
      </c>
      <c r="P1172">
        <v>1</v>
      </c>
      <c r="Q1172" t="s">
        <v>41</v>
      </c>
      <c r="R1172">
        <v>4</v>
      </c>
      <c r="S1172" t="s">
        <v>37</v>
      </c>
      <c r="T1172" s="2">
        <v>2580</v>
      </c>
      <c r="U1172" s="2">
        <v>6297</v>
      </c>
      <c r="V1172">
        <v>2</v>
      </c>
      <c r="W1172" t="s">
        <v>38</v>
      </c>
      <c r="X1172">
        <v>13</v>
      </c>
      <c r="Y1172">
        <v>3</v>
      </c>
      <c r="Z1172">
        <v>3</v>
      </c>
      <c r="AA1172">
        <v>80</v>
      </c>
      <c r="AB1172">
        <v>0</v>
      </c>
      <c r="AC1172">
        <v>6</v>
      </c>
      <c r="AD1172">
        <v>0</v>
      </c>
      <c r="AE1172">
        <v>2</v>
      </c>
      <c r="AF1172">
        <v>4</v>
      </c>
      <c r="AG1172">
        <v>2</v>
      </c>
      <c r="AH1172">
        <v>1</v>
      </c>
      <c r="AI1172">
        <v>2</v>
      </c>
    </row>
    <row r="1173" spans="1:35" x14ac:dyDescent="0.25">
      <c r="A1173">
        <v>40</v>
      </c>
      <c r="B1173" t="str">
        <f t="shared" si="36"/>
        <v>35-44</v>
      </c>
      <c r="C1173" s="1" t="s">
        <v>32</v>
      </c>
      <c r="D1173" s="17">
        <f>IF(Table1[[#This Row],[Attrition]]="Yes",1,0)</f>
        <v>1</v>
      </c>
      <c r="E1173" t="s">
        <v>57</v>
      </c>
      <c r="F1173" s="2">
        <v>1329</v>
      </c>
      <c r="G1173" t="s">
        <v>39</v>
      </c>
      <c r="H1173">
        <v>7</v>
      </c>
      <c r="I1173">
        <v>3</v>
      </c>
      <c r="J1173" t="str">
        <f t="shared" si="37"/>
        <v>Bachelor</v>
      </c>
      <c r="K1173" t="s">
        <v>34</v>
      </c>
      <c r="L1173">
        <v>1</v>
      </c>
      <c r="M1173" t="s">
        <v>40</v>
      </c>
      <c r="N1173" s="2">
        <v>73</v>
      </c>
      <c r="O1173">
        <v>3</v>
      </c>
      <c r="P1173">
        <v>1</v>
      </c>
      <c r="Q1173" t="s">
        <v>44</v>
      </c>
      <c r="R1173">
        <v>1</v>
      </c>
      <c r="S1173" t="s">
        <v>37</v>
      </c>
      <c r="T1173" s="2">
        <v>2166</v>
      </c>
      <c r="U1173" s="2">
        <v>3339</v>
      </c>
      <c r="V1173">
        <v>3</v>
      </c>
      <c r="W1173" t="s">
        <v>32</v>
      </c>
      <c r="X1173">
        <v>14</v>
      </c>
      <c r="Y1173">
        <v>3</v>
      </c>
      <c r="Z1173">
        <v>2</v>
      </c>
      <c r="AA1173">
        <v>80</v>
      </c>
      <c r="AB1173">
        <v>0</v>
      </c>
      <c r="AC1173">
        <v>10</v>
      </c>
      <c r="AD1173">
        <v>3</v>
      </c>
      <c r="AE1173">
        <v>1</v>
      </c>
      <c r="AF1173">
        <v>4</v>
      </c>
      <c r="AG1173">
        <v>2</v>
      </c>
      <c r="AH1173">
        <v>0</v>
      </c>
      <c r="AI1173">
        <v>3</v>
      </c>
    </row>
    <row r="1174" spans="1:35" x14ac:dyDescent="0.25">
      <c r="A1174">
        <v>29</v>
      </c>
      <c r="B1174" t="str">
        <f t="shared" si="36"/>
        <v>25-34</v>
      </c>
      <c r="C1174" s="1" t="s">
        <v>38</v>
      </c>
      <c r="D1174" s="17">
        <f>IF(Table1[[#This Row],[Attrition]]="Yes",1,0)</f>
        <v>0</v>
      </c>
      <c r="E1174" t="s">
        <v>57</v>
      </c>
      <c r="F1174" s="2">
        <v>469</v>
      </c>
      <c r="G1174" t="s">
        <v>33</v>
      </c>
      <c r="H1174">
        <v>10</v>
      </c>
      <c r="I1174">
        <v>3</v>
      </c>
      <c r="J1174" t="str">
        <f t="shared" si="37"/>
        <v>Bachelor</v>
      </c>
      <c r="K1174" t="s">
        <v>45</v>
      </c>
      <c r="L1174">
        <v>3</v>
      </c>
      <c r="M1174" t="s">
        <v>40</v>
      </c>
      <c r="N1174" s="2">
        <v>42</v>
      </c>
      <c r="O1174">
        <v>2</v>
      </c>
      <c r="P1174">
        <v>2</v>
      </c>
      <c r="Q1174" t="s">
        <v>36</v>
      </c>
      <c r="R1174">
        <v>3</v>
      </c>
      <c r="S1174" t="s">
        <v>37</v>
      </c>
      <c r="T1174" s="2">
        <v>5869</v>
      </c>
      <c r="U1174" s="2">
        <v>23413</v>
      </c>
      <c r="V1174">
        <v>9</v>
      </c>
      <c r="W1174" t="s">
        <v>38</v>
      </c>
      <c r="X1174">
        <v>11</v>
      </c>
      <c r="Y1174">
        <v>3</v>
      </c>
      <c r="Z1174">
        <v>3</v>
      </c>
      <c r="AA1174">
        <v>80</v>
      </c>
      <c r="AB1174">
        <v>0</v>
      </c>
      <c r="AC1174">
        <v>8</v>
      </c>
      <c r="AD1174">
        <v>2</v>
      </c>
      <c r="AE1174">
        <v>3</v>
      </c>
      <c r="AF1174">
        <v>5</v>
      </c>
      <c r="AG1174">
        <v>2</v>
      </c>
      <c r="AH1174">
        <v>1</v>
      </c>
      <c r="AI1174">
        <v>4</v>
      </c>
    </row>
    <row r="1175" spans="1:35" x14ac:dyDescent="0.25">
      <c r="A1175">
        <v>36</v>
      </c>
      <c r="B1175" t="str">
        <f t="shared" si="36"/>
        <v>35-44</v>
      </c>
      <c r="C1175" s="1" t="s">
        <v>38</v>
      </c>
      <c r="D1175" s="17">
        <f>IF(Table1[[#This Row],[Attrition]]="Yes",1,0)</f>
        <v>0</v>
      </c>
      <c r="E1175" t="s">
        <v>57</v>
      </c>
      <c r="F1175" s="2">
        <v>711</v>
      </c>
      <c r="G1175" t="s">
        <v>39</v>
      </c>
      <c r="H1175">
        <v>5</v>
      </c>
      <c r="I1175">
        <v>4</v>
      </c>
      <c r="J1175" t="str">
        <f t="shared" si="37"/>
        <v>Master</v>
      </c>
      <c r="K1175" t="s">
        <v>34</v>
      </c>
      <c r="L1175">
        <v>2</v>
      </c>
      <c r="M1175" t="s">
        <v>35</v>
      </c>
      <c r="N1175" s="2">
        <v>42</v>
      </c>
      <c r="O1175">
        <v>3</v>
      </c>
      <c r="P1175">
        <v>3</v>
      </c>
      <c r="Q1175" t="s">
        <v>48</v>
      </c>
      <c r="R1175">
        <v>1</v>
      </c>
      <c r="S1175" t="s">
        <v>42</v>
      </c>
      <c r="T1175" s="2">
        <v>8008</v>
      </c>
      <c r="U1175" s="2">
        <v>22792</v>
      </c>
      <c r="V1175">
        <v>4</v>
      </c>
      <c r="W1175" t="s">
        <v>38</v>
      </c>
      <c r="X1175">
        <v>12</v>
      </c>
      <c r="Y1175">
        <v>3</v>
      </c>
      <c r="Z1175">
        <v>3</v>
      </c>
      <c r="AA1175">
        <v>80</v>
      </c>
      <c r="AB1175">
        <v>2</v>
      </c>
      <c r="AC1175">
        <v>9</v>
      </c>
      <c r="AD1175">
        <v>6</v>
      </c>
      <c r="AE1175">
        <v>3</v>
      </c>
      <c r="AF1175">
        <v>3</v>
      </c>
      <c r="AG1175">
        <v>2</v>
      </c>
      <c r="AH1175">
        <v>0</v>
      </c>
      <c r="AI1175">
        <v>2</v>
      </c>
    </row>
    <row r="1176" spans="1:35" x14ac:dyDescent="0.25">
      <c r="A1176">
        <v>25</v>
      </c>
      <c r="B1176" t="str">
        <f t="shared" si="36"/>
        <v>25-34</v>
      </c>
      <c r="C1176" s="1" t="s">
        <v>38</v>
      </c>
      <c r="D1176" s="17">
        <f>IF(Table1[[#This Row],[Attrition]]="Yes",1,0)</f>
        <v>0</v>
      </c>
      <c r="E1176" t="s">
        <v>58</v>
      </c>
      <c r="F1176" s="2">
        <v>772</v>
      </c>
      <c r="G1176" t="s">
        <v>39</v>
      </c>
      <c r="H1176">
        <v>2</v>
      </c>
      <c r="I1176">
        <v>1</v>
      </c>
      <c r="J1176" t="str">
        <f t="shared" si="37"/>
        <v>Below College</v>
      </c>
      <c r="K1176" t="s">
        <v>34</v>
      </c>
      <c r="L1176">
        <v>4</v>
      </c>
      <c r="M1176" t="s">
        <v>40</v>
      </c>
      <c r="N1176" s="2">
        <v>77</v>
      </c>
      <c r="O1176">
        <v>4</v>
      </c>
      <c r="P1176">
        <v>2</v>
      </c>
      <c r="Q1176" t="s">
        <v>47</v>
      </c>
      <c r="R1176">
        <v>3</v>
      </c>
      <c r="S1176" t="s">
        <v>46</v>
      </c>
      <c r="T1176" s="2">
        <v>5206</v>
      </c>
      <c r="U1176" s="2">
        <v>4973</v>
      </c>
      <c r="V1176">
        <v>1</v>
      </c>
      <c r="W1176" t="s">
        <v>38</v>
      </c>
      <c r="X1176">
        <v>17</v>
      </c>
      <c r="Y1176">
        <v>3</v>
      </c>
      <c r="Z1176">
        <v>3</v>
      </c>
      <c r="AA1176">
        <v>80</v>
      </c>
      <c r="AB1176">
        <v>2</v>
      </c>
      <c r="AC1176">
        <v>7</v>
      </c>
      <c r="AD1176">
        <v>6</v>
      </c>
      <c r="AE1176">
        <v>3</v>
      </c>
      <c r="AF1176">
        <v>7</v>
      </c>
      <c r="AG1176">
        <v>7</v>
      </c>
      <c r="AH1176">
        <v>0</v>
      </c>
      <c r="AI1176">
        <v>7</v>
      </c>
    </row>
    <row r="1177" spans="1:35" x14ac:dyDescent="0.25">
      <c r="A1177">
        <v>39</v>
      </c>
      <c r="B1177" t="str">
        <f t="shared" si="36"/>
        <v>35-44</v>
      </c>
      <c r="C1177" s="1" t="s">
        <v>38</v>
      </c>
      <c r="D1177" s="17">
        <f>IF(Table1[[#This Row],[Attrition]]="Yes",1,0)</f>
        <v>0</v>
      </c>
      <c r="E1177" t="s">
        <v>57</v>
      </c>
      <c r="F1177" s="2">
        <v>492</v>
      </c>
      <c r="G1177" t="s">
        <v>39</v>
      </c>
      <c r="H1177">
        <v>12</v>
      </c>
      <c r="I1177">
        <v>3</v>
      </c>
      <c r="J1177" t="str">
        <f t="shared" si="37"/>
        <v>Bachelor</v>
      </c>
      <c r="K1177" t="s">
        <v>45</v>
      </c>
      <c r="L1177">
        <v>4</v>
      </c>
      <c r="M1177" t="s">
        <v>40</v>
      </c>
      <c r="N1177" s="2">
        <v>66</v>
      </c>
      <c r="O1177">
        <v>3</v>
      </c>
      <c r="P1177">
        <v>2</v>
      </c>
      <c r="Q1177" t="s">
        <v>47</v>
      </c>
      <c r="R1177">
        <v>2</v>
      </c>
      <c r="S1177" t="s">
        <v>42</v>
      </c>
      <c r="T1177" s="2">
        <v>5295</v>
      </c>
      <c r="U1177" s="2">
        <v>7693</v>
      </c>
      <c r="V1177">
        <v>4</v>
      </c>
      <c r="W1177" t="s">
        <v>38</v>
      </c>
      <c r="X1177">
        <v>21</v>
      </c>
      <c r="Y1177">
        <v>4</v>
      </c>
      <c r="Z1177">
        <v>3</v>
      </c>
      <c r="AA1177">
        <v>80</v>
      </c>
      <c r="AB1177">
        <v>0</v>
      </c>
      <c r="AC1177">
        <v>7</v>
      </c>
      <c r="AD1177">
        <v>3</v>
      </c>
      <c r="AE1177">
        <v>3</v>
      </c>
      <c r="AF1177">
        <v>5</v>
      </c>
      <c r="AG1177">
        <v>4</v>
      </c>
      <c r="AH1177">
        <v>1</v>
      </c>
      <c r="AI1177">
        <v>0</v>
      </c>
    </row>
    <row r="1178" spans="1:35" x14ac:dyDescent="0.25">
      <c r="A1178">
        <v>49</v>
      </c>
      <c r="B1178" t="str">
        <f t="shared" si="36"/>
        <v>45-54</v>
      </c>
      <c r="C1178" s="1" t="s">
        <v>38</v>
      </c>
      <c r="D1178" s="17">
        <f>IF(Table1[[#This Row],[Attrition]]="Yes",1,0)</f>
        <v>0</v>
      </c>
      <c r="E1178" t="s">
        <v>57</v>
      </c>
      <c r="F1178" s="2">
        <v>301</v>
      </c>
      <c r="G1178" t="s">
        <v>39</v>
      </c>
      <c r="H1178">
        <v>22</v>
      </c>
      <c r="I1178">
        <v>4</v>
      </c>
      <c r="J1178" t="str">
        <f t="shared" si="37"/>
        <v>Master</v>
      </c>
      <c r="K1178" t="s">
        <v>43</v>
      </c>
      <c r="L1178">
        <v>1</v>
      </c>
      <c r="M1178" t="s">
        <v>35</v>
      </c>
      <c r="N1178" s="2">
        <v>72</v>
      </c>
      <c r="O1178">
        <v>3</v>
      </c>
      <c r="P1178">
        <v>4</v>
      </c>
      <c r="Q1178" t="s">
        <v>52</v>
      </c>
      <c r="R1178">
        <v>2</v>
      </c>
      <c r="S1178" t="s">
        <v>42</v>
      </c>
      <c r="T1178" s="2">
        <v>16413</v>
      </c>
      <c r="U1178" s="2">
        <v>3498</v>
      </c>
      <c r="V1178">
        <v>3</v>
      </c>
      <c r="W1178" t="s">
        <v>38</v>
      </c>
      <c r="X1178">
        <v>16</v>
      </c>
      <c r="Y1178">
        <v>3</v>
      </c>
      <c r="Z1178">
        <v>2</v>
      </c>
      <c r="AA1178">
        <v>80</v>
      </c>
      <c r="AB1178">
        <v>2</v>
      </c>
      <c r="AC1178">
        <v>27</v>
      </c>
      <c r="AD1178">
        <v>2</v>
      </c>
      <c r="AE1178">
        <v>3</v>
      </c>
      <c r="AF1178">
        <v>4</v>
      </c>
      <c r="AG1178">
        <v>2</v>
      </c>
      <c r="AH1178">
        <v>1</v>
      </c>
      <c r="AI1178">
        <v>2</v>
      </c>
    </row>
    <row r="1179" spans="1:35" x14ac:dyDescent="0.25">
      <c r="A1179">
        <v>50</v>
      </c>
      <c r="B1179" t="str">
        <f t="shared" si="36"/>
        <v>45-54</v>
      </c>
      <c r="C1179" s="1" t="s">
        <v>38</v>
      </c>
      <c r="D1179" s="17">
        <f>IF(Table1[[#This Row],[Attrition]]="Yes",1,0)</f>
        <v>0</v>
      </c>
      <c r="E1179" t="s">
        <v>57</v>
      </c>
      <c r="F1179" s="2">
        <v>813</v>
      </c>
      <c r="G1179" t="s">
        <v>39</v>
      </c>
      <c r="H1179">
        <v>17</v>
      </c>
      <c r="I1179">
        <v>5</v>
      </c>
      <c r="J1179" t="str">
        <f t="shared" si="37"/>
        <v>Doctor</v>
      </c>
      <c r="K1179" t="s">
        <v>34</v>
      </c>
      <c r="L1179">
        <v>4</v>
      </c>
      <c r="M1179" t="s">
        <v>35</v>
      </c>
      <c r="N1179" s="2">
        <v>50</v>
      </c>
      <c r="O1179">
        <v>2</v>
      </c>
      <c r="P1179">
        <v>3</v>
      </c>
      <c r="Q1179" t="s">
        <v>52</v>
      </c>
      <c r="R1179">
        <v>1</v>
      </c>
      <c r="S1179" t="s">
        <v>46</v>
      </c>
      <c r="T1179" s="2">
        <v>13269</v>
      </c>
      <c r="U1179" s="2">
        <v>21981</v>
      </c>
      <c r="V1179">
        <v>5</v>
      </c>
      <c r="W1179" t="s">
        <v>38</v>
      </c>
      <c r="X1179">
        <v>15</v>
      </c>
      <c r="Y1179">
        <v>3</v>
      </c>
      <c r="Z1179">
        <v>3</v>
      </c>
      <c r="AA1179">
        <v>80</v>
      </c>
      <c r="AB1179">
        <v>3</v>
      </c>
      <c r="AC1179">
        <v>19</v>
      </c>
      <c r="AD1179">
        <v>3</v>
      </c>
      <c r="AE1179">
        <v>3</v>
      </c>
      <c r="AF1179">
        <v>14</v>
      </c>
      <c r="AG1179">
        <v>11</v>
      </c>
      <c r="AH1179">
        <v>1</v>
      </c>
      <c r="AI1179">
        <v>11</v>
      </c>
    </row>
    <row r="1180" spans="1:35" x14ac:dyDescent="0.25">
      <c r="A1180">
        <v>20</v>
      </c>
      <c r="B1180" t="str">
        <f t="shared" si="36"/>
        <v>18-24</v>
      </c>
      <c r="C1180" s="1" t="s">
        <v>38</v>
      </c>
      <c r="D1180" s="17">
        <f>IF(Table1[[#This Row],[Attrition]]="Yes",1,0)</f>
        <v>0</v>
      </c>
      <c r="E1180" t="s">
        <v>57</v>
      </c>
      <c r="F1180" s="2">
        <v>1141</v>
      </c>
      <c r="G1180" t="s">
        <v>33</v>
      </c>
      <c r="H1180">
        <v>2</v>
      </c>
      <c r="I1180">
        <v>3</v>
      </c>
      <c r="J1180" t="str">
        <f t="shared" si="37"/>
        <v>Bachelor</v>
      </c>
      <c r="K1180" t="s">
        <v>45</v>
      </c>
      <c r="L1180">
        <v>3</v>
      </c>
      <c r="M1180" t="s">
        <v>35</v>
      </c>
      <c r="N1180" s="2">
        <v>31</v>
      </c>
      <c r="O1180">
        <v>3</v>
      </c>
      <c r="P1180">
        <v>1</v>
      </c>
      <c r="Q1180" t="s">
        <v>51</v>
      </c>
      <c r="R1180">
        <v>3</v>
      </c>
      <c r="S1180" t="s">
        <v>37</v>
      </c>
      <c r="T1180" s="2">
        <v>2783</v>
      </c>
      <c r="U1180" s="2">
        <v>13251</v>
      </c>
      <c r="V1180">
        <v>1</v>
      </c>
      <c r="W1180" t="s">
        <v>38</v>
      </c>
      <c r="X1180">
        <v>19</v>
      </c>
      <c r="Y1180">
        <v>3</v>
      </c>
      <c r="Z1180">
        <v>1</v>
      </c>
      <c r="AA1180">
        <v>80</v>
      </c>
      <c r="AB1180">
        <v>0</v>
      </c>
      <c r="AC1180">
        <v>2</v>
      </c>
      <c r="AD1180">
        <v>3</v>
      </c>
      <c r="AE1180">
        <v>3</v>
      </c>
      <c r="AF1180">
        <v>2</v>
      </c>
      <c r="AG1180">
        <v>2</v>
      </c>
      <c r="AH1180">
        <v>2</v>
      </c>
      <c r="AI1180">
        <v>2</v>
      </c>
    </row>
    <row r="1181" spans="1:35" x14ac:dyDescent="0.25">
      <c r="A1181">
        <v>34</v>
      </c>
      <c r="B1181" t="str">
        <f t="shared" si="36"/>
        <v>25-34</v>
      </c>
      <c r="C1181" s="1" t="s">
        <v>38</v>
      </c>
      <c r="D1181" s="17">
        <f>IF(Table1[[#This Row],[Attrition]]="Yes",1,0)</f>
        <v>0</v>
      </c>
      <c r="E1181" t="s">
        <v>57</v>
      </c>
      <c r="F1181" s="2">
        <v>1130</v>
      </c>
      <c r="G1181" t="s">
        <v>39</v>
      </c>
      <c r="H1181">
        <v>3</v>
      </c>
      <c r="I1181">
        <v>3</v>
      </c>
      <c r="J1181" t="str">
        <f t="shared" si="37"/>
        <v>Bachelor</v>
      </c>
      <c r="K1181" t="s">
        <v>34</v>
      </c>
      <c r="L1181">
        <v>4</v>
      </c>
      <c r="M1181" t="s">
        <v>35</v>
      </c>
      <c r="N1181" s="2">
        <v>66</v>
      </c>
      <c r="O1181">
        <v>3</v>
      </c>
      <c r="P1181">
        <v>2</v>
      </c>
      <c r="Q1181" t="s">
        <v>41</v>
      </c>
      <c r="R1181">
        <v>2</v>
      </c>
      <c r="S1181" t="s">
        <v>46</v>
      </c>
      <c r="T1181" s="2">
        <v>5433</v>
      </c>
      <c r="U1181" s="2">
        <v>19332</v>
      </c>
      <c r="V1181">
        <v>1</v>
      </c>
      <c r="W1181" t="s">
        <v>38</v>
      </c>
      <c r="X1181">
        <v>12</v>
      </c>
      <c r="Y1181">
        <v>3</v>
      </c>
      <c r="Z1181">
        <v>3</v>
      </c>
      <c r="AA1181">
        <v>80</v>
      </c>
      <c r="AB1181">
        <v>1</v>
      </c>
      <c r="AC1181">
        <v>11</v>
      </c>
      <c r="AD1181">
        <v>2</v>
      </c>
      <c r="AE1181">
        <v>3</v>
      </c>
      <c r="AF1181">
        <v>11</v>
      </c>
      <c r="AG1181">
        <v>8</v>
      </c>
      <c r="AH1181">
        <v>7</v>
      </c>
      <c r="AI1181">
        <v>9</v>
      </c>
    </row>
    <row r="1182" spans="1:35" x14ac:dyDescent="0.25">
      <c r="A1182">
        <v>36</v>
      </c>
      <c r="B1182" t="str">
        <f t="shared" si="36"/>
        <v>35-44</v>
      </c>
      <c r="C1182" s="1" t="s">
        <v>38</v>
      </c>
      <c r="D1182" s="17">
        <f>IF(Table1[[#This Row],[Attrition]]="Yes",1,0)</f>
        <v>0</v>
      </c>
      <c r="E1182" t="s">
        <v>57</v>
      </c>
      <c r="F1182" s="2">
        <v>311</v>
      </c>
      <c r="G1182" t="s">
        <v>39</v>
      </c>
      <c r="H1182">
        <v>7</v>
      </c>
      <c r="I1182">
        <v>3</v>
      </c>
      <c r="J1182" t="str">
        <f t="shared" si="37"/>
        <v>Bachelor</v>
      </c>
      <c r="K1182" t="s">
        <v>34</v>
      </c>
      <c r="L1182">
        <v>1</v>
      </c>
      <c r="M1182" t="s">
        <v>40</v>
      </c>
      <c r="N1182" s="2">
        <v>77</v>
      </c>
      <c r="O1182">
        <v>3</v>
      </c>
      <c r="P1182">
        <v>1</v>
      </c>
      <c r="Q1182" t="s">
        <v>44</v>
      </c>
      <c r="R1182">
        <v>2</v>
      </c>
      <c r="S1182" t="s">
        <v>37</v>
      </c>
      <c r="T1182" s="2">
        <v>2013</v>
      </c>
      <c r="U1182" s="2">
        <v>10950</v>
      </c>
      <c r="V1182">
        <v>2</v>
      </c>
      <c r="W1182" t="s">
        <v>38</v>
      </c>
      <c r="X1182">
        <v>11</v>
      </c>
      <c r="Y1182">
        <v>3</v>
      </c>
      <c r="Z1182">
        <v>3</v>
      </c>
      <c r="AA1182">
        <v>80</v>
      </c>
      <c r="AB1182">
        <v>0</v>
      </c>
      <c r="AC1182">
        <v>15</v>
      </c>
      <c r="AD1182">
        <v>4</v>
      </c>
      <c r="AE1182">
        <v>3</v>
      </c>
      <c r="AF1182">
        <v>4</v>
      </c>
      <c r="AG1182">
        <v>3</v>
      </c>
      <c r="AH1182">
        <v>1</v>
      </c>
      <c r="AI1182">
        <v>3</v>
      </c>
    </row>
    <row r="1183" spans="1:35" x14ac:dyDescent="0.25">
      <c r="A1183">
        <v>49</v>
      </c>
      <c r="B1183" t="str">
        <f t="shared" si="36"/>
        <v>45-54</v>
      </c>
      <c r="C1183" s="1" t="s">
        <v>38</v>
      </c>
      <c r="D1183" s="17">
        <f>IF(Table1[[#This Row],[Attrition]]="Yes",1,0)</f>
        <v>0</v>
      </c>
      <c r="E1183" t="s">
        <v>57</v>
      </c>
      <c r="F1183" s="2">
        <v>465</v>
      </c>
      <c r="G1183" t="s">
        <v>39</v>
      </c>
      <c r="H1183">
        <v>6</v>
      </c>
      <c r="I1183">
        <v>1</v>
      </c>
      <c r="J1183" t="str">
        <f t="shared" si="37"/>
        <v>Below College</v>
      </c>
      <c r="K1183" t="s">
        <v>34</v>
      </c>
      <c r="L1183">
        <v>3</v>
      </c>
      <c r="M1183" t="s">
        <v>35</v>
      </c>
      <c r="N1183" s="2">
        <v>41</v>
      </c>
      <c r="O1183">
        <v>2</v>
      </c>
      <c r="P1183">
        <v>4</v>
      </c>
      <c r="Q1183" t="s">
        <v>48</v>
      </c>
      <c r="R1183">
        <v>3</v>
      </c>
      <c r="S1183" t="s">
        <v>42</v>
      </c>
      <c r="T1183" s="2">
        <v>13966</v>
      </c>
      <c r="U1183" s="2">
        <v>11652</v>
      </c>
      <c r="V1183">
        <v>2</v>
      </c>
      <c r="W1183" t="s">
        <v>32</v>
      </c>
      <c r="X1183">
        <v>19</v>
      </c>
      <c r="Y1183">
        <v>3</v>
      </c>
      <c r="Z1183">
        <v>2</v>
      </c>
      <c r="AA1183">
        <v>80</v>
      </c>
      <c r="AB1183">
        <v>1</v>
      </c>
      <c r="AC1183">
        <v>30</v>
      </c>
      <c r="AD1183">
        <v>3</v>
      </c>
      <c r="AE1183">
        <v>3</v>
      </c>
      <c r="AF1183">
        <v>15</v>
      </c>
      <c r="AG1183">
        <v>11</v>
      </c>
      <c r="AH1183">
        <v>2</v>
      </c>
      <c r="AI1183">
        <v>12</v>
      </c>
    </row>
    <row r="1184" spans="1:35" x14ac:dyDescent="0.25">
      <c r="A1184">
        <v>36</v>
      </c>
      <c r="B1184" t="str">
        <f t="shared" si="36"/>
        <v>35-44</v>
      </c>
      <c r="C1184" s="1" t="s">
        <v>38</v>
      </c>
      <c r="D1184" s="17">
        <f>IF(Table1[[#This Row],[Attrition]]="Yes",1,0)</f>
        <v>0</v>
      </c>
      <c r="E1184" t="s">
        <v>49</v>
      </c>
      <c r="F1184" s="2">
        <v>894</v>
      </c>
      <c r="G1184" t="s">
        <v>39</v>
      </c>
      <c r="H1184">
        <v>1</v>
      </c>
      <c r="I1184">
        <v>4</v>
      </c>
      <c r="J1184" t="str">
        <f t="shared" si="37"/>
        <v>Master</v>
      </c>
      <c r="K1184" t="s">
        <v>45</v>
      </c>
      <c r="L1184">
        <v>4</v>
      </c>
      <c r="M1184" t="s">
        <v>35</v>
      </c>
      <c r="N1184" s="2">
        <v>33</v>
      </c>
      <c r="O1184">
        <v>2</v>
      </c>
      <c r="P1184">
        <v>2</v>
      </c>
      <c r="Q1184" t="s">
        <v>47</v>
      </c>
      <c r="R1184">
        <v>3</v>
      </c>
      <c r="S1184" t="s">
        <v>42</v>
      </c>
      <c r="T1184" s="2">
        <v>4374</v>
      </c>
      <c r="U1184" s="2">
        <v>15411</v>
      </c>
      <c r="V1184">
        <v>0</v>
      </c>
      <c r="W1184" t="s">
        <v>38</v>
      </c>
      <c r="X1184">
        <v>15</v>
      </c>
      <c r="Y1184">
        <v>3</v>
      </c>
      <c r="Z1184">
        <v>3</v>
      </c>
      <c r="AA1184">
        <v>80</v>
      </c>
      <c r="AB1184">
        <v>0</v>
      </c>
      <c r="AC1184">
        <v>4</v>
      </c>
      <c r="AD1184">
        <v>6</v>
      </c>
      <c r="AE1184">
        <v>3</v>
      </c>
      <c r="AF1184">
        <v>3</v>
      </c>
      <c r="AG1184">
        <v>2</v>
      </c>
      <c r="AH1184">
        <v>1</v>
      </c>
      <c r="AI1184">
        <v>2</v>
      </c>
    </row>
    <row r="1185" spans="1:35" x14ac:dyDescent="0.25">
      <c r="A1185">
        <v>36</v>
      </c>
      <c r="B1185" t="str">
        <f t="shared" si="36"/>
        <v>35-44</v>
      </c>
      <c r="C1185" s="1" t="s">
        <v>38</v>
      </c>
      <c r="D1185" s="17">
        <f>IF(Table1[[#This Row],[Attrition]]="Yes",1,0)</f>
        <v>0</v>
      </c>
      <c r="E1185" t="s">
        <v>57</v>
      </c>
      <c r="F1185" s="2">
        <v>1040</v>
      </c>
      <c r="G1185" t="s">
        <v>39</v>
      </c>
      <c r="H1185">
        <v>3</v>
      </c>
      <c r="I1185">
        <v>2</v>
      </c>
      <c r="J1185" t="str">
        <f t="shared" si="37"/>
        <v>College</v>
      </c>
      <c r="K1185" t="s">
        <v>34</v>
      </c>
      <c r="L1185">
        <v>4</v>
      </c>
      <c r="M1185" t="s">
        <v>40</v>
      </c>
      <c r="N1185" s="2">
        <v>79</v>
      </c>
      <c r="O1185">
        <v>4</v>
      </c>
      <c r="P1185">
        <v>2</v>
      </c>
      <c r="Q1185" t="s">
        <v>48</v>
      </c>
      <c r="R1185">
        <v>1</v>
      </c>
      <c r="S1185" t="s">
        <v>46</v>
      </c>
      <c r="T1185" s="2">
        <v>6842</v>
      </c>
      <c r="U1185" s="2">
        <v>26308</v>
      </c>
      <c r="V1185">
        <v>6</v>
      </c>
      <c r="W1185" t="s">
        <v>38</v>
      </c>
      <c r="X1185">
        <v>20</v>
      </c>
      <c r="Y1185">
        <v>4</v>
      </c>
      <c r="Z1185">
        <v>1</v>
      </c>
      <c r="AA1185">
        <v>80</v>
      </c>
      <c r="AB1185">
        <v>1</v>
      </c>
      <c r="AC1185">
        <v>13</v>
      </c>
      <c r="AD1185">
        <v>3</v>
      </c>
      <c r="AE1185">
        <v>3</v>
      </c>
      <c r="AF1185">
        <v>5</v>
      </c>
      <c r="AG1185">
        <v>4</v>
      </c>
      <c r="AH1185">
        <v>0</v>
      </c>
      <c r="AI1185">
        <v>4</v>
      </c>
    </row>
    <row r="1186" spans="1:35" x14ac:dyDescent="0.25">
      <c r="A1186">
        <v>54</v>
      </c>
      <c r="B1186" t="str">
        <f t="shared" si="36"/>
        <v>45-54</v>
      </c>
      <c r="C1186" s="1" t="s">
        <v>38</v>
      </c>
      <c r="D1186" s="17">
        <f>IF(Table1[[#This Row],[Attrition]]="Yes",1,0)</f>
        <v>0</v>
      </c>
      <c r="E1186" t="s">
        <v>57</v>
      </c>
      <c r="F1186" s="2">
        <v>584</v>
      </c>
      <c r="G1186" t="s">
        <v>39</v>
      </c>
      <c r="H1186">
        <v>22</v>
      </c>
      <c r="I1186">
        <v>5</v>
      </c>
      <c r="J1186" t="str">
        <f t="shared" si="37"/>
        <v>Doctor</v>
      </c>
      <c r="K1186" t="s">
        <v>45</v>
      </c>
      <c r="L1186">
        <v>2</v>
      </c>
      <c r="M1186" t="s">
        <v>35</v>
      </c>
      <c r="N1186" s="2">
        <v>91</v>
      </c>
      <c r="O1186">
        <v>3</v>
      </c>
      <c r="P1186">
        <v>4</v>
      </c>
      <c r="Q1186" t="s">
        <v>50</v>
      </c>
      <c r="R1186">
        <v>3</v>
      </c>
      <c r="S1186" t="s">
        <v>42</v>
      </c>
      <c r="T1186" s="2">
        <v>17426</v>
      </c>
      <c r="U1186" s="2">
        <v>18685</v>
      </c>
      <c r="V1186">
        <v>3</v>
      </c>
      <c r="W1186" t="s">
        <v>38</v>
      </c>
      <c r="X1186">
        <v>25</v>
      </c>
      <c r="Y1186">
        <v>4</v>
      </c>
      <c r="Z1186">
        <v>3</v>
      </c>
      <c r="AA1186">
        <v>80</v>
      </c>
      <c r="AB1186">
        <v>1</v>
      </c>
      <c r="AC1186">
        <v>36</v>
      </c>
      <c r="AD1186">
        <v>6</v>
      </c>
      <c r="AE1186">
        <v>3</v>
      </c>
      <c r="AF1186">
        <v>10</v>
      </c>
      <c r="AG1186">
        <v>8</v>
      </c>
      <c r="AH1186">
        <v>4</v>
      </c>
      <c r="AI1186">
        <v>7</v>
      </c>
    </row>
    <row r="1187" spans="1:35" x14ac:dyDescent="0.25">
      <c r="A1187">
        <v>43</v>
      </c>
      <c r="B1187" t="str">
        <f t="shared" si="36"/>
        <v>35-44</v>
      </c>
      <c r="C1187" s="1" t="s">
        <v>38</v>
      </c>
      <c r="D1187" s="17">
        <f>IF(Table1[[#This Row],[Attrition]]="Yes",1,0)</f>
        <v>0</v>
      </c>
      <c r="E1187" t="s">
        <v>57</v>
      </c>
      <c r="F1187" s="2">
        <v>1291</v>
      </c>
      <c r="G1187" t="s">
        <v>39</v>
      </c>
      <c r="H1187">
        <v>15</v>
      </c>
      <c r="I1187">
        <v>2</v>
      </c>
      <c r="J1187" t="str">
        <f t="shared" si="37"/>
        <v>College</v>
      </c>
      <c r="K1187" t="s">
        <v>34</v>
      </c>
      <c r="L1187">
        <v>3</v>
      </c>
      <c r="M1187" t="s">
        <v>40</v>
      </c>
      <c r="N1187" s="2">
        <v>65</v>
      </c>
      <c r="O1187">
        <v>2</v>
      </c>
      <c r="P1187">
        <v>4</v>
      </c>
      <c r="Q1187" t="s">
        <v>52</v>
      </c>
      <c r="R1187">
        <v>3</v>
      </c>
      <c r="S1187" t="s">
        <v>42</v>
      </c>
      <c r="T1187" s="2">
        <v>17603</v>
      </c>
      <c r="U1187" s="2">
        <v>3525</v>
      </c>
      <c r="V1187">
        <v>1</v>
      </c>
      <c r="W1187" t="s">
        <v>38</v>
      </c>
      <c r="X1187">
        <v>24</v>
      </c>
      <c r="Y1187">
        <v>4</v>
      </c>
      <c r="Z1187">
        <v>1</v>
      </c>
      <c r="AA1187">
        <v>80</v>
      </c>
      <c r="AB1187">
        <v>1</v>
      </c>
      <c r="AC1187">
        <v>14</v>
      </c>
      <c r="AD1187">
        <v>3</v>
      </c>
      <c r="AE1187">
        <v>3</v>
      </c>
      <c r="AF1187">
        <v>14</v>
      </c>
      <c r="AG1187">
        <v>10</v>
      </c>
      <c r="AH1187">
        <v>6</v>
      </c>
      <c r="AI1187">
        <v>11</v>
      </c>
    </row>
    <row r="1188" spans="1:35" x14ac:dyDescent="0.25">
      <c r="A1188">
        <v>35</v>
      </c>
      <c r="B1188" t="str">
        <f t="shared" si="36"/>
        <v>35-44</v>
      </c>
      <c r="C1188" s="1" t="s">
        <v>32</v>
      </c>
      <c r="D1188" s="17">
        <f>IF(Table1[[#This Row],[Attrition]]="Yes",1,0)</f>
        <v>1</v>
      </c>
      <c r="E1188" t="s">
        <v>58</v>
      </c>
      <c r="F1188" s="2">
        <v>880</v>
      </c>
      <c r="G1188" t="s">
        <v>33</v>
      </c>
      <c r="H1188">
        <v>12</v>
      </c>
      <c r="I1188">
        <v>4</v>
      </c>
      <c r="J1188" t="str">
        <f t="shared" si="37"/>
        <v>Master</v>
      </c>
      <c r="K1188" t="s">
        <v>43</v>
      </c>
      <c r="L1188">
        <v>4</v>
      </c>
      <c r="M1188" t="s">
        <v>40</v>
      </c>
      <c r="N1188" s="2">
        <v>36</v>
      </c>
      <c r="O1188">
        <v>3</v>
      </c>
      <c r="P1188">
        <v>2</v>
      </c>
      <c r="Q1188" t="s">
        <v>36</v>
      </c>
      <c r="R1188">
        <v>4</v>
      </c>
      <c r="S1188" t="s">
        <v>37</v>
      </c>
      <c r="T1188" s="2">
        <v>4581</v>
      </c>
      <c r="U1188" s="2">
        <v>10414</v>
      </c>
      <c r="V1188">
        <v>3</v>
      </c>
      <c r="W1188" t="s">
        <v>32</v>
      </c>
      <c r="X1188">
        <v>24</v>
      </c>
      <c r="Y1188">
        <v>4</v>
      </c>
      <c r="Z1188">
        <v>1</v>
      </c>
      <c r="AA1188">
        <v>80</v>
      </c>
      <c r="AB1188">
        <v>0</v>
      </c>
      <c r="AC1188">
        <v>13</v>
      </c>
      <c r="AD1188">
        <v>2</v>
      </c>
      <c r="AE1188">
        <v>4</v>
      </c>
      <c r="AF1188">
        <v>11</v>
      </c>
      <c r="AG1188">
        <v>9</v>
      </c>
      <c r="AH1188">
        <v>6</v>
      </c>
      <c r="AI1188">
        <v>7</v>
      </c>
    </row>
    <row r="1189" spans="1:35" x14ac:dyDescent="0.25">
      <c r="A1189">
        <v>38</v>
      </c>
      <c r="B1189" t="str">
        <f t="shared" si="36"/>
        <v>35-44</v>
      </c>
      <c r="C1189" s="1" t="s">
        <v>38</v>
      </c>
      <c r="D1189" s="17">
        <f>IF(Table1[[#This Row],[Attrition]]="Yes",1,0)</f>
        <v>0</v>
      </c>
      <c r="E1189" t="s">
        <v>58</v>
      </c>
      <c r="F1189" s="2">
        <v>1189</v>
      </c>
      <c r="G1189" t="s">
        <v>39</v>
      </c>
      <c r="H1189">
        <v>1</v>
      </c>
      <c r="I1189">
        <v>3</v>
      </c>
      <c r="J1189" t="str">
        <f t="shared" si="37"/>
        <v>Bachelor</v>
      </c>
      <c r="K1189" t="s">
        <v>34</v>
      </c>
      <c r="L1189">
        <v>4</v>
      </c>
      <c r="M1189" t="s">
        <v>40</v>
      </c>
      <c r="N1189" s="2">
        <v>90</v>
      </c>
      <c r="O1189">
        <v>3</v>
      </c>
      <c r="P1189">
        <v>2</v>
      </c>
      <c r="Q1189" t="s">
        <v>41</v>
      </c>
      <c r="R1189">
        <v>4</v>
      </c>
      <c r="S1189" t="s">
        <v>42</v>
      </c>
      <c r="T1189" s="2">
        <v>4735</v>
      </c>
      <c r="U1189" s="2">
        <v>9867</v>
      </c>
      <c r="V1189">
        <v>7</v>
      </c>
      <c r="W1189" t="s">
        <v>38</v>
      </c>
      <c r="X1189">
        <v>15</v>
      </c>
      <c r="Y1189">
        <v>3</v>
      </c>
      <c r="Z1189">
        <v>4</v>
      </c>
      <c r="AA1189">
        <v>80</v>
      </c>
      <c r="AB1189">
        <v>2</v>
      </c>
      <c r="AC1189">
        <v>19</v>
      </c>
      <c r="AD1189">
        <v>4</v>
      </c>
      <c r="AE1189">
        <v>4</v>
      </c>
      <c r="AF1189">
        <v>13</v>
      </c>
      <c r="AG1189">
        <v>11</v>
      </c>
      <c r="AH1189">
        <v>2</v>
      </c>
      <c r="AI1189">
        <v>9</v>
      </c>
    </row>
    <row r="1190" spans="1:35" x14ac:dyDescent="0.25">
      <c r="A1190">
        <v>29</v>
      </c>
      <c r="B1190" t="str">
        <f t="shared" si="36"/>
        <v>25-34</v>
      </c>
      <c r="C1190" s="1" t="s">
        <v>38</v>
      </c>
      <c r="D1190" s="17">
        <f>IF(Table1[[#This Row],[Attrition]]="Yes",1,0)</f>
        <v>0</v>
      </c>
      <c r="E1190" t="s">
        <v>57</v>
      </c>
      <c r="F1190" s="2">
        <v>991</v>
      </c>
      <c r="G1190" t="s">
        <v>33</v>
      </c>
      <c r="H1190">
        <v>5</v>
      </c>
      <c r="I1190">
        <v>3</v>
      </c>
      <c r="J1190" t="str">
        <f t="shared" si="37"/>
        <v>Bachelor</v>
      </c>
      <c r="K1190" t="s">
        <v>45</v>
      </c>
      <c r="L1190">
        <v>1</v>
      </c>
      <c r="M1190" t="s">
        <v>40</v>
      </c>
      <c r="N1190" s="2">
        <v>43</v>
      </c>
      <c r="O1190">
        <v>2</v>
      </c>
      <c r="P1190">
        <v>2</v>
      </c>
      <c r="Q1190" t="s">
        <v>36</v>
      </c>
      <c r="R1190">
        <v>2</v>
      </c>
      <c r="S1190" t="s">
        <v>46</v>
      </c>
      <c r="T1190" s="2">
        <v>4187</v>
      </c>
      <c r="U1190" s="2">
        <v>3356</v>
      </c>
      <c r="V1190">
        <v>1</v>
      </c>
      <c r="W1190" t="s">
        <v>32</v>
      </c>
      <c r="X1190">
        <v>13</v>
      </c>
      <c r="Y1190">
        <v>3</v>
      </c>
      <c r="Z1190">
        <v>2</v>
      </c>
      <c r="AA1190">
        <v>80</v>
      </c>
      <c r="AB1190">
        <v>1</v>
      </c>
      <c r="AC1190">
        <v>10</v>
      </c>
      <c r="AD1190">
        <v>3</v>
      </c>
      <c r="AE1190">
        <v>2</v>
      </c>
      <c r="AF1190">
        <v>10</v>
      </c>
      <c r="AG1190">
        <v>0</v>
      </c>
      <c r="AH1190">
        <v>0</v>
      </c>
      <c r="AI1190">
        <v>9</v>
      </c>
    </row>
    <row r="1191" spans="1:35" x14ac:dyDescent="0.25">
      <c r="A1191">
        <v>33</v>
      </c>
      <c r="B1191" t="str">
        <f t="shared" si="36"/>
        <v>25-34</v>
      </c>
      <c r="C1191" s="1" t="s">
        <v>38</v>
      </c>
      <c r="D1191" s="17">
        <f>IF(Table1[[#This Row],[Attrition]]="Yes",1,0)</f>
        <v>0</v>
      </c>
      <c r="E1191" t="s">
        <v>57</v>
      </c>
      <c r="F1191" s="2">
        <v>392</v>
      </c>
      <c r="G1191" t="s">
        <v>33</v>
      </c>
      <c r="H1191">
        <v>2</v>
      </c>
      <c r="I1191">
        <v>4</v>
      </c>
      <c r="J1191" t="str">
        <f t="shared" si="37"/>
        <v>Master</v>
      </c>
      <c r="K1191" t="s">
        <v>45</v>
      </c>
      <c r="L1191">
        <v>4</v>
      </c>
      <c r="M1191" t="s">
        <v>40</v>
      </c>
      <c r="N1191" s="2">
        <v>93</v>
      </c>
      <c r="O1191">
        <v>3</v>
      </c>
      <c r="P1191">
        <v>2</v>
      </c>
      <c r="Q1191" t="s">
        <v>36</v>
      </c>
      <c r="R1191">
        <v>4</v>
      </c>
      <c r="S1191" t="s">
        <v>46</v>
      </c>
      <c r="T1191" s="2">
        <v>5505</v>
      </c>
      <c r="U1191" s="2">
        <v>3921</v>
      </c>
      <c r="V1191">
        <v>1</v>
      </c>
      <c r="W1191" t="s">
        <v>38</v>
      </c>
      <c r="X1191">
        <v>14</v>
      </c>
      <c r="Y1191">
        <v>3</v>
      </c>
      <c r="Z1191">
        <v>3</v>
      </c>
      <c r="AA1191">
        <v>80</v>
      </c>
      <c r="AB1191">
        <v>2</v>
      </c>
      <c r="AC1191">
        <v>6</v>
      </c>
      <c r="AD1191">
        <v>5</v>
      </c>
      <c r="AE1191">
        <v>3</v>
      </c>
      <c r="AF1191">
        <v>6</v>
      </c>
      <c r="AG1191">
        <v>2</v>
      </c>
      <c r="AH1191">
        <v>0</v>
      </c>
      <c r="AI1191">
        <v>4</v>
      </c>
    </row>
    <row r="1192" spans="1:35" x14ac:dyDescent="0.25">
      <c r="A1192">
        <v>32</v>
      </c>
      <c r="B1192" t="str">
        <f t="shared" si="36"/>
        <v>25-34</v>
      </c>
      <c r="C1192" s="1" t="s">
        <v>38</v>
      </c>
      <c r="D1192" s="17">
        <f>IF(Table1[[#This Row],[Attrition]]="Yes",1,0)</f>
        <v>0</v>
      </c>
      <c r="E1192" t="s">
        <v>57</v>
      </c>
      <c r="F1192" s="2">
        <v>977</v>
      </c>
      <c r="G1192" t="s">
        <v>39</v>
      </c>
      <c r="H1192">
        <v>2</v>
      </c>
      <c r="I1192">
        <v>3</v>
      </c>
      <c r="J1192" t="str">
        <f t="shared" si="37"/>
        <v>Bachelor</v>
      </c>
      <c r="K1192" t="s">
        <v>45</v>
      </c>
      <c r="L1192">
        <v>4</v>
      </c>
      <c r="M1192" t="s">
        <v>40</v>
      </c>
      <c r="N1192" s="2">
        <v>45</v>
      </c>
      <c r="O1192">
        <v>3</v>
      </c>
      <c r="P1192">
        <v>2</v>
      </c>
      <c r="Q1192" t="s">
        <v>41</v>
      </c>
      <c r="R1192">
        <v>2</v>
      </c>
      <c r="S1192" t="s">
        <v>46</v>
      </c>
      <c r="T1192" s="2">
        <v>5470</v>
      </c>
      <c r="U1192" s="2">
        <v>25518</v>
      </c>
      <c r="V1192">
        <v>0</v>
      </c>
      <c r="W1192" t="s">
        <v>38</v>
      </c>
      <c r="X1192">
        <v>13</v>
      </c>
      <c r="Y1192">
        <v>3</v>
      </c>
      <c r="Z1192">
        <v>3</v>
      </c>
      <c r="AA1192">
        <v>80</v>
      </c>
      <c r="AB1192">
        <v>2</v>
      </c>
      <c r="AC1192">
        <v>10</v>
      </c>
      <c r="AD1192">
        <v>4</v>
      </c>
      <c r="AE1192">
        <v>2</v>
      </c>
      <c r="AF1192">
        <v>9</v>
      </c>
      <c r="AG1192">
        <v>5</v>
      </c>
      <c r="AH1192">
        <v>1</v>
      </c>
      <c r="AI1192">
        <v>6</v>
      </c>
    </row>
    <row r="1193" spans="1:35" x14ac:dyDescent="0.25">
      <c r="A1193">
        <v>31</v>
      </c>
      <c r="B1193" t="str">
        <f t="shared" si="36"/>
        <v>25-34</v>
      </c>
      <c r="C1193" s="1" t="s">
        <v>38</v>
      </c>
      <c r="D1193" s="17">
        <f>IF(Table1[[#This Row],[Attrition]]="Yes",1,0)</f>
        <v>0</v>
      </c>
      <c r="E1193" t="s">
        <v>57</v>
      </c>
      <c r="F1193" s="2">
        <v>1112</v>
      </c>
      <c r="G1193" t="s">
        <v>33</v>
      </c>
      <c r="H1193">
        <v>5</v>
      </c>
      <c r="I1193">
        <v>4</v>
      </c>
      <c r="J1193" t="str">
        <f t="shared" si="37"/>
        <v>Master</v>
      </c>
      <c r="K1193" t="s">
        <v>34</v>
      </c>
      <c r="L1193">
        <v>1</v>
      </c>
      <c r="M1193" t="s">
        <v>35</v>
      </c>
      <c r="N1193" s="2">
        <v>67</v>
      </c>
      <c r="O1193">
        <v>3</v>
      </c>
      <c r="P1193">
        <v>2</v>
      </c>
      <c r="Q1193" t="s">
        <v>36</v>
      </c>
      <c r="R1193">
        <v>4</v>
      </c>
      <c r="S1193" t="s">
        <v>42</v>
      </c>
      <c r="T1193" s="2">
        <v>5476</v>
      </c>
      <c r="U1193" s="2">
        <v>22589</v>
      </c>
      <c r="V1193">
        <v>1</v>
      </c>
      <c r="W1193" t="s">
        <v>38</v>
      </c>
      <c r="X1193">
        <v>11</v>
      </c>
      <c r="Y1193">
        <v>3</v>
      </c>
      <c r="Z1193">
        <v>1</v>
      </c>
      <c r="AA1193">
        <v>80</v>
      </c>
      <c r="AB1193">
        <v>2</v>
      </c>
      <c r="AC1193">
        <v>10</v>
      </c>
      <c r="AD1193">
        <v>2</v>
      </c>
      <c r="AE1193">
        <v>3</v>
      </c>
      <c r="AF1193">
        <v>10</v>
      </c>
      <c r="AG1193">
        <v>0</v>
      </c>
      <c r="AH1193">
        <v>0</v>
      </c>
      <c r="AI1193">
        <v>2</v>
      </c>
    </row>
    <row r="1194" spans="1:35" x14ac:dyDescent="0.25">
      <c r="A1194">
        <v>49</v>
      </c>
      <c r="B1194" t="str">
        <f t="shared" si="36"/>
        <v>45-54</v>
      </c>
      <c r="C1194" s="1" t="s">
        <v>38</v>
      </c>
      <c r="D1194" s="17">
        <f>IF(Table1[[#This Row],[Attrition]]="Yes",1,0)</f>
        <v>0</v>
      </c>
      <c r="E1194" t="s">
        <v>57</v>
      </c>
      <c r="F1194" s="2">
        <v>464</v>
      </c>
      <c r="G1194" t="s">
        <v>39</v>
      </c>
      <c r="H1194">
        <v>16</v>
      </c>
      <c r="I1194">
        <v>3</v>
      </c>
      <c r="J1194" t="str">
        <f t="shared" si="37"/>
        <v>Bachelor</v>
      </c>
      <c r="K1194" t="s">
        <v>45</v>
      </c>
      <c r="L1194">
        <v>4</v>
      </c>
      <c r="M1194" t="s">
        <v>35</v>
      </c>
      <c r="N1194" s="2">
        <v>74</v>
      </c>
      <c r="O1194">
        <v>3</v>
      </c>
      <c r="P1194">
        <v>1</v>
      </c>
      <c r="Q1194" t="s">
        <v>44</v>
      </c>
      <c r="R1194">
        <v>1</v>
      </c>
      <c r="S1194" t="s">
        <v>46</v>
      </c>
      <c r="T1194" s="2">
        <v>2587</v>
      </c>
      <c r="U1194" s="2">
        <v>24941</v>
      </c>
      <c r="V1194">
        <v>4</v>
      </c>
      <c r="W1194" t="s">
        <v>32</v>
      </c>
      <c r="X1194">
        <v>16</v>
      </c>
      <c r="Y1194">
        <v>3</v>
      </c>
      <c r="Z1194">
        <v>2</v>
      </c>
      <c r="AA1194">
        <v>80</v>
      </c>
      <c r="AB1194">
        <v>1</v>
      </c>
      <c r="AC1194">
        <v>17</v>
      </c>
      <c r="AD1194">
        <v>2</v>
      </c>
      <c r="AE1194">
        <v>2</v>
      </c>
      <c r="AF1194">
        <v>2</v>
      </c>
      <c r="AG1194">
        <v>2</v>
      </c>
      <c r="AH1194">
        <v>2</v>
      </c>
      <c r="AI1194">
        <v>2</v>
      </c>
    </row>
    <row r="1195" spans="1:35" x14ac:dyDescent="0.25">
      <c r="A1195">
        <v>38</v>
      </c>
      <c r="B1195" t="str">
        <f t="shared" si="36"/>
        <v>35-44</v>
      </c>
      <c r="C1195" s="1" t="s">
        <v>38</v>
      </c>
      <c r="D1195" s="17">
        <f>IF(Table1[[#This Row],[Attrition]]="Yes",1,0)</f>
        <v>0</v>
      </c>
      <c r="E1195" t="s">
        <v>58</v>
      </c>
      <c r="F1195" s="2">
        <v>148</v>
      </c>
      <c r="G1195" t="s">
        <v>39</v>
      </c>
      <c r="H1195">
        <v>2</v>
      </c>
      <c r="I1195">
        <v>3</v>
      </c>
      <c r="J1195" t="str">
        <f t="shared" si="37"/>
        <v>Bachelor</v>
      </c>
      <c r="K1195" t="s">
        <v>45</v>
      </c>
      <c r="L1195">
        <v>4</v>
      </c>
      <c r="M1195" t="s">
        <v>35</v>
      </c>
      <c r="N1195" s="2">
        <v>42</v>
      </c>
      <c r="O1195">
        <v>2</v>
      </c>
      <c r="P1195">
        <v>1</v>
      </c>
      <c r="Q1195" t="s">
        <v>44</v>
      </c>
      <c r="R1195">
        <v>2</v>
      </c>
      <c r="S1195" t="s">
        <v>37</v>
      </c>
      <c r="T1195" s="2">
        <v>2440</v>
      </c>
      <c r="U1195" s="2">
        <v>23826</v>
      </c>
      <c r="V1195">
        <v>1</v>
      </c>
      <c r="W1195" t="s">
        <v>38</v>
      </c>
      <c r="X1195">
        <v>22</v>
      </c>
      <c r="Y1195">
        <v>4</v>
      </c>
      <c r="Z1195">
        <v>2</v>
      </c>
      <c r="AA1195">
        <v>80</v>
      </c>
      <c r="AB1195">
        <v>0</v>
      </c>
      <c r="AC1195">
        <v>4</v>
      </c>
      <c r="AD1195">
        <v>3</v>
      </c>
      <c r="AE1195">
        <v>3</v>
      </c>
      <c r="AF1195">
        <v>4</v>
      </c>
      <c r="AG1195">
        <v>3</v>
      </c>
      <c r="AH1195">
        <v>3</v>
      </c>
      <c r="AI1195">
        <v>3</v>
      </c>
    </row>
    <row r="1196" spans="1:35" x14ac:dyDescent="0.25">
      <c r="A1196">
        <v>47</v>
      </c>
      <c r="B1196" t="str">
        <f t="shared" si="36"/>
        <v>45-54</v>
      </c>
      <c r="C1196" s="1" t="s">
        <v>38</v>
      </c>
      <c r="D1196" s="17">
        <f>IF(Table1[[#This Row],[Attrition]]="Yes",1,0)</f>
        <v>0</v>
      </c>
      <c r="E1196" t="s">
        <v>57</v>
      </c>
      <c r="F1196" s="2">
        <v>1225</v>
      </c>
      <c r="G1196" t="s">
        <v>33</v>
      </c>
      <c r="H1196">
        <v>2</v>
      </c>
      <c r="I1196">
        <v>4</v>
      </c>
      <c r="J1196" t="str">
        <f t="shared" si="37"/>
        <v>Master</v>
      </c>
      <c r="K1196" t="s">
        <v>34</v>
      </c>
      <c r="L1196">
        <v>2</v>
      </c>
      <c r="M1196" t="s">
        <v>35</v>
      </c>
      <c r="N1196" s="2">
        <v>47</v>
      </c>
      <c r="O1196">
        <v>4</v>
      </c>
      <c r="P1196">
        <v>4</v>
      </c>
      <c r="Q1196" t="s">
        <v>50</v>
      </c>
      <c r="R1196">
        <v>2</v>
      </c>
      <c r="S1196" t="s">
        <v>46</v>
      </c>
      <c r="T1196" s="2">
        <v>15972</v>
      </c>
      <c r="U1196" s="2">
        <v>21086</v>
      </c>
      <c r="V1196">
        <v>6</v>
      </c>
      <c r="W1196" t="s">
        <v>38</v>
      </c>
      <c r="X1196">
        <v>14</v>
      </c>
      <c r="Y1196">
        <v>3</v>
      </c>
      <c r="Z1196">
        <v>3</v>
      </c>
      <c r="AA1196">
        <v>80</v>
      </c>
      <c r="AB1196">
        <v>3</v>
      </c>
      <c r="AC1196">
        <v>29</v>
      </c>
      <c r="AD1196">
        <v>2</v>
      </c>
      <c r="AE1196">
        <v>3</v>
      </c>
      <c r="AF1196">
        <v>3</v>
      </c>
      <c r="AG1196">
        <v>2</v>
      </c>
      <c r="AH1196">
        <v>1</v>
      </c>
      <c r="AI1196">
        <v>2</v>
      </c>
    </row>
    <row r="1197" spans="1:35" x14ac:dyDescent="0.25">
      <c r="A1197">
        <v>49</v>
      </c>
      <c r="B1197" t="str">
        <f t="shared" si="36"/>
        <v>45-54</v>
      </c>
      <c r="C1197" s="1" t="s">
        <v>38</v>
      </c>
      <c r="D1197" s="17">
        <f>IF(Table1[[#This Row],[Attrition]]="Yes",1,0)</f>
        <v>0</v>
      </c>
      <c r="E1197" t="s">
        <v>57</v>
      </c>
      <c r="F1197" s="2">
        <v>809</v>
      </c>
      <c r="G1197" t="s">
        <v>39</v>
      </c>
      <c r="H1197">
        <v>1</v>
      </c>
      <c r="I1197">
        <v>3</v>
      </c>
      <c r="J1197" t="str">
        <f t="shared" si="37"/>
        <v>Bachelor</v>
      </c>
      <c r="K1197" t="s">
        <v>34</v>
      </c>
      <c r="L1197">
        <v>3</v>
      </c>
      <c r="M1197" t="s">
        <v>40</v>
      </c>
      <c r="N1197" s="2">
        <v>36</v>
      </c>
      <c r="O1197">
        <v>3</v>
      </c>
      <c r="P1197">
        <v>4</v>
      </c>
      <c r="Q1197" t="s">
        <v>50</v>
      </c>
      <c r="R1197">
        <v>3</v>
      </c>
      <c r="S1197" t="s">
        <v>37</v>
      </c>
      <c r="T1197" s="2">
        <v>15379</v>
      </c>
      <c r="U1197" s="2">
        <v>22384</v>
      </c>
      <c r="V1197">
        <v>4</v>
      </c>
      <c r="W1197" t="s">
        <v>38</v>
      </c>
      <c r="X1197">
        <v>14</v>
      </c>
      <c r="Y1197">
        <v>3</v>
      </c>
      <c r="Z1197">
        <v>1</v>
      </c>
      <c r="AA1197">
        <v>80</v>
      </c>
      <c r="AB1197">
        <v>0</v>
      </c>
      <c r="AC1197">
        <v>23</v>
      </c>
      <c r="AD1197">
        <v>2</v>
      </c>
      <c r="AE1197">
        <v>3</v>
      </c>
      <c r="AF1197">
        <v>8</v>
      </c>
      <c r="AG1197">
        <v>7</v>
      </c>
      <c r="AH1197">
        <v>0</v>
      </c>
      <c r="AI1197">
        <v>0</v>
      </c>
    </row>
    <row r="1198" spans="1:35" x14ac:dyDescent="0.25">
      <c r="A1198">
        <v>41</v>
      </c>
      <c r="B1198" t="str">
        <f t="shared" si="36"/>
        <v>35-44</v>
      </c>
      <c r="C1198" s="1" t="s">
        <v>38</v>
      </c>
      <c r="D1198" s="17">
        <f>IF(Table1[[#This Row],[Attrition]]="Yes",1,0)</f>
        <v>0</v>
      </c>
      <c r="E1198" t="s">
        <v>57</v>
      </c>
      <c r="F1198" s="2">
        <v>1206</v>
      </c>
      <c r="G1198" t="s">
        <v>33</v>
      </c>
      <c r="H1198">
        <v>23</v>
      </c>
      <c r="I1198">
        <v>2</v>
      </c>
      <c r="J1198" t="str">
        <f t="shared" si="37"/>
        <v>College</v>
      </c>
      <c r="K1198" t="s">
        <v>34</v>
      </c>
      <c r="L1198">
        <v>4</v>
      </c>
      <c r="M1198" t="s">
        <v>40</v>
      </c>
      <c r="N1198" s="2">
        <v>80</v>
      </c>
      <c r="O1198">
        <v>3</v>
      </c>
      <c r="P1198">
        <v>3</v>
      </c>
      <c r="Q1198" t="s">
        <v>36</v>
      </c>
      <c r="R1198">
        <v>3</v>
      </c>
      <c r="S1198" t="s">
        <v>37</v>
      </c>
      <c r="T1198" s="2">
        <v>7082</v>
      </c>
      <c r="U1198" s="2">
        <v>11591</v>
      </c>
      <c r="V1198">
        <v>3</v>
      </c>
      <c r="W1198" t="s">
        <v>32</v>
      </c>
      <c r="X1198">
        <v>16</v>
      </c>
      <c r="Y1198">
        <v>3</v>
      </c>
      <c r="Z1198">
        <v>4</v>
      </c>
      <c r="AA1198">
        <v>80</v>
      </c>
      <c r="AB1198">
        <v>0</v>
      </c>
      <c r="AC1198">
        <v>21</v>
      </c>
      <c r="AD1198">
        <v>2</v>
      </c>
      <c r="AE1198">
        <v>3</v>
      </c>
      <c r="AF1198">
        <v>2</v>
      </c>
      <c r="AG1198">
        <v>0</v>
      </c>
      <c r="AH1198">
        <v>0</v>
      </c>
      <c r="AI1198">
        <v>2</v>
      </c>
    </row>
    <row r="1199" spans="1:35" x14ac:dyDescent="0.25">
      <c r="A1199">
        <v>20</v>
      </c>
      <c r="B1199" t="str">
        <f t="shared" si="36"/>
        <v>18-24</v>
      </c>
      <c r="C1199" s="1" t="s">
        <v>38</v>
      </c>
      <c r="D1199" s="17">
        <f>IF(Table1[[#This Row],[Attrition]]="Yes",1,0)</f>
        <v>0</v>
      </c>
      <c r="E1199" t="s">
        <v>57</v>
      </c>
      <c r="F1199" s="2">
        <v>727</v>
      </c>
      <c r="G1199" t="s">
        <v>33</v>
      </c>
      <c r="H1199">
        <v>9</v>
      </c>
      <c r="I1199">
        <v>1</v>
      </c>
      <c r="J1199" t="str">
        <f t="shared" si="37"/>
        <v>Below College</v>
      </c>
      <c r="K1199" t="s">
        <v>34</v>
      </c>
      <c r="L1199">
        <v>4</v>
      </c>
      <c r="M1199" t="s">
        <v>40</v>
      </c>
      <c r="N1199" s="2">
        <v>54</v>
      </c>
      <c r="O1199">
        <v>3</v>
      </c>
      <c r="P1199">
        <v>1</v>
      </c>
      <c r="Q1199" t="s">
        <v>51</v>
      </c>
      <c r="R1199">
        <v>1</v>
      </c>
      <c r="S1199" t="s">
        <v>37</v>
      </c>
      <c r="T1199" s="2">
        <v>2728</v>
      </c>
      <c r="U1199" s="2">
        <v>21082</v>
      </c>
      <c r="V1199">
        <v>1</v>
      </c>
      <c r="W1199" t="s">
        <v>38</v>
      </c>
      <c r="X1199">
        <v>11</v>
      </c>
      <c r="Y1199">
        <v>3</v>
      </c>
      <c r="Z1199">
        <v>1</v>
      </c>
      <c r="AA1199">
        <v>80</v>
      </c>
      <c r="AB1199">
        <v>0</v>
      </c>
      <c r="AC1199">
        <v>2</v>
      </c>
      <c r="AD1199">
        <v>3</v>
      </c>
      <c r="AE1199">
        <v>3</v>
      </c>
      <c r="AF1199">
        <v>2</v>
      </c>
      <c r="AG1199">
        <v>2</v>
      </c>
      <c r="AH1199">
        <v>0</v>
      </c>
      <c r="AI1199">
        <v>2</v>
      </c>
    </row>
    <row r="1200" spans="1:35" x14ac:dyDescent="0.25">
      <c r="A1200">
        <v>33</v>
      </c>
      <c r="B1200" t="str">
        <f t="shared" si="36"/>
        <v>25-34</v>
      </c>
      <c r="C1200" s="1" t="s">
        <v>38</v>
      </c>
      <c r="D1200" s="17">
        <f>IF(Table1[[#This Row],[Attrition]]="Yes",1,0)</f>
        <v>0</v>
      </c>
      <c r="E1200" t="s">
        <v>49</v>
      </c>
      <c r="F1200" s="2">
        <v>530</v>
      </c>
      <c r="G1200" t="s">
        <v>33</v>
      </c>
      <c r="H1200">
        <v>16</v>
      </c>
      <c r="I1200">
        <v>3</v>
      </c>
      <c r="J1200" t="str">
        <f t="shared" si="37"/>
        <v>Bachelor</v>
      </c>
      <c r="K1200" t="s">
        <v>34</v>
      </c>
      <c r="L1200">
        <v>3</v>
      </c>
      <c r="M1200" t="s">
        <v>35</v>
      </c>
      <c r="N1200" s="2">
        <v>36</v>
      </c>
      <c r="O1200">
        <v>3</v>
      </c>
      <c r="P1200">
        <v>2</v>
      </c>
      <c r="Q1200" t="s">
        <v>36</v>
      </c>
      <c r="R1200">
        <v>4</v>
      </c>
      <c r="S1200" t="s">
        <v>46</v>
      </c>
      <c r="T1200" s="2">
        <v>5368</v>
      </c>
      <c r="U1200" s="2">
        <v>16130</v>
      </c>
      <c r="V1200">
        <v>1</v>
      </c>
      <c r="W1200" t="s">
        <v>32</v>
      </c>
      <c r="X1200">
        <v>25</v>
      </c>
      <c r="Y1200">
        <v>4</v>
      </c>
      <c r="Z1200">
        <v>3</v>
      </c>
      <c r="AA1200">
        <v>80</v>
      </c>
      <c r="AB1200">
        <v>1</v>
      </c>
      <c r="AC1200">
        <v>7</v>
      </c>
      <c r="AD1200">
        <v>2</v>
      </c>
      <c r="AE1200">
        <v>3</v>
      </c>
      <c r="AF1200">
        <v>6</v>
      </c>
      <c r="AG1200">
        <v>5</v>
      </c>
      <c r="AH1200">
        <v>1</v>
      </c>
      <c r="AI1200">
        <v>2</v>
      </c>
    </row>
    <row r="1201" spans="1:35" x14ac:dyDescent="0.25">
      <c r="A1201">
        <v>36</v>
      </c>
      <c r="B1201" t="str">
        <f t="shared" si="36"/>
        <v>35-44</v>
      </c>
      <c r="C1201" s="1" t="s">
        <v>38</v>
      </c>
      <c r="D1201" s="17">
        <f>IF(Table1[[#This Row],[Attrition]]="Yes",1,0)</f>
        <v>0</v>
      </c>
      <c r="E1201" t="s">
        <v>57</v>
      </c>
      <c r="F1201" s="2">
        <v>1351</v>
      </c>
      <c r="G1201" t="s">
        <v>39</v>
      </c>
      <c r="H1201">
        <v>26</v>
      </c>
      <c r="I1201">
        <v>4</v>
      </c>
      <c r="J1201" t="str">
        <f t="shared" si="37"/>
        <v>Master</v>
      </c>
      <c r="K1201" t="s">
        <v>34</v>
      </c>
      <c r="L1201">
        <v>1</v>
      </c>
      <c r="M1201" t="s">
        <v>40</v>
      </c>
      <c r="N1201" s="2">
        <v>80</v>
      </c>
      <c r="O1201">
        <v>3</v>
      </c>
      <c r="P1201">
        <v>2</v>
      </c>
      <c r="Q1201" t="s">
        <v>48</v>
      </c>
      <c r="R1201">
        <v>3</v>
      </c>
      <c r="S1201" t="s">
        <v>42</v>
      </c>
      <c r="T1201" s="2">
        <v>5347</v>
      </c>
      <c r="U1201" s="2">
        <v>7419</v>
      </c>
      <c r="V1201">
        <v>6</v>
      </c>
      <c r="W1201" t="s">
        <v>38</v>
      </c>
      <c r="X1201">
        <v>14</v>
      </c>
      <c r="Y1201">
        <v>3</v>
      </c>
      <c r="Z1201">
        <v>2</v>
      </c>
      <c r="AA1201">
        <v>80</v>
      </c>
      <c r="AB1201">
        <v>2</v>
      </c>
      <c r="AC1201">
        <v>10</v>
      </c>
      <c r="AD1201">
        <v>2</v>
      </c>
      <c r="AE1201">
        <v>2</v>
      </c>
      <c r="AF1201">
        <v>3</v>
      </c>
      <c r="AG1201">
        <v>2</v>
      </c>
      <c r="AH1201">
        <v>0</v>
      </c>
      <c r="AI1201">
        <v>2</v>
      </c>
    </row>
    <row r="1202" spans="1:35" x14ac:dyDescent="0.25">
      <c r="A1202">
        <v>44</v>
      </c>
      <c r="B1202" t="str">
        <f t="shared" si="36"/>
        <v>35-44</v>
      </c>
      <c r="C1202" s="1" t="s">
        <v>38</v>
      </c>
      <c r="D1202" s="17">
        <f>IF(Table1[[#This Row],[Attrition]]="Yes",1,0)</f>
        <v>0</v>
      </c>
      <c r="E1202" t="s">
        <v>57</v>
      </c>
      <c r="F1202" s="2">
        <v>528</v>
      </c>
      <c r="G1202" t="s">
        <v>55</v>
      </c>
      <c r="H1202">
        <v>1</v>
      </c>
      <c r="I1202">
        <v>3</v>
      </c>
      <c r="J1202" t="str">
        <f t="shared" si="37"/>
        <v>Bachelor</v>
      </c>
      <c r="K1202" t="s">
        <v>34</v>
      </c>
      <c r="L1202">
        <v>3</v>
      </c>
      <c r="M1202" t="s">
        <v>35</v>
      </c>
      <c r="N1202" s="2">
        <v>44</v>
      </c>
      <c r="O1202">
        <v>3</v>
      </c>
      <c r="P1202">
        <v>1</v>
      </c>
      <c r="Q1202" t="s">
        <v>55</v>
      </c>
      <c r="R1202">
        <v>4</v>
      </c>
      <c r="S1202" t="s">
        <v>46</v>
      </c>
      <c r="T1202" s="2">
        <v>3195</v>
      </c>
      <c r="U1202" s="2">
        <v>4167</v>
      </c>
      <c r="V1202">
        <v>4</v>
      </c>
      <c r="W1202" t="s">
        <v>32</v>
      </c>
      <c r="X1202">
        <v>18</v>
      </c>
      <c r="Y1202">
        <v>3</v>
      </c>
      <c r="Z1202">
        <v>1</v>
      </c>
      <c r="AA1202">
        <v>80</v>
      </c>
      <c r="AB1202">
        <v>3</v>
      </c>
      <c r="AC1202">
        <v>8</v>
      </c>
      <c r="AD1202">
        <v>2</v>
      </c>
      <c r="AE1202">
        <v>3</v>
      </c>
      <c r="AF1202">
        <v>2</v>
      </c>
      <c r="AG1202">
        <v>2</v>
      </c>
      <c r="AH1202">
        <v>2</v>
      </c>
      <c r="AI1202">
        <v>2</v>
      </c>
    </row>
    <row r="1203" spans="1:35" x14ac:dyDescent="0.25">
      <c r="A1203">
        <v>23</v>
      </c>
      <c r="B1203" t="str">
        <f t="shared" si="36"/>
        <v>18-24</v>
      </c>
      <c r="C1203" s="1" t="s">
        <v>32</v>
      </c>
      <c r="D1203" s="17">
        <f>IF(Table1[[#This Row],[Attrition]]="Yes",1,0)</f>
        <v>1</v>
      </c>
      <c r="E1203" t="s">
        <v>57</v>
      </c>
      <c r="F1203" s="2">
        <v>1320</v>
      </c>
      <c r="G1203" t="s">
        <v>39</v>
      </c>
      <c r="H1203">
        <v>8</v>
      </c>
      <c r="I1203">
        <v>1</v>
      </c>
      <c r="J1203" t="str">
        <f t="shared" si="37"/>
        <v>Below College</v>
      </c>
      <c r="K1203" t="s">
        <v>45</v>
      </c>
      <c r="L1203">
        <v>4</v>
      </c>
      <c r="M1203" t="s">
        <v>40</v>
      </c>
      <c r="N1203" s="2">
        <v>93</v>
      </c>
      <c r="O1203">
        <v>2</v>
      </c>
      <c r="P1203">
        <v>1</v>
      </c>
      <c r="Q1203" t="s">
        <v>44</v>
      </c>
      <c r="R1203">
        <v>3</v>
      </c>
      <c r="S1203" t="s">
        <v>37</v>
      </c>
      <c r="T1203" s="2">
        <v>3989</v>
      </c>
      <c r="U1203" s="2">
        <v>20586</v>
      </c>
      <c r="V1203">
        <v>1</v>
      </c>
      <c r="W1203" t="s">
        <v>32</v>
      </c>
      <c r="X1203">
        <v>11</v>
      </c>
      <c r="Y1203">
        <v>3</v>
      </c>
      <c r="Z1203">
        <v>1</v>
      </c>
      <c r="AA1203">
        <v>80</v>
      </c>
      <c r="AB1203">
        <v>0</v>
      </c>
      <c r="AC1203">
        <v>5</v>
      </c>
      <c r="AD1203">
        <v>2</v>
      </c>
      <c r="AE1203">
        <v>3</v>
      </c>
      <c r="AF1203">
        <v>5</v>
      </c>
      <c r="AG1203">
        <v>4</v>
      </c>
      <c r="AH1203">
        <v>1</v>
      </c>
      <c r="AI1203">
        <v>2</v>
      </c>
    </row>
    <row r="1204" spans="1:35" x14ac:dyDescent="0.25">
      <c r="A1204">
        <v>38</v>
      </c>
      <c r="B1204" t="str">
        <f t="shared" si="36"/>
        <v>35-44</v>
      </c>
      <c r="C1204" s="1" t="s">
        <v>38</v>
      </c>
      <c r="D1204" s="17">
        <f>IF(Table1[[#This Row],[Attrition]]="Yes",1,0)</f>
        <v>0</v>
      </c>
      <c r="E1204" t="s">
        <v>57</v>
      </c>
      <c r="F1204" s="2">
        <v>1495</v>
      </c>
      <c r="G1204" t="s">
        <v>39</v>
      </c>
      <c r="H1204">
        <v>4</v>
      </c>
      <c r="I1204">
        <v>2</v>
      </c>
      <c r="J1204" t="str">
        <f t="shared" si="37"/>
        <v>College</v>
      </c>
      <c r="K1204" t="s">
        <v>45</v>
      </c>
      <c r="L1204">
        <v>4</v>
      </c>
      <c r="M1204" t="s">
        <v>35</v>
      </c>
      <c r="N1204" s="2">
        <v>87</v>
      </c>
      <c r="O1204">
        <v>3</v>
      </c>
      <c r="P1204">
        <v>1</v>
      </c>
      <c r="Q1204" t="s">
        <v>44</v>
      </c>
      <c r="R1204">
        <v>3</v>
      </c>
      <c r="S1204" t="s">
        <v>42</v>
      </c>
      <c r="T1204" s="2">
        <v>3306</v>
      </c>
      <c r="U1204" s="2">
        <v>26176</v>
      </c>
      <c r="V1204">
        <v>7</v>
      </c>
      <c r="W1204" t="s">
        <v>38</v>
      </c>
      <c r="X1204">
        <v>19</v>
      </c>
      <c r="Y1204">
        <v>3</v>
      </c>
      <c r="Z1204">
        <v>4</v>
      </c>
      <c r="AA1204">
        <v>80</v>
      </c>
      <c r="AB1204">
        <v>1</v>
      </c>
      <c r="AC1204">
        <v>7</v>
      </c>
      <c r="AD1204">
        <v>5</v>
      </c>
      <c r="AE1204">
        <v>2</v>
      </c>
      <c r="AF1204">
        <v>0</v>
      </c>
      <c r="AG1204">
        <v>0</v>
      </c>
      <c r="AH1204">
        <v>0</v>
      </c>
      <c r="AI1204">
        <v>0</v>
      </c>
    </row>
    <row r="1205" spans="1:35" x14ac:dyDescent="0.25">
      <c r="A1205">
        <v>53</v>
      </c>
      <c r="B1205" t="str">
        <f t="shared" si="36"/>
        <v>45-54</v>
      </c>
      <c r="C1205" s="1" t="s">
        <v>38</v>
      </c>
      <c r="D1205" s="17">
        <f>IF(Table1[[#This Row],[Attrition]]="Yes",1,0)</f>
        <v>0</v>
      </c>
      <c r="E1205" t="s">
        <v>57</v>
      </c>
      <c r="F1205" s="2">
        <v>1395</v>
      </c>
      <c r="G1205" t="s">
        <v>39</v>
      </c>
      <c r="H1205">
        <v>24</v>
      </c>
      <c r="I1205">
        <v>4</v>
      </c>
      <c r="J1205" t="str">
        <f t="shared" si="37"/>
        <v>Master</v>
      </c>
      <c r="K1205" t="s">
        <v>45</v>
      </c>
      <c r="L1205">
        <v>2</v>
      </c>
      <c r="M1205" t="s">
        <v>40</v>
      </c>
      <c r="N1205" s="2">
        <v>48</v>
      </c>
      <c r="O1205">
        <v>4</v>
      </c>
      <c r="P1205">
        <v>3</v>
      </c>
      <c r="Q1205" t="s">
        <v>48</v>
      </c>
      <c r="R1205">
        <v>4</v>
      </c>
      <c r="S1205" t="s">
        <v>42</v>
      </c>
      <c r="T1205" s="2">
        <v>7005</v>
      </c>
      <c r="U1205" s="2">
        <v>3458</v>
      </c>
      <c r="V1205">
        <v>3</v>
      </c>
      <c r="W1205" t="s">
        <v>38</v>
      </c>
      <c r="X1205">
        <v>15</v>
      </c>
      <c r="Y1205">
        <v>3</v>
      </c>
      <c r="Z1205">
        <v>3</v>
      </c>
      <c r="AA1205">
        <v>80</v>
      </c>
      <c r="AB1205">
        <v>0</v>
      </c>
      <c r="AC1205">
        <v>11</v>
      </c>
      <c r="AD1205">
        <v>2</v>
      </c>
      <c r="AE1205">
        <v>3</v>
      </c>
      <c r="AF1205">
        <v>4</v>
      </c>
      <c r="AG1205">
        <v>3</v>
      </c>
      <c r="AH1205">
        <v>1</v>
      </c>
      <c r="AI1205">
        <v>2</v>
      </c>
    </row>
    <row r="1206" spans="1:35" x14ac:dyDescent="0.25">
      <c r="A1206">
        <v>48</v>
      </c>
      <c r="B1206" t="str">
        <f t="shared" si="36"/>
        <v>45-54</v>
      </c>
      <c r="C1206" s="1" t="s">
        <v>32</v>
      </c>
      <c r="D1206" s="17">
        <f>IF(Table1[[#This Row],[Attrition]]="Yes",1,0)</f>
        <v>1</v>
      </c>
      <c r="E1206" t="s">
        <v>58</v>
      </c>
      <c r="F1206" s="2">
        <v>708</v>
      </c>
      <c r="G1206" t="s">
        <v>33</v>
      </c>
      <c r="H1206">
        <v>7</v>
      </c>
      <c r="I1206">
        <v>2</v>
      </c>
      <c r="J1206" t="str">
        <f t="shared" si="37"/>
        <v>College</v>
      </c>
      <c r="K1206" t="s">
        <v>45</v>
      </c>
      <c r="L1206">
        <v>4</v>
      </c>
      <c r="M1206" t="s">
        <v>35</v>
      </c>
      <c r="N1206" s="2">
        <v>95</v>
      </c>
      <c r="O1206">
        <v>3</v>
      </c>
      <c r="P1206">
        <v>1</v>
      </c>
      <c r="Q1206" t="s">
        <v>51</v>
      </c>
      <c r="R1206">
        <v>3</v>
      </c>
      <c r="S1206" t="s">
        <v>42</v>
      </c>
      <c r="T1206" s="2">
        <v>2655</v>
      </c>
      <c r="U1206" s="2">
        <v>11740</v>
      </c>
      <c r="V1206">
        <v>2</v>
      </c>
      <c r="W1206" t="s">
        <v>32</v>
      </c>
      <c r="X1206">
        <v>11</v>
      </c>
      <c r="Y1206">
        <v>3</v>
      </c>
      <c r="Z1206">
        <v>3</v>
      </c>
      <c r="AA1206">
        <v>80</v>
      </c>
      <c r="AB1206">
        <v>2</v>
      </c>
      <c r="AC1206">
        <v>19</v>
      </c>
      <c r="AD1206">
        <v>3</v>
      </c>
      <c r="AE1206">
        <v>3</v>
      </c>
      <c r="AF1206">
        <v>9</v>
      </c>
      <c r="AG1206">
        <v>7</v>
      </c>
      <c r="AH1206">
        <v>7</v>
      </c>
      <c r="AI1206">
        <v>7</v>
      </c>
    </row>
    <row r="1207" spans="1:35" x14ac:dyDescent="0.25">
      <c r="A1207">
        <v>32</v>
      </c>
      <c r="B1207" t="str">
        <f t="shared" si="36"/>
        <v>25-34</v>
      </c>
      <c r="C1207" s="1" t="s">
        <v>32</v>
      </c>
      <c r="D1207" s="17">
        <f>IF(Table1[[#This Row],[Attrition]]="Yes",1,0)</f>
        <v>1</v>
      </c>
      <c r="E1207" t="s">
        <v>57</v>
      </c>
      <c r="F1207" s="2">
        <v>1259</v>
      </c>
      <c r="G1207" t="s">
        <v>39</v>
      </c>
      <c r="H1207">
        <v>2</v>
      </c>
      <c r="I1207">
        <v>4</v>
      </c>
      <c r="J1207" t="str">
        <f t="shared" si="37"/>
        <v>Master</v>
      </c>
      <c r="K1207" t="s">
        <v>34</v>
      </c>
      <c r="L1207">
        <v>4</v>
      </c>
      <c r="M1207" t="s">
        <v>40</v>
      </c>
      <c r="N1207" s="2">
        <v>95</v>
      </c>
      <c r="O1207">
        <v>3</v>
      </c>
      <c r="P1207">
        <v>1</v>
      </c>
      <c r="Q1207" t="s">
        <v>44</v>
      </c>
      <c r="R1207">
        <v>2</v>
      </c>
      <c r="S1207" t="s">
        <v>37</v>
      </c>
      <c r="T1207" s="2">
        <v>1393</v>
      </c>
      <c r="U1207" s="2">
        <v>24852</v>
      </c>
      <c r="V1207">
        <v>1</v>
      </c>
      <c r="W1207" t="s">
        <v>38</v>
      </c>
      <c r="X1207">
        <v>12</v>
      </c>
      <c r="Y1207">
        <v>3</v>
      </c>
      <c r="Z1207">
        <v>1</v>
      </c>
      <c r="AA1207">
        <v>80</v>
      </c>
      <c r="AB1207">
        <v>0</v>
      </c>
      <c r="AC1207">
        <v>1</v>
      </c>
      <c r="AD1207">
        <v>2</v>
      </c>
      <c r="AE1207">
        <v>3</v>
      </c>
      <c r="AF1207">
        <v>1</v>
      </c>
      <c r="AG1207">
        <v>0</v>
      </c>
      <c r="AH1207">
        <v>0</v>
      </c>
      <c r="AI1207">
        <v>0</v>
      </c>
    </row>
    <row r="1208" spans="1:35" x14ac:dyDescent="0.25">
      <c r="A1208">
        <v>26</v>
      </c>
      <c r="B1208" t="str">
        <f t="shared" si="36"/>
        <v>25-34</v>
      </c>
      <c r="C1208" s="1" t="s">
        <v>38</v>
      </c>
      <c r="D1208" s="17">
        <f>IF(Table1[[#This Row],[Attrition]]="Yes",1,0)</f>
        <v>0</v>
      </c>
      <c r="E1208" t="s">
        <v>49</v>
      </c>
      <c r="F1208" s="2">
        <v>786</v>
      </c>
      <c r="G1208" t="s">
        <v>39</v>
      </c>
      <c r="H1208">
        <v>7</v>
      </c>
      <c r="I1208">
        <v>3</v>
      </c>
      <c r="J1208" t="str">
        <f t="shared" si="37"/>
        <v>Bachelor</v>
      </c>
      <c r="K1208" t="s">
        <v>45</v>
      </c>
      <c r="L1208">
        <v>4</v>
      </c>
      <c r="M1208" t="s">
        <v>40</v>
      </c>
      <c r="N1208" s="2">
        <v>76</v>
      </c>
      <c r="O1208">
        <v>3</v>
      </c>
      <c r="P1208">
        <v>1</v>
      </c>
      <c r="Q1208" t="s">
        <v>44</v>
      </c>
      <c r="R1208">
        <v>4</v>
      </c>
      <c r="S1208" t="s">
        <v>37</v>
      </c>
      <c r="T1208" s="2">
        <v>2570</v>
      </c>
      <c r="U1208" s="2">
        <v>11925</v>
      </c>
      <c r="V1208">
        <v>1</v>
      </c>
      <c r="W1208" t="s">
        <v>38</v>
      </c>
      <c r="X1208">
        <v>20</v>
      </c>
      <c r="Y1208">
        <v>4</v>
      </c>
      <c r="Z1208">
        <v>3</v>
      </c>
      <c r="AA1208">
        <v>80</v>
      </c>
      <c r="AB1208">
        <v>0</v>
      </c>
      <c r="AC1208">
        <v>7</v>
      </c>
      <c r="AD1208">
        <v>5</v>
      </c>
      <c r="AE1208">
        <v>3</v>
      </c>
      <c r="AF1208">
        <v>7</v>
      </c>
      <c r="AG1208">
        <v>7</v>
      </c>
      <c r="AH1208">
        <v>5</v>
      </c>
      <c r="AI1208">
        <v>7</v>
      </c>
    </row>
    <row r="1209" spans="1:35" x14ac:dyDescent="0.25">
      <c r="A1209">
        <v>55</v>
      </c>
      <c r="B1209" t="str">
        <f t="shared" si="36"/>
        <v>55-64</v>
      </c>
      <c r="C1209" s="1" t="s">
        <v>38</v>
      </c>
      <c r="D1209" s="17">
        <f>IF(Table1[[#This Row],[Attrition]]="Yes",1,0)</f>
        <v>0</v>
      </c>
      <c r="E1209" t="s">
        <v>57</v>
      </c>
      <c r="F1209" s="2">
        <v>1441</v>
      </c>
      <c r="G1209" t="s">
        <v>39</v>
      </c>
      <c r="H1209">
        <v>22</v>
      </c>
      <c r="I1209">
        <v>3</v>
      </c>
      <c r="J1209" t="str">
        <f t="shared" si="37"/>
        <v>Bachelor</v>
      </c>
      <c r="K1209" t="s">
        <v>54</v>
      </c>
      <c r="L1209">
        <v>1</v>
      </c>
      <c r="M1209" t="s">
        <v>40</v>
      </c>
      <c r="N1209" s="2">
        <v>94</v>
      </c>
      <c r="O1209">
        <v>2</v>
      </c>
      <c r="P1209">
        <v>1</v>
      </c>
      <c r="Q1209" t="s">
        <v>41</v>
      </c>
      <c r="R1209">
        <v>2</v>
      </c>
      <c r="S1209" t="s">
        <v>46</v>
      </c>
      <c r="T1209" s="2">
        <v>3537</v>
      </c>
      <c r="U1209" s="2">
        <v>23737</v>
      </c>
      <c r="V1209">
        <v>5</v>
      </c>
      <c r="W1209" t="s">
        <v>38</v>
      </c>
      <c r="X1209">
        <v>12</v>
      </c>
      <c r="Y1209">
        <v>3</v>
      </c>
      <c r="Z1209">
        <v>4</v>
      </c>
      <c r="AA1209">
        <v>80</v>
      </c>
      <c r="AB1209">
        <v>1</v>
      </c>
      <c r="AC1209">
        <v>8</v>
      </c>
      <c r="AD1209">
        <v>1</v>
      </c>
      <c r="AE1209">
        <v>3</v>
      </c>
      <c r="AF1209">
        <v>4</v>
      </c>
      <c r="AG1209">
        <v>2</v>
      </c>
      <c r="AH1209">
        <v>1</v>
      </c>
      <c r="AI1209">
        <v>2</v>
      </c>
    </row>
    <row r="1210" spans="1:35" x14ac:dyDescent="0.25">
      <c r="A1210">
        <v>34</v>
      </c>
      <c r="B1210" t="str">
        <f t="shared" si="36"/>
        <v>25-34</v>
      </c>
      <c r="C1210" s="1" t="s">
        <v>38</v>
      </c>
      <c r="D1210" s="17">
        <f>IF(Table1[[#This Row],[Attrition]]="Yes",1,0)</f>
        <v>0</v>
      </c>
      <c r="E1210" t="s">
        <v>57</v>
      </c>
      <c r="F1210" s="2">
        <v>1157</v>
      </c>
      <c r="G1210" t="s">
        <v>39</v>
      </c>
      <c r="H1210">
        <v>5</v>
      </c>
      <c r="I1210">
        <v>2</v>
      </c>
      <c r="J1210" t="str">
        <f t="shared" si="37"/>
        <v>College</v>
      </c>
      <c r="K1210" t="s">
        <v>45</v>
      </c>
      <c r="L1210">
        <v>2</v>
      </c>
      <c r="M1210" t="s">
        <v>40</v>
      </c>
      <c r="N1210" s="2">
        <v>57</v>
      </c>
      <c r="O1210">
        <v>2</v>
      </c>
      <c r="P1210">
        <v>2</v>
      </c>
      <c r="Q1210" t="s">
        <v>44</v>
      </c>
      <c r="R1210">
        <v>4</v>
      </c>
      <c r="S1210" t="s">
        <v>42</v>
      </c>
      <c r="T1210" s="2">
        <v>3986</v>
      </c>
      <c r="U1210" s="2">
        <v>11912</v>
      </c>
      <c r="V1210">
        <v>1</v>
      </c>
      <c r="W1210" t="s">
        <v>38</v>
      </c>
      <c r="X1210">
        <v>14</v>
      </c>
      <c r="Y1210">
        <v>3</v>
      </c>
      <c r="Z1210">
        <v>3</v>
      </c>
      <c r="AA1210">
        <v>80</v>
      </c>
      <c r="AB1210">
        <v>1</v>
      </c>
      <c r="AC1210">
        <v>15</v>
      </c>
      <c r="AD1210">
        <v>3</v>
      </c>
      <c r="AE1210">
        <v>4</v>
      </c>
      <c r="AF1210">
        <v>15</v>
      </c>
      <c r="AG1210">
        <v>10</v>
      </c>
      <c r="AH1210">
        <v>4</v>
      </c>
      <c r="AI1210">
        <v>13</v>
      </c>
    </row>
    <row r="1211" spans="1:35" x14ac:dyDescent="0.25">
      <c r="A1211">
        <v>60</v>
      </c>
      <c r="B1211" t="str">
        <f t="shared" si="36"/>
        <v>55-64</v>
      </c>
      <c r="C1211" s="1" t="s">
        <v>38</v>
      </c>
      <c r="D1211" s="17">
        <f>IF(Table1[[#This Row],[Attrition]]="Yes",1,0)</f>
        <v>0</v>
      </c>
      <c r="E1211" t="s">
        <v>57</v>
      </c>
      <c r="F1211" s="2">
        <v>370</v>
      </c>
      <c r="G1211" t="s">
        <v>39</v>
      </c>
      <c r="H1211">
        <v>1</v>
      </c>
      <c r="I1211">
        <v>4</v>
      </c>
      <c r="J1211" t="str">
        <f t="shared" si="37"/>
        <v>Master</v>
      </c>
      <c r="K1211" t="s">
        <v>45</v>
      </c>
      <c r="L1211">
        <v>3</v>
      </c>
      <c r="M1211" t="s">
        <v>40</v>
      </c>
      <c r="N1211" s="2">
        <v>92</v>
      </c>
      <c r="O1211">
        <v>1</v>
      </c>
      <c r="P1211">
        <v>3</v>
      </c>
      <c r="Q1211" t="s">
        <v>48</v>
      </c>
      <c r="R1211">
        <v>4</v>
      </c>
      <c r="S1211" t="s">
        <v>46</v>
      </c>
      <c r="T1211" s="2">
        <v>10883</v>
      </c>
      <c r="U1211" s="2">
        <v>20467</v>
      </c>
      <c r="V1211">
        <v>3</v>
      </c>
      <c r="W1211" t="s">
        <v>38</v>
      </c>
      <c r="X1211">
        <v>20</v>
      </c>
      <c r="Y1211">
        <v>4</v>
      </c>
      <c r="Z1211">
        <v>3</v>
      </c>
      <c r="AA1211">
        <v>80</v>
      </c>
      <c r="AB1211">
        <v>1</v>
      </c>
      <c r="AC1211">
        <v>19</v>
      </c>
      <c r="AD1211">
        <v>2</v>
      </c>
      <c r="AE1211">
        <v>4</v>
      </c>
      <c r="AF1211">
        <v>1</v>
      </c>
      <c r="AG1211">
        <v>0</v>
      </c>
      <c r="AH1211">
        <v>0</v>
      </c>
      <c r="AI1211">
        <v>0</v>
      </c>
    </row>
    <row r="1212" spans="1:35" x14ac:dyDescent="0.25">
      <c r="A1212">
        <v>33</v>
      </c>
      <c r="B1212" t="str">
        <f t="shared" si="36"/>
        <v>25-34</v>
      </c>
      <c r="C1212" s="1" t="s">
        <v>38</v>
      </c>
      <c r="D1212" s="17">
        <f>IF(Table1[[#This Row],[Attrition]]="Yes",1,0)</f>
        <v>0</v>
      </c>
      <c r="E1212" t="s">
        <v>57</v>
      </c>
      <c r="F1212" s="2">
        <v>267</v>
      </c>
      <c r="G1212" t="s">
        <v>39</v>
      </c>
      <c r="H1212">
        <v>21</v>
      </c>
      <c r="I1212">
        <v>3</v>
      </c>
      <c r="J1212" t="str">
        <f t="shared" si="37"/>
        <v>Bachelor</v>
      </c>
      <c r="K1212" t="s">
        <v>45</v>
      </c>
      <c r="L1212">
        <v>2</v>
      </c>
      <c r="M1212" t="s">
        <v>40</v>
      </c>
      <c r="N1212" s="2">
        <v>79</v>
      </c>
      <c r="O1212">
        <v>4</v>
      </c>
      <c r="P1212">
        <v>1</v>
      </c>
      <c r="Q1212" t="s">
        <v>44</v>
      </c>
      <c r="R1212">
        <v>2</v>
      </c>
      <c r="S1212" t="s">
        <v>42</v>
      </c>
      <c r="T1212" s="2">
        <v>2028</v>
      </c>
      <c r="U1212" s="2">
        <v>13637</v>
      </c>
      <c r="V1212">
        <v>1</v>
      </c>
      <c r="W1212" t="s">
        <v>38</v>
      </c>
      <c r="X1212">
        <v>18</v>
      </c>
      <c r="Y1212">
        <v>3</v>
      </c>
      <c r="Z1212">
        <v>4</v>
      </c>
      <c r="AA1212">
        <v>80</v>
      </c>
      <c r="AB1212">
        <v>3</v>
      </c>
      <c r="AC1212">
        <v>14</v>
      </c>
      <c r="AD1212">
        <v>6</v>
      </c>
      <c r="AE1212">
        <v>3</v>
      </c>
      <c r="AF1212">
        <v>14</v>
      </c>
      <c r="AG1212">
        <v>11</v>
      </c>
      <c r="AH1212">
        <v>2</v>
      </c>
      <c r="AI1212">
        <v>13</v>
      </c>
    </row>
    <row r="1213" spans="1:35" x14ac:dyDescent="0.25">
      <c r="A1213">
        <v>37</v>
      </c>
      <c r="B1213" t="str">
        <f t="shared" si="36"/>
        <v>35-44</v>
      </c>
      <c r="C1213" s="1" t="s">
        <v>38</v>
      </c>
      <c r="D1213" s="17">
        <f>IF(Table1[[#This Row],[Attrition]]="Yes",1,0)</f>
        <v>0</v>
      </c>
      <c r="E1213" t="s">
        <v>58</v>
      </c>
      <c r="F1213" s="2">
        <v>1278</v>
      </c>
      <c r="G1213" t="s">
        <v>33</v>
      </c>
      <c r="H1213">
        <v>1</v>
      </c>
      <c r="I1213">
        <v>4</v>
      </c>
      <c r="J1213" t="str">
        <f t="shared" si="37"/>
        <v>Master</v>
      </c>
      <c r="K1213" t="s">
        <v>45</v>
      </c>
      <c r="L1213">
        <v>3</v>
      </c>
      <c r="M1213" t="s">
        <v>40</v>
      </c>
      <c r="N1213" s="2">
        <v>31</v>
      </c>
      <c r="O1213">
        <v>1</v>
      </c>
      <c r="P1213">
        <v>2</v>
      </c>
      <c r="Q1213" t="s">
        <v>36</v>
      </c>
      <c r="R1213">
        <v>4</v>
      </c>
      <c r="S1213" t="s">
        <v>46</v>
      </c>
      <c r="T1213" s="2">
        <v>9525</v>
      </c>
      <c r="U1213" s="2">
        <v>7677</v>
      </c>
      <c r="V1213">
        <v>1</v>
      </c>
      <c r="W1213" t="s">
        <v>38</v>
      </c>
      <c r="X1213">
        <v>14</v>
      </c>
      <c r="Y1213">
        <v>3</v>
      </c>
      <c r="Z1213">
        <v>3</v>
      </c>
      <c r="AA1213">
        <v>80</v>
      </c>
      <c r="AB1213">
        <v>2</v>
      </c>
      <c r="AC1213">
        <v>6</v>
      </c>
      <c r="AD1213">
        <v>2</v>
      </c>
      <c r="AE1213">
        <v>2</v>
      </c>
      <c r="AF1213">
        <v>6</v>
      </c>
      <c r="AG1213">
        <v>3</v>
      </c>
      <c r="AH1213">
        <v>1</v>
      </c>
      <c r="AI1213">
        <v>3</v>
      </c>
    </row>
    <row r="1214" spans="1:35" x14ac:dyDescent="0.25">
      <c r="A1214">
        <v>34</v>
      </c>
      <c r="B1214" t="str">
        <f t="shared" si="36"/>
        <v>25-34</v>
      </c>
      <c r="C1214" s="1" t="s">
        <v>38</v>
      </c>
      <c r="D1214" s="17">
        <f>IF(Table1[[#This Row],[Attrition]]="Yes",1,0)</f>
        <v>0</v>
      </c>
      <c r="E1214" t="s">
        <v>57</v>
      </c>
      <c r="F1214" s="2">
        <v>678</v>
      </c>
      <c r="G1214" t="s">
        <v>39</v>
      </c>
      <c r="H1214">
        <v>19</v>
      </c>
      <c r="I1214">
        <v>3</v>
      </c>
      <c r="J1214" t="str">
        <f t="shared" si="37"/>
        <v>Bachelor</v>
      </c>
      <c r="K1214" t="s">
        <v>34</v>
      </c>
      <c r="L1214">
        <v>2</v>
      </c>
      <c r="M1214" t="s">
        <v>35</v>
      </c>
      <c r="N1214" s="2">
        <v>35</v>
      </c>
      <c r="O1214">
        <v>2</v>
      </c>
      <c r="P1214">
        <v>1</v>
      </c>
      <c r="Q1214" t="s">
        <v>41</v>
      </c>
      <c r="R1214">
        <v>4</v>
      </c>
      <c r="S1214" t="s">
        <v>42</v>
      </c>
      <c r="T1214" s="2">
        <v>2929</v>
      </c>
      <c r="U1214" s="2">
        <v>20338</v>
      </c>
      <c r="V1214">
        <v>1</v>
      </c>
      <c r="W1214" t="s">
        <v>38</v>
      </c>
      <c r="X1214">
        <v>12</v>
      </c>
      <c r="Y1214">
        <v>3</v>
      </c>
      <c r="Z1214">
        <v>2</v>
      </c>
      <c r="AA1214">
        <v>80</v>
      </c>
      <c r="AB1214">
        <v>0</v>
      </c>
      <c r="AC1214">
        <v>10</v>
      </c>
      <c r="AD1214">
        <v>3</v>
      </c>
      <c r="AE1214">
        <v>3</v>
      </c>
      <c r="AF1214">
        <v>10</v>
      </c>
      <c r="AG1214">
        <v>9</v>
      </c>
      <c r="AH1214">
        <v>8</v>
      </c>
      <c r="AI1214">
        <v>7</v>
      </c>
    </row>
    <row r="1215" spans="1:35" x14ac:dyDescent="0.25">
      <c r="A1215">
        <v>23</v>
      </c>
      <c r="B1215" t="str">
        <f t="shared" si="36"/>
        <v>18-24</v>
      </c>
      <c r="C1215" s="1" t="s">
        <v>32</v>
      </c>
      <c r="D1215" s="17">
        <f>IF(Table1[[#This Row],[Attrition]]="Yes",1,0)</f>
        <v>1</v>
      </c>
      <c r="E1215" t="s">
        <v>57</v>
      </c>
      <c r="F1215" s="2">
        <v>427</v>
      </c>
      <c r="G1215" t="s">
        <v>33</v>
      </c>
      <c r="H1215">
        <v>7</v>
      </c>
      <c r="I1215">
        <v>3</v>
      </c>
      <c r="J1215" t="str">
        <f t="shared" si="37"/>
        <v>Bachelor</v>
      </c>
      <c r="K1215" t="s">
        <v>34</v>
      </c>
      <c r="L1215">
        <v>3</v>
      </c>
      <c r="M1215" t="s">
        <v>40</v>
      </c>
      <c r="N1215" s="2">
        <v>99</v>
      </c>
      <c r="O1215">
        <v>3</v>
      </c>
      <c r="P1215">
        <v>1</v>
      </c>
      <c r="Q1215" t="s">
        <v>51</v>
      </c>
      <c r="R1215">
        <v>4</v>
      </c>
      <c r="S1215" t="s">
        <v>46</v>
      </c>
      <c r="T1215" s="2">
        <v>2275</v>
      </c>
      <c r="U1215" s="2">
        <v>25103</v>
      </c>
      <c r="V1215">
        <v>1</v>
      </c>
      <c r="W1215" t="s">
        <v>32</v>
      </c>
      <c r="X1215">
        <v>21</v>
      </c>
      <c r="Y1215">
        <v>4</v>
      </c>
      <c r="Z1215">
        <v>2</v>
      </c>
      <c r="AA1215">
        <v>80</v>
      </c>
      <c r="AB1215">
        <v>1</v>
      </c>
      <c r="AC1215">
        <v>3</v>
      </c>
      <c r="AD1215">
        <v>2</v>
      </c>
      <c r="AE1215">
        <v>3</v>
      </c>
      <c r="AF1215">
        <v>3</v>
      </c>
      <c r="AG1215">
        <v>2</v>
      </c>
      <c r="AH1215">
        <v>0</v>
      </c>
      <c r="AI1215">
        <v>2</v>
      </c>
    </row>
    <row r="1216" spans="1:35" x14ac:dyDescent="0.25">
      <c r="A1216">
        <v>44</v>
      </c>
      <c r="B1216" t="str">
        <f t="shared" si="36"/>
        <v>35-44</v>
      </c>
      <c r="C1216" s="1" t="s">
        <v>38</v>
      </c>
      <c r="D1216" s="17">
        <f>IF(Table1[[#This Row],[Attrition]]="Yes",1,0)</f>
        <v>0</v>
      </c>
      <c r="E1216" t="s">
        <v>57</v>
      </c>
      <c r="F1216" s="2">
        <v>921</v>
      </c>
      <c r="G1216" t="s">
        <v>39</v>
      </c>
      <c r="H1216">
        <v>2</v>
      </c>
      <c r="I1216">
        <v>3</v>
      </c>
      <c r="J1216" t="str">
        <f t="shared" si="37"/>
        <v>Bachelor</v>
      </c>
      <c r="K1216" t="s">
        <v>34</v>
      </c>
      <c r="L1216">
        <v>3</v>
      </c>
      <c r="M1216" t="s">
        <v>35</v>
      </c>
      <c r="N1216" s="2">
        <v>96</v>
      </c>
      <c r="O1216">
        <v>4</v>
      </c>
      <c r="P1216">
        <v>3</v>
      </c>
      <c r="Q1216" t="s">
        <v>48</v>
      </c>
      <c r="R1216">
        <v>4</v>
      </c>
      <c r="S1216" t="s">
        <v>42</v>
      </c>
      <c r="T1216" s="2">
        <v>7879</v>
      </c>
      <c r="U1216" s="2">
        <v>14810</v>
      </c>
      <c r="V1216">
        <v>1</v>
      </c>
      <c r="W1216" t="s">
        <v>32</v>
      </c>
      <c r="X1216">
        <v>19</v>
      </c>
      <c r="Y1216">
        <v>3</v>
      </c>
      <c r="Z1216">
        <v>2</v>
      </c>
      <c r="AA1216">
        <v>80</v>
      </c>
      <c r="AB1216">
        <v>1</v>
      </c>
      <c r="AC1216">
        <v>9</v>
      </c>
      <c r="AD1216">
        <v>2</v>
      </c>
      <c r="AE1216">
        <v>3</v>
      </c>
      <c r="AF1216">
        <v>8</v>
      </c>
      <c r="AG1216">
        <v>7</v>
      </c>
      <c r="AH1216">
        <v>6</v>
      </c>
      <c r="AI1216">
        <v>7</v>
      </c>
    </row>
    <row r="1217" spans="1:35" x14ac:dyDescent="0.25">
      <c r="A1217">
        <v>35</v>
      </c>
      <c r="B1217" t="str">
        <f t="shared" si="36"/>
        <v>35-44</v>
      </c>
      <c r="C1217" s="1" t="s">
        <v>38</v>
      </c>
      <c r="D1217" s="17">
        <f>IF(Table1[[#This Row],[Attrition]]="Yes",1,0)</f>
        <v>0</v>
      </c>
      <c r="E1217" t="s">
        <v>58</v>
      </c>
      <c r="F1217" s="2">
        <v>146</v>
      </c>
      <c r="G1217" t="s">
        <v>39</v>
      </c>
      <c r="H1217">
        <v>2</v>
      </c>
      <c r="I1217">
        <v>4</v>
      </c>
      <c r="J1217" t="str">
        <f t="shared" si="37"/>
        <v>Master</v>
      </c>
      <c r="K1217" t="s">
        <v>45</v>
      </c>
      <c r="L1217">
        <v>1</v>
      </c>
      <c r="M1217" t="s">
        <v>40</v>
      </c>
      <c r="N1217" s="2">
        <v>79</v>
      </c>
      <c r="O1217">
        <v>2</v>
      </c>
      <c r="P1217">
        <v>1</v>
      </c>
      <c r="Q1217" t="s">
        <v>41</v>
      </c>
      <c r="R1217">
        <v>4</v>
      </c>
      <c r="S1217" t="s">
        <v>37</v>
      </c>
      <c r="T1217" s="2">
        <v>4930</v>
      </c>
      <c r="U1217" s="2">
        <v>13970</v>
      </c>
      <c r="V1217">
        <v>0</v>
      </c>
      <c r="W1217" t="s">
        <v>32</v>
      </c>
      <c r="X1217">
        <v>14</v>
      </c>
      <c r="Y1217">
        <v>3</v>
      </c>
      <c r="Z1217">
        <v>3</v>
      </c>
      <c r="AA1217">
        <v>80</v>
      </c>
      <c r="AB1217">
        <v>0</v>
      </c>
      <c r="AC1217">
        <v>6</v>
      </c>
      <c r="AD1217">
        <v>2</v>
      </c>
      <c r="AE1217">
        <v>4</v>
      </c>
      <c r="AF1217">
        <v>5</v>
      </c>
      <c r="AG1217">
        <v>4</v>
      </c>
      <c r="AH1217">
        <v>1</v>
      </c>
      <c r="AI1217">
        <v>4</v>
      </c>
    </row>
    <row r="1218" spans="1:35" x14ac:dyDescent="0.25">
      <c r="A1218">
        <v>43</v>
      </c>
      <c r="B1218" t="str">
        <f t="shared" ref="B1218:B1281" si="38">IF(A1218="","",IF(A1218&lt;25,"18-24",
 IF(A1218&lt;35,"25-34",
 IF(A1218&lt;45,"35-44",
 IF(A1218&lt;55,"45-54",
 IF(A1218&lt;65,"55-64","65+"))))))</f>
        <v>35-44</v>
      </c>
      <c r="C1218" s="1" t="s">
        <v>38</v>
      </c>
      <c r="D1218" s="17">
        <f>IF(Table1[[#This Row],[Attrition]]="Yes",1,0)</f>
        <v>0</v>
      </c>
      <c r="E1218" t="s">
        <v>57</v>
      </c>
      <c r="F1218" s="2">
        <v>1179</v>
      </c>
      <c r="G1218" t="s">
        <v>33</v>
      </c>
      <c r="H1218">
        <v>2</v>
      </c>
      <c r="I1218">
        <v>3</v>
      </c>
      <c r="J1218" t="str">
        <f t="shared" ref="J1218:J1281" si="39">CHOOSE(I1218,"Below College","College","Bachelor","Master","Doctor")</f>
        <v>Bachelor</v>
      </c>
      <c r="K1218" t="s">
        <v>45</v>
      </c>
      <c r="L1218">
        <v>4</v>
      </c>
      <c r="M1218" t="s">
        <v>40</v>
      </c>
      <c r="N1218" s="2">
        <v>73</v>
      </c>
      <c r="O1218">
        <v>3</v>
      </c>
      <c r="P1218">
        <v>2</v>
      </c>
      <c r="Q1218" t="s">
        <v>36</v>
      </c>
      <c r="R1218">
        <v>4</v>
      </c>
      <c r="S1218" t="s">
        <v>42</v>
      </c>
      <c r="T1218" s="2">
        <v>7847</v>
      </c>
      <c r="U1218" s="2">
        <v>6069</v>
      </c>
      <c r="V1218">
        <v>1</v>
      </c>
      <c r="W1218" t="s">
        <v>32</v>
      </c>
      <c r="X1218">
        <v>17</v>
      </c>
      <c r="Y1218">
        <v>3</v>
      </c>
      <c r="Z1218">
        <v>1</v>
      </c>
      <c r="AA1218">
        <v>80</v>
      </c>
      <c r="AB1218">
        <v>1</v>
      </c>
      <c r="AC1218">
        <v>10</v>
      </c>
      <c r="AD1218">
        <v>3</v>
      </c>
      <c r="AE1218">
        <v>3</v>
      </c>
      <c r="AF1218">
        <v>10</v>
      </c>
      <c r="AG1218">
        <v>9</v>
      </c>
      <c r="AH1218">
        <v>8</v>
      </c>
      <c r="AI1218">
        <v>8</v>
      </c>
    </row>
    <row r="1219" spans="1:35" x14ac:dyDescent="0.25">
      <c r="A1219">
        <v>24</v>
      </c>
      <c r="B1219" t="str">
        <f t="shared" si="38"/>
        <v>18-24</v>
      </c>
      <c r="C1219" s="1" t="s">
        <v>38</v>
      </c>
      <c r="D1219" s="17">
        <f>IF(Table1[[#This Row],[Attrition]]="Yes",1,0)</f>
        <v>0</v>
      </c>
      <c r="E1219" t="s">
        <v>57</v>
      </c>
      <c r="F1219" s="2">
        <v>581</v>
      </c>
      <c r="G1219" t="s">
        <v>39</v>
      </c>
      <c r="H1219">
        <v>9</v>
      </c>
      <c r="I1219">
        <v>3</v>
      </c>
      <c r="J1219" t="str">
        <f t="shared" si="39"/>
        <v>Bachelor</v>
      </c>
      <c r="K1219" t="s">
        <v>45</v>
      </c>
      <c r="L1219">
        <v>3</v>
      </c>
      <c r="M1219" t="s">
        <v>40</v>
      </c>
      <c r="N1219" s="2">
        <v>62</v>
      </c>
      <c r="O1219">
        <v>4</v>
      </c>
      <c r="P1219">
        <v>1</v>
      </c>
      <c r="Q1219" t="s">
        <v>41</v>
      </c>
      <c r="R1219">
        <v>3</v>
      </c>
      <c r="S1219" t="s">
        <v>42</v>
      </c>
      <c r="T1219" s="2">
        <v>4401</v>
      </c>
      <c r="U1219" s="2">
        <v>17616</v>
      </c>
      <c r="V1219">
        <v>1</v>
      </c>
      <c r="W1219" t="s">
        <v>38</v>
      </c>
      <c r="X1219">
        <v>16</v>
      </c>
      <c r="Y1219">
        <v>3</v>
      </c>
      <c r="Z1219">
        <v>4</v>
      </c>
      <c r="AA1219">
        <v>80</v>
      </c>
      <c r="AB1219">
        <v>1</v>
      </c>
      <c r="AC1219">
        <v>5</v>
      </c>
      <c r="AD1219">
        <v>1</v>
      </c>
      <c r="AE1219">
        <v>3</v>
      </c>
      <c r="AF1219">
        <v>5</v>
      </c>
      <c r="AG1219">
        <v>3</v>
      </c>
      <c r="AH1219">
        <v>0</v>
      </c>
      <c r="AI1219">
        <v>4</v>
      </c>
    </row>
    <row r="1220" spans="1:35" x14ac:dyDescent="0.25">
      <c r="A1220">
        <v>41</v>
      </c>
      <c r="B1220" t="str">
        <f t="shared" si="38"/>
        <v>35-44</v>
      </c>
      <c r="C1220" s="1" t="s">
        <v>38</v>
      </c>
      <c r="D1220" s="17">
        <f>IF(Table1[[#This Row],[Attrition]]="Yes",1,0)</f>
        <v>0</v>
      </c>
      <c r="E1220" t="s">
        <v>57</v>
      </c>
      <c r="F1220" s="2">
        <v>918</v>
      </c>
      <c r="G1220" t="s">
        <v>33</v>
      </c>
      <c r="H1220">
        <v>6</v>
      </c>
      <c r="I1220">
        <v>3</v>
      </c>
      <c r="J1220" t="str">
        <f t="shared" si="39"/>
        <v>Bachelor</v>
      </c>
      <c r="K1220" t="s">
        <v>53</v>
      </c>
      <c r="L1220">
        <v>4</v>
      </c>
      <c r="M1220" t="s">
        <v>40</v>
      </c>
      <c r="N1220" s="2">
        <v>35</v>
      </c>
      <c r="O1220">
        <v>3</v>
      </c>
      <c r="P1220">
        <v>3</v>
      </c>
      <c r="Q1220" t="s">
        <v>36</v>
      </c>
      <c r="R1220">
        <v>3</v>
      </c>
      <c r="S1220" t="s">
        <v>37</v>
      </c>
      <c r="T1220" s="2">
        <v>9241</v>
      </c>
      <c r="U1220" s="2">
        <v>15869</v>
      </c>
      <c r="V1220">
        <v>1</v>
      </c>
      <c r="W1220" t="s">
        <v>38</v>
      </c>
      <c r="X1220">
        <v>12</v>
      </c>
      <c r="Y1220">
        <v>3</v>
      </c>
      <c r="Z1220">
        <v>2</v>
      </c>
      <c r="AA1220">
        <v>80</v>
      </c>
      <c r="AB1220">
        <v>0</v>
      </c>
      <c r="AC1220">
        <v>10</v>
      </c>
      <c r="AD1220">
        <v>3</v>
      </c>
      <c r="AE1220">
        <v>3</v>
      </c>
      <c r="AF1220">
        <v>10</v>
      </c>
      <c r="AG1220">
        <v>8</v>
      </c>
      <c r="AH1220">
        <v>8</v>
      </c>
      <c r="AI1220">
        <v>7</v>
      </c>
    </row>
    <row r="1221" spans="1:35" x14ac:dyDescent="0.25">
      <c r="A1221">
        <v>29</v>
      </c>
      <c r="B1221" t="str">
        <f t="shared" si="38"/>
        <v>25-34</v>
      </c>
      <c r="C1221" s="1" t="s">
        <v>38</v>
      </c>
      <c r="D1221" s="17">
        <f>IF(Table1[[#This Row],[Attrition]]="Yes",1,0)</f>
        <v>0</v>
      </c>
      <c r="E1221" t="s">
        <v>57</v>
      </c>
      <c r="F1221" s="2">
        <v>1082</v>
      </c>
      <c r="G1221" t="s">
        <v>39</v>
      </c>
      <c r="H1221">
        <v>9</v>
      </c>
      <c r="I1221">
        <v>4</v>
      </c>
      <c r="J1221" t="str">
        <f t="shared" si="39"/>
        <v>Master</v>
      </c>
      <c r="K1221" t="s">
        <v>45</v>
      </c>
      <c r="L1221">
        <v>4</v>
      </c>
      <c r="M1221" t="s">
        <v>35</v>
      </c>
      <c r="N1221" s="2">
        <v>43</v>
      </c>
      <c r="O1221">
        <v>3</v>
      </c>
      <c r="P1221">
        <v>1</v>
      </c>
      <c r="Q1221" t="s">
        <v>44</v>
      </c>
      <c r="R1221">
        <v>3</v>
      </c>
      <c r="S1221" t="s">
        <v>42</v>
      </c>
      <c r="T1221" s="2">
        <v>2974</v>
      </c>
      <c r="U1221" s="2">
        <v>25412</v>
      </c>
      <c r="V1221">
        <v>9</v>
      </c>
      <c r="W1221" t="s">
        <v>38</v>
      </c>
      <c r="X1221">
        <v>17</v>
      </c>
      <c r="Y1221">
        <v>3</v>
      </c>
      <c r="Z1221">
        <v>3</v>
      </c>
      <c r="AA1221">
        <v>80</v>
      </c>
      <c r="AB1221">
        <v>1</v>
      </c>
      <c r="AC1221">
        <v>9</v>
      </c>
      <c r="AD1221">
        <v>2</v>
      </c>
      <c r="AE1221">
        <v>3</v>
      </c>
      <c r="AF1221">
        <v>5</v>
      </c>
      <c r="AG1221">
        <v>3</v>
      </c>
      <c r="AH1221">
        <v>1</v>
      </c>
      <c r="AI1221">
        <v>2</v>
      </c>
    </row>
    <row r="1222" spans="1:35" x14ac:dyDescent="0.25">
      <c r="A1222">
        <v>36</v>
      </c>
      <c r="B1222" t="str">
        <f t="shared" si="38"/>
        <v>35-44</v>
      </c>
      <c r="C1222" s="1" t="s">
        <v>38</v>
      </c>
      <c r="D1222" s="17">
        <f>IF(Table1[[#This Row],[Attrition]]="Yes",1,0)</f>
        <v>0</v>
      </c>
      <c r="E1222" t="s">
        <v>57</v>
      </c>
      <c r="F1222" s="2">
        <v>530</v>
      </c>
      <c r="G1222" t="s">
        <v>33</v>
      </c>
      <c r="H1222">
        <v>2</v>
      </c>
      <c r="I1222">
        <v>4</v>
      </c>
      <c r="J1222" t="str">
        <f t="shared" si="39"/>
        <v>Master</v>
      </c>
      <c r="K1222" t="s">
        <v>34</v>
      </c>
      <c r="L1222">
        <v>3</v>
      </c>
      <c r="M1222" t="s">
        <v>35</v>
      </c>
      <c r="N1222" s="2">
        <v>51</v>
      </c>
      <c r="O1222">
        <v>3</v>
      </c>
      <c r="P1222">
        <v>2</v>
      </c>
      <c r="Q1222" t="s">
        <v>51</v>
      </c>
      <c r="R1222">
        <v>4</v>
      </c>
      <c r="S1222" t="s">
        <v>37</v>
      </c>
      <c r="T1222" s="2">
        <v>4502</v>
      </c>
      <c r="U1222" s="2">
        <v>7439</v>
      </c>
      <c r="V1222">
        <v>3</v>
      </c>
      <c r="W1222" t="s">
        <v>38</v>
      </c>
      <c r="X1222">
        <v>15</v>
      </c>
      <c r="Y1222">
        <v>3</v>
      </c>
      <c r="Z1222">
        <v>3</v>
      </c>
      <c r="AA1222">
        <v>80</v>
      </c>
      <c r="AB1222">
        <v>0</v>
      </c>
      <c r="AC1222">
        <v>17</v>
      </c>
      <c r="AD1222">
        <v>2</v>
      </c>
      <c r="AE1222">
        <v>2</v>
      </c>
      <c r="AF1222">
        <v>13</v>
      </c>
      <c r="AG1222">
        <v>7</v>
      </c>
      <c r="AH1222">
        <v>6</v>
      </c>
      <c r="AI1222">
        <v>7</v>
      </c>
    </row>
    <row r="1223" spans="1:35" x14ac:dyDescent="0.25">
      <c r="A1223">
        <v>45</v>
      </c>
      <c r="B1223" t="str">
        <f t="shared" si="38"/>
        <v>45-54</v>
      </c>
      <c r="C1223" s="1" t="s">
        <v>38</v>
      </c>
      <c r="D1223" s="17">
        <f>IF(Table1[[#This Row],[Attrition]]="Yes",1,0)</f>
        <v>0</v>
      </c>
      <c r="E1223" t="s">
        <v>49</v>
      </c>
      <c r="F1223" s="2">
        <v>1238</v>
      </c>
      <c r="G1223" t="s">
        <v>39</v>
      </c>
      <c r="H1223">
        <v>1</v>
      </c>
      <c r="I1223">
        <v>1</v>
      </c>
      <c r="J1223" t="str">
        <f t="shared" si="39"/>
        <v>Below College</v>
      </c>
      <c r="K1223" t="s">
        <v>34</v>
      </c>
      <c r="L1223">
        <v>3</v>
      </c>
      <c r="M1223" t="s">
        <v>40</v>
      </c>
      <c r="N1223" s="2">
        <v>74</v>
      </c>
      <c r="O1223">
        <v>2</v>
      </c>
      <c r="P1223">
        <v>3</v>
      </c>
      <c r="Q1223" t="s">
        <v>48</v>
      </c>
      <c r="R1223">
        <v>3</v>
      </c>
      <c r="S1223" t="s">
        <v>42</v>
      </c>
      <c r="T1223" s="2">
        <v>10748</v>
      </c>
      <c r="U1223" s="2">
        <v>3395</v>
      </c>
      <c r="V1223">
        <v>3</v>
      </c>
      <c r="W1223" t="s">
        <v>38</v>
      </c>
      <c r="X1223">
        <v>23</v>
      </c>
      <c r="Y1223">
        <v>4</v>
      </c>
      <c r="Z1223">
        <v>4</v>
      </c>
      <c r="AA1223">
        <v>80</v>
      </c>
      <c r="AB1223">
        <v>1</v>
      </c>
      <c r="AC1223">
        <v>25</v>
      </c>
      <c r="AD1223">
        <v>3</v>
      </c>
      <c r="AE1223">
        <v>2</v>
      </c>
      <c r="AF1223">
        <v>23</v>
      </c>
      <c r="AG1223">
        <v>15</v>
      </c>
      <c r="AH1223">
        <v>14</v>
      </c>
      <c r="AI1223">
        <v>4</v>
      </c>
    </row>
    <row r="1224" spans="1:35" x14ac:dyDescent="0.25">
      <c r="A1224">
        <v>24</v>
      </c>
      <c r="B1224" t="str">
        <f t="shared" si="38"/>
        <v>18-24</v>
      </c>
      <c r="C1224" s="1" t="s">
        <v>32</v>
      </c>
      <c r="D1224" s="17">
        <f>IF(Table1[[#This Row],[Attrition]]="Yes",1,0)</f>
        <v>1</v>
      </c>
      <c r="E1224" t="s">
        <v>57</v>
      </c>
      <c r="F1224" s="2">
        <v>240</v>
      </c>
      <c r="G1224" t="s">
        <v>55</v>
      </c>
      <c r="H1224">
        <v>22</v>
      </c>
      <c r="I1224">
        <v>1</v>
      </c>
      <c r="J1224" t="str">
        <f t="shared" si="39"/>
        <v>Below College</v>
      </c>
      <c r="K1224" t="s">
        <v>55</v>
      </c>
      <c r="L1224">
        <v>4</v>
      </c>
      <c r="M1224" t="s">
        <v>40</v>
      </c>
      <c r="N1224" s="2">
        <v>58</v>
      </c>
      <c r="O1224">
        <v>1</v>
      </c>
      <c r="P1224">
        <v>1</v>
      </c>
      <c r="Q1224" t="s">
        <v>55</v>
      </c>
      <c r="R1224">
        <v>3</v>
      </c>
      <c r="S1224" t="s">
        <v>42</v>
      </c>
      <c r="T1224" s="2">
        <v>1555</v>
      </c>
      <c r="U1224" s="2">
        <v>11585</v>
      </c>
      <c r="V1224">
        <v>1</v>
      </c>
      <c r="W1224" t="s">
        <v>38</v>
      </c>
      <c r="X1224">
        <v>11</v>
      </c>
      <c r="Y1224">
        <v>3</v>
      </c>
      <c r="Z1224">
        <v>3</v>
      </c>
      <c r="AA1224">
        <v>80</v>
      </c>
      <c r="AB1224">
        <v>1</v>
      </c>
      <c r="AC1224">
        <v>1</v>
      </c>
      <c r="AD1224">
        <v>2</v>
      </c>
      <c r="AE1224">
        <v>3</v>
      </c>
      <c r="AF1224">
        <v>1</v>
      </c>
      <c r="AG1224">
        <v>0</v>
      </c>
      <c r="AH1224">
        <v>0</v>
      </c>
      <c r="AI1224">
        <v>0</v>
      </c>
    </row>
    <row r="1225" spans="1:35" x14ac:dyDescent="0.25">
      <c r="A1225">
        <v>47</v>
      </c>
      <c r="B1225" t="str">
        <f t="shared" si="38"/>
        <v>45-54</v>
      </c>
      <c r="C1225" s="1" t="s">
        <v>32</v>
      </c>
      <c r="D1225" s="17">
        <f>IF(Table1[[#This Row],[Attrition]]="Yes",1,0)</f>
        <v>1</v>
      </c>
      <c r="E1225" t="s">
        <v>58</v>
      </c>
      <c r="F1225" s="2">
        <v>1093</v>
      </c>
      <c r="G1225" t="s">
        <v>33</v>
      </c>
      <c r="H1225">
        <v>9</v>
      </c>
      <c r="I1225">
        <v>3</v>
      </c>
      <c r="J1225" t="str">
        <f t="shared" si="39"/>
        <v>Bachelor</v>
      </c>
      <c r="K1225" t="s">
        <v>34</v>
      </c>
      <c r="L1225">
        <v>3</v>
      </c>
      <c r="M1225" t="s">
        <v>40</v>
      </c>
      <c r="N1225" s="2">
        <v>82</v>
      </c>
      <c r="O1225">
        <v>1</v>
      </c>
      <c r="P1225">
        <v>4</v>
      </c>
      <c r="Q1225" t="s">
        <v>36</v>
      </c>
      <c r="R1225">
        <v>3</v>
      </c>
      <c r="S1225" t="s">
        <v>42</v>
      </c>
      <c r="T1225" s="2">
        <v>12936</v>
      </c>
      <c r="U1225" s="2">
        <v>24164</v>
      </c>
      <c r="V1225">
        <v>7</v>
      </c>
      <c r="W1225" t="s">
        <v>38</v>
      </c>
      <c r="X1225">
        <v>11</v>
      </c>
      <c r="Y1225">
        <v>3</v>
      </c>
      <c r="Z1225">
        <v>3</v>
      </c>
      <c r="AA1225">
        <v>80</v>
      </c>
      <c r="AB1225">
        <v>0</v>
      </c>
      <c r="AC1225">
        <v>25</v>
      </c>
      <c r="AD1225">
        <v>3</v>
      </c>
      <c r="AE1225">
        <v>1</v>
      </c>
      <c r="AF1225">
        <v>23</v>
      </c>
      <c r="AG1225">
        <v>5</v>
      </c>
      <c r="AH1225">
        <v>14</v>
      </c>
      <c r="AI1225">
        <v>10</v>
      </c>
    </row>
    <row r="1226" spans="1:35" x14ac:dyDescent="0.25">
      <c r="A1226">
        <v>26</v>
      </c>
      <c r="B1226" t="str">
        <f t="shared" si="38"/>
        <v>25-34</v>
      </c>
      <c r="C1226" s="1" t="s">
        <v>38</v>
      </c>
      <c r="D1226" s="17">
        <f>IF(Table1[[#This Row],[Attrition]]="Yes",1,0)</f>
        <v>0</v>
      </c>
      <c r="E1226" t="s">
        <v>57</v>
      </c>
      <c r="F1226" s="2">
        <v>390</v>
      </c>
      <c r="G1226" t="s">
        <v>39</v>
      </c>
      <c r="H1226">
        <v>17</v>
      </c>
      <c r="I1226">
        <v>4</v>
      </c>
      <c r="J1226" t="str">
        <f t="shared" si="39"/>
        <v>Master</v>
      </c>
      <c r="K1226" t="s">
        <v>45</v>
      </c>
      <c r="L1226">
        <v>4</v>
      </c>
      <c r="M1226" t="s">
        <v>40</v>
      </c>
      <c r="N1226" s="2">
        <v>62</v>
      </c>
      <c r="O1226">
        <v>1</v>
      </c>
      <c r="P1226">
        <v>1</v>
      </c>
      <c r="Q1226" t="s">
        <v>44</v>
      </c>
      <c r="R1226">
        <v>3</v>
      </c>
      <c r="S1226" t="s">
        <v>42</v>
      </c>
      <c r="T1226" s="2">
        <v>2305</v>
      </c>
      <c r="U1226" s="2">
        <v>6217</v>
      </c>
      <c r="V1226">
        <v>1</v>
      </c>
      <c r="W1226" t="s">
        <v>38</v>
      </c>
      <c r="X1226">
        <v>15</v>
      </c>
      <c r="Y1226">
        <v>3</v>
      </c>
      <c r="Z1226">
        <v>3</v>
      </c>
      <c r="AA1226">
        <v>80</v>
      </c>
      <c r="AB1226">
        <v>3</v>
      </c>
      <c r="AC1226">
        <v>3</v>
      </c>
      <c r="AD1226">
        <v>3</v>
      </c>
      <c r="AE1226">
        <v>4</v>
      </c>
      <c r="AF1226">
        <v>3</v>
      </c>
      <c r="AG1226">
        <v>2</v>
      </c>
      <c r="AH1226">
        <v>0</v>
      </c>
      <c r="AI1226">
        <v>2</v>
      </c>
    </row>
    <row r="1227" spans="1:35" x14ac:dyDescent="0.25">
      <c r="A1227">
        <v>45</v>
      </c>
      <c r="B1227" t="str">
        <f t="shared" si="38"/>
        <v>45-54</v>
      </c>
      <c r="C1227" s="1" t="s">
        <v>38</v>
      </c>
      <c r="D1227" s="17">
        <f>IF(Table1[[#This Row],[Attrition]]="Yes",1,0)</f>
        <v>0</v>
      </c>
      <c r="E1227" t="s">
        <v>57</v>
      </c>
      <c r="F1227" s="2">
        <v>1005</v>
      </c>
      <c r="G1227" t="s">
        <v>39</v>
      </c>
      <c r="H1227">
        <v>28</v>
      </c>
      <c r="I1227">
        <v>2</v>
      </c>
      <c r="J1227" t="str">
        <f t="shared" si="39"/>
        <v>College</v>
      </c>
      <c r="K1227" t="s">
        <v>54</v>
      </c>
      <c r="L1227">
        <v>4</v>
      </c>
      <c r="M1227" t="s">
        <v>35</v>
      </c>
      <c r="N1227" s="2">
        <v>48</v>
      </c>
      <c r="O1227">
        <v>2</v>
      </c>
      <c r="P1227">
        <v>4</v>
      </c>
      <c r="Q1227" t="s">
        <v>52</v>
      </c>
      <c r="R1227">
        <v>2</v>
      </c>
      <c r="S1227" t="s">
        <v>37</v>
      </c>
      <c r="T1227" s="2">
        <v>16704</v>
      </c>
      <c r="U1227" s="2">
        <v>17119</v>
      </c>
      <c r="V1227">
        <v>1</v>
      </c>
      <c r="W1227" t="s">
        <v>38</v>
      </c>
      <c r="X1227">
        <v>11</v>
      </c>
      <c r="Y1227">
        <v>3</v>
      </c>
      <c r="Z1227">
        <v>3</v>
      </c>
      <c r="AA1227">
        <v>80</v>
      </c>
      <c r="AB1227">
        <v>0</v>
      </c>
      <c r="AC1227">
        <v>21</v>
      </c>
      <c r="AD1227">
        <v>2</v>
      </c>
      <c r="AE1227">
        <v>3</v>
      </c>
      <c r="AF1227">
        <v>21</v>
      </c>
      <c r="AG1227">
        <v>6</v>
      </c>
      <c r="AH1227">
        <v>8</v>
      </c>
      <c r="AI1227">
        <v>6</v>
      </c>
    </row>
    <row r="1228" spans="1:35" x14ac:dyDescent="0.25">
      <c r="A1228">
        <v>32</v>
      </c>
      <c r="B1228" t="str">
        <f t="shared" si="38"/>
        <v>25-34</v>
      </c>
      <c r="C1228" s="1" t="s">
        <v>38</v>
      </c>
      <c r="D1228" s="17">
        <f>IF(Table1[[#This Row],[Attrition]]="Yes",1,0)</f>
        <v>0</v>
      </c>
      <c r="E1228" t="s">
        <v>58</v>
      </c>
      <c r="F1228" s="2">
        <v>585</v>
      </c>
      <c r="G1228" t="s">
        <v>39</v>
      </c>
      <c r="H1228">
        <v>10</v>
      </c>
      <c r="I1228">
        <v>3</v>
      </c>
      <c r="J1228" t="str">
        <f t="shared" si="39"/>
        <v>Bachelor</v>
      </c>
      <c r="K1228" t="s">
        <v>34</v>
      </c>
      <c r="L1228">
        <v>1</v>
      </c>
      <c r="M1228" t="s">
        <v>40</v>
      </c>
      <c r="N1228" s="2">
        <v>56</v>
      </c>
      <c r="O1228">
        <v>3</v>
      </c>
      <c r="P1228">
        <v>1</v>
      </c>
      <c r="Q1228" t="s">
        <v>41</v>
      </c>
      <c r="R1228">
        <v>3</v>
      </c>
      <c r="S1228" t="s">
        <v>42</v>
      </c>
      <c r="T1228" s="2">
        <v>3433</v>
      </c>
      <c r="U1228" s="2">
        <v>17360</v>
      </c>
      <c r="V1228">
        <v>6</v>
      </c>
      <c r="W1228" t="s">
        <v>38</v>
      </c>
      <c r="X1228">
        <v>13</v>
      </c>
      <c r="Y1228">
        <v>3</v>
      </c>
      <c r="Z1228">
        <v>1</v>
      </c>
      <c r="AA1228">
        <v>80</v>
      </c>
      <c r="AB1228">
        <v>1</v>
      </c>
      <c r="AC1228">
        <v>10</v>
      </c>
      <c r="AD1228">
        <v>3</v>
      </c>
      <c r="AE1228">
        <v>2</v>
      </c>
      <c r="AF1228">
        <v>5</v>
      </c>
      <c r="AG1228">
        <v>2</v>
      </c>
      <c r="AH1228">
        <v>1</v>
      </c>
      <c r="AI1228">
        <v>3</v>
      </c>
    </row>
    <row r="1229" spans="1:35" x14ac:dyDescent="0.25">
      <c r="A1229">
        <v>31</v>
      </c>
      <c r="B1229" t="str">
        <f t="shared" si="38"/>
        <v>25-34</v>
      </c>
      <c r="C1229" s="1" t="s">
        <v>38</v>
      </c>
      <c r="D1229" s="17">
        <f>IF(Table1[[#This Row],[Attrition]]="Yes",1,0)</f>
        <v>0</v>
      </c>
      <c r="E1229" t="s">
        <v>57</v>
      </c>
      <c r="F1229" s="2">
        <v>741</v>
      </c>
      <c r="G1229" t="s">
        <v>39</v>
      </c>
      <c r="H1229">
        <v>2</v>
      </c>
      <c r="I1229">
        <v>4</v>
      </c>
      <c r="J1229" t="str">
        <f t="shared" si="39"/>
        <v>Master</v>
      </c>
      <c r="K1229" t="s">
        <v>34</v>
      </c>
      <c r="L1229">
        <v>2</v>
      </c>
      <c r="M1229" t="s">
        <v>40</v>
      </c>
      <c r="N1229" s="2">
        <v>69</v>
      </c>
      <c r="O1229">
        <v>3</v>
      </c>
      <c r="P1229">
        <v>1</v>
      </c>
      <c r="Q1229" t="s">
        <v>44</v>
      </c>
      <c r="R1229">
        <v>3</v>
      </c>
      <c r="S1229" t="s">
        <v>42</v>
      </c>
      <c r="T1229" s="2">
        <v>3477</v>
      </c>
      <c r="U1229" s="2">
        <v>18103</v>
      </c>
      <c r="V1229">
        <v>1</v>
      </c>
      <c r="W1229" t="s">
        <v>38</v>
      </c>
      <c r="X1229">
        <v>14</v>
      </c>
      <c r="Y1229">
        <v>3</v>
      </c>
      <c r="Z1229">
        <v>4</v>
      </c>
      <c r="AA1229">
        <v>80</v>
      </c>
      <c r="AB1229">
        <v>1</v>
      </c>
      <c r="AC1229">
        <v>6</v>
      </c>
      <c r="AD1229">
        <v>2</v>
      </c>
      <c r="AE1229">
        <v>4</v>
      </c>
      <c r="AF1229">
        <v>5</v>
      </c>
      <c r="AG1229">
        <v>2</v>
      </c>
      <c r="AH1229">
        <v>0</v>
      </c>
      <c r="AI1229">
        <v>3</v>
      </c>
    </row>
    <row r="1230" spans="1:35" x14ac:dyDescent="0.25">
      <c r="A1230">
        <v>41</v>
      </c>
      <c r="B1230" t="str">
        <f t="shared" si="38"/>
        <v>35-44</v>
      </c>
      <c r="C1230" s="1" t="s">
        <v>38</v>
      </c>
      <c r="D1230" s="17">
        <f>IF(Table1[[#This Row],[Attrition]]="Yes",1,0)</f>
        <v>0</v>
      </c>
      <c r="E1230" t="s">
        <v>49</v>
      </c>
      <c r="F1230" s="2">
        <v>552</v>
      </c>
      <c r="G1230" t="s">
        <v>55</v>
      </c>
      <c r="H1230">
        <v>4</v>
      </c>
      <c r="I1230">
        <v>3</v>
      </c>
      <c r="J1230" t="str">
        <f t="shared" si="39"/>
        <v>Bachelor</v>
      </c>
      <c r="K1230" t="s">
        <v>55</v>
      </c>
      <c r="L1230">
        <v>3</v>
      </c>
      <c r="M1230" t="s">
        <v>40</v>
      </c>
      <c r="N1230" s="2">
        <v>60</v>
      </c>
      <c r="O1230">
        <v>1</v>
      </c>
      <c r="P1230">
        <v>2</v>
      </c>
      <c r="Q1230" t="s">
        <v>55</v>
      </c>
      <c r="R1230">
        <v>2</v>
      </c>
      <c r="S1230" t="s">
        <v>42</v>
      </c>
      <c r="T1230" s="2">
        <v>6430</v>
      </c>
      <c r="U1230" s="2">
        <v>20794</v>
      </c>
      <c r="V1230">
        <v>6</v>
      </c>
      <c r="W1230" t="s">
        <v>38</v>
      </c>
      <c r="X1230">
        <v>19</v>
      </c>
      <c r="Y1230">
        <v>3</v>
      </c>
      <c r="Z1230">
        <v>2</v>
      </c>
      <c r="AA1230">
        <v>80</v>
      </c>
      <c r="AB1230">
        <v>1</v>
      </c>
      <c r="AC1230">
        <v>10</v>
      </c>
      <c r="AD1230">
        <v>4</v>
      </c>
      <c r="AE1230">
        <v>3</v>
      </c>
      <c r="AF1230">
        <v>3</v>
      </c>
      <c r="AG1230">
        <v>2</v>
      </c>
      <c r="AH1230">
        <v>1</v>
      </c>
      <c r="AI1230">
        <v>2</v>
      </c>
    </row>
    <row r="1231" spans="1:35" x14ac:dyDescent="0.25">
      <c r="A1231">
        <v>40</v>
      </c>
      <c r="B1231" t="str">
        <f t="shared" si="38"/>
        <v>35-44</v>
      </c>
      <c r="C1231" s="1" t="s">
        <v>38</v>
      </c>
      <c r="D1231" s="17">
        <f>IF(Table1[[#This Row],[Attrition]]="Yes",1,0)</f>
        <v>0</v>
      </c>
      <c r="E1231" t="s">
        <v>57</v>
      </c>
      <c r="F1231" s="2">
        <v>369</v>
      </c>
      <c r="G1231" t="s">
        <v>39</v>
      </c>
      <c r="H1231">
        <v>8</v>
      </c>
      <c r="I1231">
        <v>2</v>
      </c>
      <c r="J1231" t="str">
        <f t="shared" si="39"/>
        <v>College</v>
      </c>
      <c r="K1231" t="s">
        <v>34</v>
      </c>
      <c r="L1231">
        <v>2</v>
      </c>
      <c r="M1231" t="s">
        <v>35</v>
      </c>
      <c r="N1231" s="2">
        <v>92</v>
      </c>
      <c r="O1231">
        <v>3</v>
      </c>
      <c r="P1231">
        <v>2</v>
      </c>
      <c r="Q1231" t="s">
        <v>47</v>
      </c>
      <c r="R1231">
        <v>1</v>
      </c>
      <c r="S1231" t="s">
        <v>42</v>
      </c>
      <c r="T1231" s="2">
        <v>6516</v>
      </c>
      <c r="U1231" s="2">
        <v>5041</v>
      </c>
      <c r="V1231">
        <v>2</v>
      </c>
      <c r="W1231" t="s">
        <v>32</v>
      </c>
      <c r="X1231">
        <v>16</v>
      </c>
      <c r="Y1231">
        <v>3</v>
      </c>
      <c r="Z1231">
        <v>2</v>
      </c>
      <c r="AA1231">
        <v>80</v>
      </c>
      <c r="AB1231">
        <v>1</v>
      </c>
      <c r="AC1231">
        <v>18</v>
      </c>
      <c r="AD1231">
        <v>3</v>
      </c>
      <c r="AE1231">
        <v>3</v>
      </c>
      <c r="AF1231">
        <v>1</v>
      </c>
      <c r="AG1231">
        <v>0</v>
      </c>
      <c r="AH1231">
        <v>0</v>
      </c>
      <c r="AI1231">
        <v>0</v>
      </c>
    </row>
    <row r="1232" spans="1:35" x14ac:dyDescent="0.25">
      <c r="A1232">
        <v>24</v>
      </c>
      <c r="B1232" t="str">
        <f t="shared" si="38"/>
        <v>18-24</v>
      </c>
      <c r="C1232" s="1" t="s">
        <v>38</v>
      </c>
      <c r="D1232" s="17">
        <f>IF(Table1[[#This Row],[Attrition]]="Yes",1,0)</f>
        <v>0</v>
      </c>
      <c r="E1232" t="s">
        <v>57</v>
      </c>
      <c r="F1232" s="2">
        <v>506</v>
      </c>
      <c r="G1232" t="s">
        <v>39</v>
      </c>
      <c r="H1232">
        <v>29</v>
      </c>
      <c r="I1232">
        <v>1</v>
      </c>
      <c r="J1232" t="str">
        <f t="shared" si="39"/>
        <v>Below College</v>
      </c>
      <c r="K1232" t="s">
        <v>45</v>
      </c>
      <c r="L1232">
        <v>2</v>
      </c>
      <c r="M1232" t="s">
        <v>40</v>
      </c>
      <c r="N1232" s="2">
        <v>91</v>
      </c>
      <c r="O1232">
        <v>3</v>
      </c>
      <c r="P1232">
        <v>1</v>
      </c>
      <c r="Q1232" t="s">
        <v>44</v>
      </c>
      <c r="R1232">
        <v>1</v>
      </c>
      <c r="S1232" t="s">
        <v>46</v>
      </c>
      <c r="T1232" s="2">
        <v>3907</v>
      </c>
      <c r="U1232" s="2">
        <v>3622</v>
      </c>
      <c r="V1232">
        <v>1</v>
      </c>
      <c r="W1232" t="s">
        <v>38</v>
      </c>
      <c r="X1232">
        <v>13</v>
      </c>
      <c r="Y1232">
        <v>3</v>
      </c>
      <c r="Z1232">
        <v>2</v>
      </c>
      <c r="AA1232">
        <v>80</v>
      </c>
      <c r="AB1232">
        <v>3</v>
      </c>
      <c r="AC1232">
        <v>6</v>
      </c>
      <c r="AD1232">
        <v>2</v>
      </c>
      <c r="AE1232">
        <v>4</v>
      </c>
      <c r="AF1232">
        <v>6</v>
      </c>
      <c r="AG1232">
        <v>2</v>
      </c>
      <c r="AH1232">
        <v>1</v>
      </c>
      <c r="AI1232">
        <v>2</v>
      </c>
    </row>
    <row r="1233" spans="1:35" x14ac:dyDescent="0.25">
      <c r="A1233">
        <v>46</v>
      </c>
      <c r="B1233" t="str">
        <f t="shared" si="38"/>
        <v>45-54</v>
      </c>
      <c r="C1233" s="1" t="s">
        <v>38</v>
      </c>
      <c r="D1233" s="17">
        <f>IF(Table1[[#This Row],[Attrition]]="Yes",1,0)</f>
        <v>0</v>
      </c>
      <c r="E1233" t="s">
        <v>57</v>
      </c>
      <c r="F1233" s="2">
        <v>717</v>
      </c>
      <c r="G1233" t="s">
        <v>39</v>
      </c>
      <c r="H1233">
        <v>13</v>
      </c>
      <c r="I1233">
        <v>4</v>
      </c>
      <c r="J1233" t="str">
        <f t="shared" si="39"/>
        <v>Master</v>
      </c>
      <c r="K1233" t="s">
        <v>34</v>
      </c>
      <c r="L1233">
        <v>3</v>
      </c>
      <c r="M1233" t="s">
        <v>40</v>
      </c>
      <c r="N1233" s="2">
        <v>34</v>
      </c>
      <c r="O1233">
        <v>3</v>
      </c>
      <c r="P1233">
        <v>2</v>
      </c>
      <c r="Q1233" t="s">
        <v>48</v>
      </c>
      <c r="R1233">
        <v>2</v>
      </c>
      <c r="S1233" t="s">
        <v>37</v>
      </c>
      <c r="T1233" s="2">
        <v>5562</v>
      </c>
      <c r="U1233" s="2">
        <v>9697</v>
      </c>
      <c r="V1233">
        <v>6</v>
      </c>
      <c r="W1233" t="s">
        <v>38</v>
      </c>
      <c r="X1233">
        <v>14</v>
      </c>
      <c r="Y1233">
        <v>3</v>
      </c>
      <c r="Z1233">
        <v>4</v>
      </c>
      <c r="AA1233">
        <v>80</v>
      </c>
      <c r="AB1233">
        <v>0</v>
      </c>
      <c r="AC1233">
        <v>19</v>
      </c>
      <c r="AD1233">
        <v>3</v>
      </c>
      <c r="AE1233">
        <v>3</v>
      </c>
      <c r="AF1233">
        <v>10</v>
      </c>
      <c r="AG1233">
        <v>7</v>
      </c>
      <c r="AH1233">
        <v>0</v>
      </c>
      <c r="AI1233">
        <v>9</v>
      </c>
    </row>
    <row r="1234" spans="1:35" x14ac:dyDescent="0.25">
      <c r="A1234">
        <v>35</v>
      </c>
      <c r="B1234" t="str">
        <f t="shared" si="38"/>
        <v>35-44</v>
      </c>
      <c r="C1234" s="1" t="s">
        <v>38</v>
      </c>
      <c r="D1234" s="17">
        <f>IF(Table1[[#This Row],[Attrition]]="Yes",1,0)</f>
        <v>0</v>
      </c>
      <c r="E1234" t="s">
        <v>57</v>
      </c>
      <c r="F1234" s="2">
        <v>1370</v>
      </c>
      <c r="G1234" t="s">
        <v>39</v>
      </c>
      <c r="H1234">
        <v>27</v>
      </c>
      <c r="I1234">
        <v>4</v>
      </c>
      <c r="J1234" t="str">
        <f t="shared" si="39"/>
        <v>Master</v>
      </c>
      <c r="K1234" t="s">
        <v>34</v>
      </c>
      <c r="L1234">
        <v>4</v>
      </c>
      <c r="M1234" t="s">
        <v>40</v>
      </c>
      <c r="N1234" s="2">
        <v>49</v>
      </c>
      <c r="O1234">
        <v>3</v>
      </c>
      <c r="P1234">
        <v>2</v>
      </c>
      <c r="Q1234" t="s">
        <v>47</v>
      </c>
      <c r="R1234">
        <v>3</v>
      </c>
      <c r="S1234" t="s">
        <v>42</v>
      </c>
      <c r="T1234" s="2">
        <v>6883</v>
      </c>
      <c r="U1234" s="2">
        <v>5151</v>
      </c>
      <c r="V1234">
        <v>2</v>
      </c>
      <c r="W1234" t="s">
        <v>38</v>
      </c>
      <c r="X1234">
        <v>16</v>
      </c>
      <c r="Y1234">
        <v>3</v>
      </c>
      <c r="Z1234">
        <v>2</v>
      </c>
      <c r="AA1234">
        <v>80</v>
      </c>
      <c r="AB1234">
        <v>1</v>
      </c>
      <c r="AC1234">
        <v>17</v>
      </c>
      <c r="AD1234">
        <v>3</v>
      </c>
      <c r="AE1234">
        <v>3</v>
      </c>
      <c r="AF1234">
        <v>7</v>
      </c>
      <c r="AG1234">
        <v>7</v>
      </c>
      <c r="AH1234">
        <v>0</v>
      </c>
      <c r="AI1234">
        <v>7</v>
      </c>
    </row>
    <row r="1235" spans="1:35" x14ac:dyDescent="0.25">
      <c r="A1235">
        <v>30</v>
      </c>
      <c r="B1235" t="str">
        <f t="shared" si="38"/>
        <v>25-34</v>
      </c>
      <c r="C1235" s="1" t="s">
        <v>38</v>
      </c>
      <c r="D1235" s="17">
        <f>IF(Table1[[#This Row],[Attrition]]="Yes",1,0)</f>
        <v>0</v>
      </c>
      <c r="E1235" t="s">
        <v>57</v>
      </c>
      <c r="F1235" s="2">
        <v>793</v>
      </c>
      <c r="G1235" t="s">
        <v>39</v>
      </c>
      <c r="H1235">
        <v>16</v>
      </c>
      <c r="I1235">
        <v>1</v>
      </c>
      <c r="J1235" t="str">
        <f t="shared" si="39"/>
        <v>Below College</v>
      </c>
      <c r="K1235" t="s">
        <v>34</v>
      </c>
      <c r="L1235">
        <v>2</v>
      </c>
      <c r="M1235" t="s">
        <v>40</v>
      </c>
      <c r="N1235" s="2">
        <v>33</v>
      </c>
      <c r="O1235">
        <v>3</v>
      </c>
      <c r="P1235">
        <v>1</v>
      </c>
      <c r="Q1235" t="s">
        <v>41</v>
      </c>
      <c r="R1235">
        <v>4</v>
      </c>
      <c r="S1235" t="s">
        <v>42</v>
      </c>
      <c r="T1235" s="2">
        <v>2862</v>
      </c>
      <c r="U1235" s="2">
        <v>3811</v>
      </c>
      <c r="V1235">
        <v>1</v>
      </c>
      <c r="W1235" t="s">
        <v>38</v>
      </c>
      <c r="X1235">
        <v>12</v>
      </c>
      <c r="Y1235">
        <v>3</v>
      </c>
      <c r="Z1235">
        <v>2</v>
      </c>
      <c r="AA1235">
        <v>80</v>
      </c>
      <c r="AB1235">
        <v>1</v>
      </c>
      <c r="AC1235">
        <v>10</v>
      </c>
      <c r="AD1235">
        <v>2</v>
      </c>
      <c r="AE1235">
        <v>2</v>
      </c>
      <c r="AF1235">
        <v>10</v>
      </c>
      <c r="AG1235">
        <v>0</v>
      </c>
      <c r="AH1235">
        <v>0</v>
      </c>
      <c r="AI1235">
        <v>8</v>
      </c>
    </row>
    <row r="1236" spans="1:35" x14ac:dyDescent="0.25">
      <c r="A1236">
        <v>47</v>
      </c>
      <c r="B1236" t="str">
        <f t="shared" si="38"/>
        <v>45-54</v>
      </c>
      <c r="C1236" s="1" t="s">
        <v>38</v>
      </c>
      <c r="D1236" s="17">
        <f>IF(Table1[[#This Row],[Attrition]]="Yes",1,0)</f>
        <v>0</v>
      </c>
      <c r="E1236" t="s">
        <v>49</v>
      </c>
      <c r="F1236" s="2">
        <v>543</v>
      </c>
      <c r="G1236" t="s">
        <v>33</v>
      </c>
      <c r="H1236">
        <v>2</v>
      </c>
      <c r="I1236">
        <v>4</v>
      </c>
      <c r="J1236" t="str">
        <f t="shared" si="39"/>
        <v>Master</v>
      </c>
      <c r="K1236" t="s">
        <v>53</v>
      </c>
      <c r="L1236">
        <v>3</v>
      </c>
      <c r="M1236" t="s">
        <v>40</v>
      </c>
      <c r="N1236" s="2">
        <v>87</v>
      </c>
      <c r="O1236">
        <v>3</v>
      </c>
      <c r="P1236">
        <v>2</v>
      </c>
      <c r="Q1236" t="s">
        <v>36</v>
      </c>
      <c r="R1236">
        <v>2</v>
      </c>
      <c r="S1236" t="s">
        <v>42</v>
      </c>
      <c r="T1236" s="2">
        <v>4978</v>
      </c>
      <c r="U1236" s="2">
        <v>3536</v>
      </c>
      <c r="V1236">
        <v>7</v>
      </c>
      <c r="W1236" t="s">
        <v>38</v>
      </c>
      <c r="X1236">
        <v>11</v>
      </c>
      <c r="Y1236">
        <v>3</v>
      </c>
      <c r="Z1236">
        <v>4</v>
      </c>
      <c r="AA1236">
        <v>80</v>
      </c>
      <c r="AB1236">
        <v>1</v>
      </c>
      <c r="AC1236">
        <v>4</v>
      </c>
      <c r="AD1236">
        <v>3</v>
      </c>
      <c r="AE1236">
        <v>1</v>
      </c>
      <c r="AF1236">
        <v>1</v>
      </c>
      <c r="AG1236">
        <v>0</v>
      </c>
      <c r="AH1236">
        <v>0</v>
      </c>
      <c r="AI1236">
        <v>0</v>
      </c>
    </row>
    <row r="1237" spans="1:35" x14ac:dyDescent="0.25">
      <c r="A1237">
        <v>46</v>
      </c>
      <c r="B1237" t="str">
        <f t="shared" si="38"/>
        <v>45-54</v>
      </c>
      <c r="C1237" s="1" t="s">
        <v>38</v>
      </c>
      <c r="D1237" s="17">
        <f>IF(Table1[[#This Row],[Attrition]]="Yes",1,0)</f>
        <v>0</v>
      </c>
      <c r="E1237" t="s">
        <v>57</v>
      </c>
      <c r="F1237" s="2">
        <v>1277</v>
      </c>
      <c r="G1237" t="s">
        <v>33</v>
      </c>
      <c r="H1237">
        <v>2</v>
      </c>
      <c r="I1237">
        <v>3</v>
      </c>
      <c r="J1237" t="str">
        <f t="shared" si="39"/>
        <v>Bachelor</v>
      </c>
      <c r="K1237" t="s">
        <v>34</v>
      </c>
      <c r="L1237">
        <v>3</v>
      </c>
      <c r="M1237" t="s">
        <v>40</v>
      </c>
      <c r="N1237" s="2">
        <v>74</v>
      </c>
      <c r="O1237">
        <v>3</v>
      </c>
      <c r="P1237">
        <v>3</v>
      </c>
      <c r="Q1237" t="s">
        <v>36</v>
      </c>
      <c r="R1237">
        <v>4</v>
      </c>
      <c r="S1237" t="s">
        <v>46</v>
      </c>
      <c r="T1237" s="2">
        <v>10368</v>
      </c>
      <c r="U1237" s="2">
        <v>5596</v>
      </c>
      <c r="V1237">
        <v>4</v>
      </c>
      <c r="W1237" t="s">
        <v>32</v>
      </c>
      <c r="X1237">
        <v>12</v>
      </c>
      <c r="Y1237">
        <v>3</v>
      </c>
      <c r="Z1237">
        <v>2</v>
      </c>
      <c r="AA1237">
        <v>80</v>
      </c>
      <c r="AB1237">
        <v>1</v>
      </c>
      <c r="AC1237">
        <v>13</v>
      </c>
      <c r="AD1237">
        <v>5</v>
      </c>
      <c r="AE1237">
        <v>2</v>
      </c>
      <c r="AF1237">
        <v>10</v>
      </c>
      <c r="AG1237">
        <v>6</v>
      </c>
      <c r="AH1237">
        <v>0</v>
      </c>
      <c r="AI1237">
        <v>3</v>
      </c>
    </row>
    <row r="1238" spans="1:35" x14ac:dyDescent="0.25">
      <c r="A1238">
        <v>36</v>
      </c>
      <c r="B1238" t="str">
        <f t="shared" si="38"/>
        <v>35-44</v>
      </c>
      <c r="C1238" s="1" t="s">
        <v>32</v>
      </c>
      <c r="D1238" s="17">
        <f>IF(Table1[[#This Row],[Attrition]]="Yes",1,0)</f>
        <v>1</v>
      </c>
      <c r="E1238" t="s">
        <v>57</v>
      </c>
      <c r="F1238" s="2">
        <v>1456</v>
      </c>
      <c r="G1238" t="s">
        <v>33</v>
      </c>
      <c r="H1238">
        <v>13</v>
      </c>
      <c r="I1238">
        <v>5</v>
      </c>
      <c r="J1238" t="str">
        <f t="shared" si="39"/>
        <v>Doctor</v>
      </c>
      <c r="K1238" t="s">
        <v>53</v>
      </c>
      <c r="L1238">
        <v>2</v>
      </c>
      <c r="M1238" t="s">
        <v>40</v>
      </c>
      <c r="N1238" s="2">
        <v>96</v>
      </c>
      <c r="O1238">
        <v>2</v>
      </c>
      <c r="P1238">
        <v>2</v>
      </c>
      <c r="Q1238" t="s">
        <v>36</v>
      </c>
      <c r="R1238">
        <v>1</v>
      </c>
      <c r="S1238" t="s">
        <v>46</v>
      </c>
      <c r="T1238" s="2">
        <v>6134</v>
      </c>
      <c r="U1238" s="2">
        <v>8658</v>
      </c>
      <c r="V1238">
        <v>5</v>
      </c>
      <c r="W1238" t="s">
        <v>32</v>
      </c>
      <c r="X1238">
        <v>13</v>
      </c>
      <c r="Y1238">
        <v>3</v>
      </c>
      <c r="Z1238">
        <v>2</v>
      </c>
      <c r="AA1238">
        <v>80</v>
      </c>
      <c r="AB1238">
        <v>3</v>
      </c>
      <c r="AC1238">
        <v>16</v>
      </c>
      <c r="AD1238">
        <v>3</v>
      </c>
      <c r="AE1238">
        <v>3</v>
      </c>
      <c r="AF1238">
        <v>2</v>
      </c>
      <c r="AG1238">
        <v>2</v>
      </c>
      <c r="AH1238">
        <v>2</v>
      </c>
      <c r="AI1238">
        <v>2</v>
      </c>
    </row>
    <row r="1239" spans="1:35" x14ac:dyDescent="0.25">
      <c r="A1239">
        <v>32</v>
      </c>
      <c r="B1239" t="str">
        <f t="shared" si="38"/>
        <v>25-34</v>
      </c>
      <c r="C1239" s="1" t="s">
        <v>32</v>
      </c>
      <c r="D1239" s="17">
        <f>IF(Table1[[#This Row],[Attrition]]="Yes",1,0)</f>
        <v>1</v>
      </c>
      <c r="E1239" t="s">
        <v>57</v>
      </c>
      <c r="F1239" s="2">
        <v>964</v>
      </c>
      <c r="G1239" t="s">
        <v>33</v>
      </c>
      <c r="H1239">
        <v>1</v>
      </c>
      <c r="I1239">
        <v>2</v>
      </c>
      <c r="J1239" t="str">
        <f t="shared" si="39"/>
        <v>College</v>
      </c>
      <c r="K1239" t="s">
        <v>34</v>
      </c>
      <c r="L1239">
        <v>1</v>
      </c>
      <c r="M1239" t="s">
        <v>40</v>
      </c>
      <c r="N1239" s="2">
        <v>34</v>
      </c>
      <c r="O1239">
        <v>1</v>
      </c>
      <c r="P1239">
        <v>2</v>
      </c>
      <c r="Q1239" t="s">
        <v>36</v>
      </c>
      <c r="R1239">
        <v>2</v>
      </c>
      <c r="S1239" t="s">
        <v>37</v>
      </c>
      <c r="T1239" s="2">
        <v>6735</v>
      </c>
      <c r="U1239" s="2">
        <v>12147</v>
      </c>
      <c r="V1239">
        <v>6</v>
      </c>
      <c r="W1239" t="s">
        <v>38</v>
      </c>
      <c r="X1239">
        <v>15</v>
      </c>
      <c r="Y1239">
        <v>3</v>
      </c>
      <c r="Z1239">
        <v>2</v>
      </c>
      <c r="AA1239">
        <v>80</v>
      </c>
      <c r="AB1239">
        <v>0</v>
      </c>
      <c r="AC1239">
        <v>10</v>
      </c>
      <c r="AD1239">
        <v>2</v>
      </c>
      <c r="AE1239">
        <v>3</v>
      </c>
      <c r="AF1239">
        <v>0</v>
      </c>
      <c r="AG1239">
        <v>0</v>
      </c>
      <c r="AH1239">
        <v>0</v>
      </c>
      <c r="AI1239">
        <v>0</v>
      </c>
    </row>
    <row r="1240" spans="1:35" x14ac:dyDescent="0.25">
      <c r="A1240">
        <v>23</v>
      </c>
      <c r="B1240" t="str">
        <f t="shared" si="38"/>
        <v>18-24</v>
      </c>
      <c r="C1240" s="1" t="s">
        <v>38</v>
      </c>
      <c r="D1240" s="17">
        <f>IF(Table1[[#This Row],[Attrition]]="Yes",1,0)</f>
        <v>0</v>
      </c>
      <c r="E1240" t="s">
        <v>57</v>
      </c>
      <c r="F1240" s="2">
        <v>160</v>
      </c>
      <c r="G1240" t="s">
        <v>39</v>
      </c>
      <c r="H1240">
        <v>4</v>
      </c>
      <c r="I1240">
        <v>1</v>
      </c>
      <c r="J1240" t="str">
        <f t="shared" si="39"/>
        <v>Below College</v>
      </c>
      <c r="K1240" t="s">
        <v>45</v>
      </c>
      <c r="L1240">
        <v>3</v>
      </c>
      <c r="M1240" t="s">
        <v>35</v>
      </c>
      <c r="N1240" s="2">
        <v>51</v>
      </c>
      <c r="O1240">
        <v>3</v>
      </c>
      <c r="P1240">
        <v>1</v>
      </c>
      <c r="Q1240" t="s">
        <v>44</v>
      </c>
      <c r="R1240">
        <v>2</v>
      </c>
      <c r="S1240" t="s">
        <v>37</v>
      </c>
      <c r="T1240" s="2">
        <v>3295</v>
      </c>
      <c r="U1240" s="2">
        <v>12862</v>
      </c>
      <c r="V1240">
        <v>1</v>
      </c>
      <c r="W1240" t="s">
        <v>38</v>
      </c>
      <c r="X1240">
        <v>13</v>
      </c>
      <c r="Y1240">
        <v>3</v>
      </c>
      <c r="Z1240">
        <v>3</v>
      </c>
      <c r="AA1240">
        <v>80</v>
      </c>
      <c r="AB1240">
        <v>0</v>
      </c>
      <c r="AC1240">
        <v>3</v>
      </c>
      <c r="AD1240">
        <v>3</v>
      </c>
      <c r="AE1240">
        <v>1</v>
      </c>
      <c r="AF1240">
        <v>3</v>
      </c>
      <c r="AG1240">
        <v>2</v>
      </c>
      <c r="AH1240">
        <v>1</v>
      </c>
      <c r="AI1240">
        <v>2</v>
      </c>
    </row>
    <row r="1241" spans="1:35" x14ac:dyDescent="0.25">
      <c r="A1241">
        <v>31</v>
      </c>
      <c r="B1241" t="str">
        <f t="shared" si="38"/>
        <v>25-34</v>
      </c>
      <c r="C1241" s="1" t="s">
        <v>38</v>
      </c>
      <c r="D1241" s="17">
        <f>IF(Table1[[#This Row],[Attrition]]="Yes",1,0)</f>
        <v>0</v>
      </c>
      <c r="E1241" t="s">
        <v>58</v>
      </c>
      <c r="F1241" s="2">
        <v>163</v>
      </c>
      <c r="G1241" t="s">
        <v>39</v>
      </c>
      <c r="H1241">
        <v>24</v>
      </c>
      <c r="I1241">
        <v>1</v>
      </c>
      <c r="J1241" t="str">
        <f t="shared" si="39"/>
        <v>Below College</v>
      </c>
      <c r="K1241" t="s">
        <v>54</v>
      </c>
      <c r="L1241">
        <v>4</v>
      </c>
      <c r="M1241" t="s">
        <v>35</v>
      </c>
      <c r="N1241" s="2">
        <v>30</v>
      </c>
      <c r="O1241">
        <v>3</v>
      </c>
      <c r="P1241">
        <v>2</v>
      </c>
      <c r="Q1241" t="s">
        <v>47</v>
      </c>
      <c r="R1241">
        <v>4</v>
      </c>
      <c r="S1241" t="s">
        <v>37</v>
      </c>
      <c r="T1241" s="2">
        <v>5238</v>
      </c>
      <c r="U1241" s="2">
        <v>6670</v>
      </c>
      <c r="V1241">
        <v>2</v>
      </c>
      <c r="W1241" t="s">
        <v>38</v>
      </c>
      <c r="X1241">
        <v>20</v>
      </c>
      <c r="Y1241">
        <v>4</v>
      </c>
      <c r="Z1241">
        <v>4</v>
      </c>
      <c r="AA1241">
        <v>80</v>
      </c>
      <c r="AB1241">
        <v>0</v>
      </c>
      <c r="AC1241">
        <v>9</v>
      </c>
      <c r="AD1241">
        <v>3</v>
      </c>
      <c r="AE1241">
        <v>2</v>
      </c>
      <c r="AF1241">
        <v>5</v>
      </c>
      <c r="AG1241">
        <v>4</v>
      </c>
      <c r="AH1241">
        <v>1</v>
      </c>
      <c r="AI1241">
        <v>4</v>
      </c>
    </row>
    <row r="1242" spans="1:35" x14ac:dyDescent="0.25">
      <c r="A1242">
        <v>39</v>
      </c>
      <c r="B1242" t="str">
        <f t="shared" si="38"/>
        <v>35-44</v>
      </c>
      <c r="C1242" s="1" t="s">
        <v>38</v>
      </c>
      <c r="D1242" s="17">
        <f>IF(Table1[[#This Row],[Attrition]]="Yes",1,0)</f>
        <v>0</v>
      </c>
      <c r="E1242" t="s">
        <v>49</v>
      </c>
      <c r="F1242" s="2">
        <v>792</v>
      </c>
      <c r="G1242" t="s">
        <v>39</v>
      </c>
      <c r="H1242">
        <v>1</v>
      </c>
      <c r="I1242">
        <v>3</v>
      </c>
      <c r="J1242" t="str">
        <f t="shared" si="39"/>
        <v>Bachelor</v>
      </c>
      <c r="K1242" t="s">
        <v>34</v>
      </c>
      <c r="L1242">
        <v>4</v>
      </c>
      <c r="M1242" t="s">
        <v>40</v>
      </c>
      <c r="N1242" s="2">
        <v>77</v>
      </c>
      <c r="O1242">
        <v>3</v>
      </c>
      <c r="P1242">
        <v>2</v>
      </c>
      <c r="Q1242" t="s">
        <v>44</v>
      </c>
      <c r="R1242">
        <v>4</v>
      </c>
      <c r="S1242" t="s">
        <v>42</v>
      </c>
      <c r="T1242" s="2">
        <v>6472</v>
      </c>
      <c r="U1242" s="2">
        <v>8989</v>
      </c>
      <c r="V1242">
        <v>1</v>
      </c>
      <c r="W1242" t="s">
        <v>32</v>
      </c>
      <c r="X1242">
        <v>15</v>
      </c>
      <c r="Y1242">
        <v>3</v>
      </c>
      <c r="Z1242">
        <v>4</v>
      </c>
      <c r="AA1242">
        <v>80</v>
      </c>
      <c r="AB1242">
        <v>1</v>
      </c>
      <c r="AC1242">
        <v>9</v>
      </c>
      <c r="AD1242">
        <v>2</v>
      </c>
      <c r="AE1242">
        <v>3</v>
      </c>
      <c r="AF1242">
        <v>9</v>
      </c>
      <c r="AG1242">
        <v>8</v>
      </c>
      <c r="AH1242">
        <v>5</v>
      </c>
      <c r="AI1242">
        <v>8</v>
      </c>
    </row>
    <row r="1243" spans="1:35" x14ac:dyDescent="0.25">
      <c r="A1243">
        <v>32</v>
      </c>
      <c r="B1243" t="str">
        <f t="shared" si="38"/>
        <v>25-34</v>
      </c>
      <c r="C1243" s="1" t="s">
        <v>38</v>
      </c>
      <c r="D1243" s="17">
        <f>IF(Table1[[#This Row],[Attrition]]="Yes",1,0)</f>
        <v>0</v>
      </c>
      <c r="E1243" t="s">
        <v>57</v>
      </c>
      <c r="F1243" s="2">
        <v>371</v>
      </c>
      <c r="G1243" t="s">
        <v>33</v>
      </c>
      <c r="H1243">
        <v>19</v>
      </c>
      <c r="I1243">
        <v>3</v>
      </c>
      <c r="J1243" t="str">
        <f t="shared" si="39"/>
        <v>Bachelor</v>
      </c>
      <c r="K1243" t="s">
        <v>34</v>
      </c>
      <c r="L1243">
        <v>4</v>
      </c>
      <c r="M1243" t="s">
        <v>40</v>
      </c>
      <c r="N1243" s="2">
        <v>80</v>
      </c>
      <c r="O1243">
        <v>1</v>
      </c>
      <c r="P1243">
        <v>3</v>
      </c>
      <c r="Q1243" t="s">
        <v>36</v>
      </c>
      <c r="R1243">
        <v>3</v>
      </c>
      <c r="S1243" t="s">
        <v>42</v>
      </c>
      <c r="T1243" s="2">
        <v>9610</v>
      </c>
      <c r="U1243" s="2">
        <v>3840</v>
      </c>
      <c r="V1243">
        <v>3</v>
      </c>
      <c r="W1243" t="s">
        <v>38</v>
      </c>
      <c r="X1243">
        <v>13</v>
      </c>
      <c r="Y1243">
        <v>3</v>
      </c>
      <c r="Z1243">
        <v>3</v>
      </c>
      <c r="AA1243">
        <v>80</v>
      </c>
      <c r="AB1243">
        <v>1</v>
      </c>
      <c r="AC1243">
        <v>10</v>
      </c>
      <c r="AD1243">
        <v>2</v>
      </c>
      <c r="AE1243">
        <v>1</v>
      </c>
      <c r="AF1243">
        <v>4</v>
      </c>
      <c r="AG1243">
        <v>3</v>
      </c>
      <c r="AH1243">
        <v>0</v>
      </c>
      <c r="AI1243">
        <v>2</v>
      </c>
    </row>
    <row r="1244" spans="1:35" x14ac:dyDescent="0.25">
      <c r="A1244">
        <v>40</v>
      </c>
      <c r="B1244" t="str">
        <f t="shared" si="38"/>
        <v>35-44</v>
      </c>
      <c r="C1244" s="1" t="s">
        <v>38</v>
      </c>
      <c r="D1244" s="17">
        <f>IF(Table1[[#This Row],[Attrition]]="Yes",1,0)</f>
        <v>0</v>
      </c>
      <c r="E1244" t="s">
        <v>57</v>
      </c>
      <c r="F1244" s="2">
        <v>611</v>
      </c>
      <c r="G1244" t="s">
        <v>33</v>
      </c>
      <c r="H1244">
        <v>7</v>
      </c>
      <c r="I1244">
        <v>4</v>
      </c>
      <c r="J1244" t="str">
        <f t="shared" si="39"/>
        <v>Master</v>
      </c>
      <c r="K1244" t="s">
        <v>45</v>
      </c>
      <c r="L1244">
        <v>2</v>
      </c>
      <c r="M1244" t="s">
        <v>40</v>
      </c>
      <c r="N1244" s="2">
        <v>88</v>
      </c>
      <c r="O1244">
        <v>3</v>
      </c>
      <c r="P1244">
        <v>5</v>
      </c>
      <c r="Q1244" t="s">
        <v>50</v>
      </c>
      <c r="R1244">
        <v>2</v>
      </c>
      <c r="S1244" t="s">
        <v>37</v>
      </c>
      <c r="T1244" s="2">
        <v>19833</v>
      </c>
      <c r="U1244" s="2">
        <v>4349</v>
      </c>
      <c r="V1244">
        <v>1</v>
      </c>
      <c r="W1244" t="s">
        <v>38</v>
      </c>
      <c r="X1244">
        <v>14</v>
      </c>
      <c r="Y1244">
        <v>3</v>
      </c>
      <c r="Z1244">
        <v>2</v>
      </c>
      <c r="AA1244">
        <v>80</v>
      </c>
      <c r="AB1244">
        <v>0</v>
      </c>
      <c r="AC1244">
        <v>21</v>
      </c>
      <c r="AD1244">
        <v>3</v>
      </c>
      <c r="AE1244">
        <v>2</v>
      </c>
      <c r="AF1244">
        <v>21</v>
      </c>
      <c r="AG1244">
        <v>8</v>
      </c>
      <c r="AH1244">
        <v>12</v>
      </c>
      <c r="AI1244">
        <v>8</v>
      </c>
    </row>
    <row r="1245" spans="1:35" x14ac:dyDescent="0.25">
      <c r="A1245">
        <v>45</v>
      </c>
      <c r="B1245" t="str">
        <f t="shared" si="38"/>
        <v>45-54</v>
      </c>
      <c r="C1245" s="1" t="s">
        <v>38</v>
      </c>
      <c r="D1245" s="17">
        <f>IF(Table1[[#This Row],[Attrition]]="Yes",1,0)</f>
        <v>0</v>
      </c>
      <c r="E1245" t="s">
        <v>57</v>
      </c>
      <c r="F1245" s="2">
        <v>176</v>
      </c>
      <c r="G1245" t="s">
        <v>55</v>
      </c>
      <c r="H1245">
        <v>4</v>
      </c>
      <c r="I1245">
        <v>3</v>
      </c>
      <c r="J1245" t="str">
        <f t="shared" si="39"/>
        <v>Bachelor</v>
      </c>
      <c r="K1245" t="s">
        <v>34</v>
      </c>
      <c r="L1245">
        <v>3</v>
      </c>
      <c r="M1245" t="s">
        <v>35</v>
      </c>
      <c r="N1245" s="2">
        <v>56</v>
      </c>
      <c r="O1245">
        <v>1</v>
      </c>
      <c r="P1245">
        <v>3</v>
      </c>
      <c r="Q1245" t="s">
        <v>55</v>
      </c>
      <c r="R1245">
        <v>3</v>
      </c>
      <c r="S1245" t="s">
        <v>42</v>
      </c>
      <c r="T1245" s="2">
        <v>9756</v>
      </c>
      <c r="U1245" s="2">
        <v>6595</v>
      </c>
      <c r="V1245">
        <v>4</v>
      </c>
      <c r="W1245" t="s">
        <v>38</v>
      </c>
      <c r="X1245">
        <v>21</v>
      </c>
      <c r="Y1245">
        <v>4</v>
      </c>
      <c r="Z1245">
        <v>3</v>
      </c>
      <c r="AA1245">
        <v>80</v>
      </c>
      <c r="AB1245">
        <v>2</v>
      </c>
      <c r="AC1245">
        <v>9</v>
      </c>
      <c r="AD1245">
        <v>2</v>
      </c>
      <c r="AE1245">
        <v>4</v>
      </c>
      <c r="AF1245">
        <v>5</v>
      </c>
      <c r="AG1245">
        <v>0</v>
      </c>
      <c r="AH1245">
        <v>0</v>
      </c>
      <c r="AI1245">
        <v>3</v>
      </c>
    </row>
    <row r="1246" spans="1:35" x14ac:dyDescent="0.25">
      <c r="A1246">
        <v>30</v>
      </c>
      <c r="B1246" t="str">
        <f t="shared" si="38"/>
        <v>25-34</v>
      </c>
      <c r="C1246" s="1" t="s">
        <v>38</v>
      </c>
      <c r="D1246" s="17">
        <f>IF(Table1[[#This Row],[Attrition]]="Yes",1,0)</f>
        <v>0</v>
      </c>
      <c r="E1246" t="s">
        <v>58</v>
      </c>
      <c r="F1246" s="2">
        <v>1312</v>
      </c>
      <c r="G1246" t="s">
        <v>39</v>
      </c>
      <c r="H1246">
        <v>2</v>
      </c>
      <c r="I1246">
        <v>4</v>
      </c>
      <c r="J1246" t="str">
        <f t="shared" si="39"/>
        <v>Master</v>
      </c>
      <c r="K1246" t="s">
        <v>54</v>
      </c>
      <c r="L1246">
        <v>4</v>
      </c>
      <c r="M1246" t="s">
        <v>35</v>
      </c>
      <c r="N1246" s="2">
        <v>78</v>
      </c>
      <c r="O1246">
        <v>2</v>
      </c>
      <c r="P1246">
        <v>1</v>
      </c>
      <c r="Q1246" t="s">
        <v>41</v>
      </c>
      <c r="R1246">
        <v>1</v>
      </c>
      <c r="S1246" t="s">
        <v>37</v>
      </c>
      <c r="T1246" s="2">
        <v>4968</v>
      </c>
      <c r="U1246" s="2">
        <v>26427</v>
      </c>
      <c r="V1246">
        <v>0</v>
      </c>
      <c r="W1246" t="s">
        <v>38</v>
      </c>
      <c r="X1246">
        <v>16</v>
      </c>
      <c r="Y1246">
        <v>3</v>
      </c>
      <c r="Z1246">
        <v>4</v>
      </c>
      <c r="AA1246">
        <v>80</v>
      </c>
      <c r="AB1246">
        <v>0</v>
      </c>
      <c r="AC1246">
        <v>10</v>
      </c>
      <c r="AD1246">
        <v>2</v>
      </c>
      <c r="AE1246">
        <v>3</v>
      </c>
      <c r="AF1246">
        <v>9</v>
      </c>
      <c r="AG1246">
        <v>7</v>
      </c>
      <c r="AH1246">
        <v>0</v>
      </c>
      <c r="AI1246">
        <v>7</v>
      </c>
    </row>
    <row r="1247" spans="1:35" x14ac:dyDescent="0.25">
      <c r="A1247">
        <v>24</v>
      </c>
      <c r="B1247" t="str">
        <f t="shared" si="38"/>
        <v>18-24</v>
      </c>
      <c r="C1247" s="1" t="s">
        <v>38</v>
      </c>
      <c r="D1247" s="17">
        <f>IF(Table1[[#This Row],[Attrition]]="Yes",1,0)</f>
        <v>0</v>
      </c>
      <c r="E1247" t="s">
        <v>58</v>
      </c>
      <c r="F1247" s="2">
        <v>897</v>
      </c>
      <c r="G1247" t="s">
        <v>55</v>
      </c>
      <c r="H1247">
        <v>10</v>
      </c>
      <c r="I1247">
        <v>3</v>
      </c>
      <c r="J1247" t="str">
        <f t="shared" si="39"/>
        <v>Bachelor</v>
      </c>
      <c r="K1247" t="s">
        <v>45</v>
      </c>
      <c r="L1247">
        <v>1</v>
      </c>
      <c r="M1247" t="s">
        <v>40</v>
      </c>
      <c r="N1247" s="2">
        <v>59</v>
      </c>
      <c r="O1247">
        <v>3</v>
      </c>
      <c r="P1247">
        <v>1</v>
      </c>
      <c r="Q1247" t="s">
        <v>55</v>
      </c>
      <c r="R1247">
        <v>4</v>
      </c>
      <c r="S1247" t="s">
        <v>42</v>
      </c>
      <c r="T1247" s="2">
        <v>2145</v>
      </c>
      <c r="U1247" s="2">
        <v>2097</v>
      </c>
      <c r="V1247">
        <v>0</v>
      </c>
      <c r="W1247" t="s">
        <v>38</v>
      </c>
      <c r="X1247">
        <v>14</v>
      </c>
      <c r="Y1247">
        <v>3</v>
      </c>
      <c r="Z1247">
        <v>4</v>
      </c>
      <c r="AA1247">
        <v>80</v>
      </c>
      <c r="AB1247">
        <v>1</v>
      </c>
      <c r="AC1247">
        <v>3</v>
      </c>
      <c r="AD1247">
        <v>2</v>
      </c>
      <c r="AE1247">
        <v>3</v>
      </c>
      <c r="AF1247">
        <v>2</v>
      </c>
      <c r="AG1247">
        <v>2</v>
      </c>
      <c r="AH1247">
        <v>2</v>
      </c>
      <c r="AI1247">
        <v>1</v>
      </c>
    </row>
    <row r="1248" spans="1:35" x14ac:dyDescent="0.25">
      <c r="A1248">
        <v>30</v>
      </c>
      <c r="B1248" t="str">
        <f t="shared" si="38"/>
        <v>25-34</v>
      </c>
      <c r="C1248" s="1" t="s">
        <v>32</v>
      </c>
      <c r="D1248" s="17">
        <f>IF(Table1[[#This Row],[Attrition]]="Yes",1,0)</f>
        <v>1</v>
      </c>
      <c r="E1248" t="s">
        <v>58</v>
      </c>
      <c r="F1248" s="2">
        <v>600</v>
      </c>
      <c r="G1248" t="s">
        <v>55</v>
      </c>
      <c r="H1248">
        <v>8</v>
      </c>
      <c r="I1248">
        <v>3</v>
      </c>
      <c r="J1248" t="str">
        <f t="shared" si="39"/>
        <v>Bachelor</v>
      </c>
      <c r="K1248" t="s">
        <v>55</v>
      </c>
      <c r="L1248">
        <v>3</v>
      </c>
      <c r="M1248" t="s">
        <v>35</v>
      </c>
      <c r="N1248" s="2">
        <v>66</v>
      </c>
      <c r="O1248">
        <v>2</v>
      </c>
      <c r="P1248">
        <v>1</v>
      </c>
      <c r="Q1248" t="s">
        <v>55</v>
      </c>
      <c r="R1248">
        <v>4</v>
      </c>
      <c r="S1248" t="s">
        <v>46</v>
      </c>
      <c r="T1248" s="2">
        <v>2180</v>
      </c>
      <c r="U1248" s="2">
        <v>9732</v>
      </c>
      <c r="V1248">
        <v>6</v>
      </c>
      <c r="W1248" t="s">
        <v>38</v>
      </c>
      <c r="X1248">
        <v>11</v>
      </c>
      <c r="Y1248">
        <v>3</v>
      </c>
      <c r="Z1248">
        <v>3</v>
      </c>
      <c r="AA1248">
        <v>80</v>
      </c>
      <c r="AB1248">
        <v>1</v>
      </c>
      <c r="AC1248">
        <v>6</v>
      </c>
      <c r="AD1248">
        <v>0</v>
      </c>
      <c r="AE1248">
        <v>2</v>
      </c>
      <c r="AF1248">
        <v>4</v>
      </c>
      <c r="AG1248">
        <v>2</v>
      </c>
      <c r="AH1248">
        <v>1</v>
      </c>
      <c r="AI1248">
        <v>2</v>
      </c>
    </row>
    <row r="1249" spans="1:35" x14ac:dyDescent="0.25">
      <c r="A1249">
        <v>31</v>
      </c>
      <c r="B1249" t="str">
        <f t="shared" si="38"/>
        <v>25-34</v>
      </c>
      <c r="C1249" s="1" t="s">
        <v>38</v>
      </c>
      <c r="D1249" s="17">
        <f>IF(Table1[[#This Row],[Attrition]]="Yes",1,0)</f>
        <v>0</v>
      </c>
      <c r="E1249" t="s">
        <v>57</v>
      </c>
      <c r="F1249" s="2">
        <v>1003</v>
      </c>
      <c r="G1249" t="s">
        <v>33</v>
      </c>
      <c r="H1249">
        <v>5</v>
      </c>
      <c r="I1249">
        <v>3</v>
      </c>
      <c r="J1249" t="str">
        <f t="shared" si="39"/>
        <v>Bachelor</v>
      </c>
      <c r="K1249" t="s">
        <v>54</v>
      </c>
      <c r="L1249">
        <v>1</v>
      </c>
      <c r="M1249" t="s">
        <v>40</v>
      </c>
      <c r="N1249" s="2">
        <v>51</v>
      </c>
      <c r="O1249">
        <v>3</v>
      </c>
      <c r="P1249">
        <v>2</v>
      </c>
      <c r="Q1249" t="s">
        <v>36</v>
      </c>
      <c r="R1249">
        <v>3</v>
      </c>
      <c r="S1249" t="s">
        <v>42</v>
      </c>
      <c r="T1249" s="2">
        <v>8346</v>
      </c>
      <c r="U1249" s="2">
        <v>20943</v>
      </c>
      <c r="V1249">
        <v>1</v>
      </c>
      <c r="W1249" t="s">
        <v>38</v>
      </c>
      <c r="X1249">
        <v>19</v>
      </c>
      <c r="Y1249">
        <v>3</v>
      </c>
      <c r="Z1249">
        <v>3</v>
      </c>
      <c r="AA1249">
        <v>80</v>
      </c>
      <c r="AB1249">
        <v>1</v>
      </c>
      <c r="AC1249">
        <v>6</v>
      </c>
      <c r="AD1249">
        <v>3</v>
      </c>
      <c r="AE1249">
        <v>3</v>
      </c>
      <c r="AF1249">
        <v>5</v>
      </c>
      <c r="AG1249">
        <v>2</v>
      </c>
      <c r="AH1249">
        <v>0</v>
      </c>
      <c r="AI1249">
        <v>2</v>
      </c>
    </row>
    <row r="1250" spans="1:35" x14ac:dyDescent="0.25">
      <c r="A1250">
        <v>27</v>
      </c>
      <c r="B1250" t="str">
        <f t="shared" si="38"/>
        <v>25-34</v>
      </c>
      <c r="C1250" s="1" t="s">
        <v>38</v>
      </c>
      <c r="D1250" s="17">
        <f>IF(Table1[[#This Row],[Attrition]]="Yes",1,0)</f>
        <v>0</v>
      </c>
      <c r="E1250" t="s">
        <v>57</v>
      </c>
      <c r="F1250" s="2">
        <v>1054</v>
      </c>
      <c r="G1250" t="s">
        <v>39</v>
      </c>
      <c r="H1250">
        <v>8</v>
      </c>
      <c r="I1250">
        <v>3</v>
      </c>
      <c r="J1250" t="str">
        <f t="shared" si="39"/>
        <v>Bachelor</v>
      </c>
      <c r="K1250" t="s">
        <v>45</v>
      </c>
      <c r="L1250">
        <v>3</v>
      </c>
      <c r="M1250" t="s">
        <v>35</v>
      </c>
      <c r="N1250" s="2">
        <v>67</v>
      </c>
      <c r="O1250">
        <v>3</v>
      </c>
      <c r="P1250">
        <v>1</v>
      </c>
      <c r="Q1250" t="s">
        <v>41</v>
      </c>
      <c r="R1250">
        <v>4</v>
      </c>
      <c r="S1250" t="s">
        <v>37</v>
      </c>
      <c r="T1250" s="2">
        <v>3445</v>
      </c>
      <c r="U1250" s="2">
        <v>6152</v>
      </c>
      <c r="V1250">
        <v>1</v>
      </c>
      <c r="W1250" t="s">
        <v>38</v>
      </c>
      <c r="X1250">
        <v>11</v>
      </c>
      <c r="Y1250">
        <v>3</v>
      </c>
      <c r="Z1250">
        <v>3</v>
      </c>
      <c r="AA1250">
        <v>80</v>
      </c>
      <c r="AB1250">
        <v>0</v>
      </c>
      <c r="AC1250">
        <v>6</v>
      </c>
      <c r="AD1250">
        <v>5</v>
      </c>
      <c r="AE1250">
        <v>2</v>
      </c>
      <c r="AF1250">
        <v>6</v>
      </c>
      <c r="AG1250">
        <v>2</v>
      </c>
      <c r="AH1250">
        <v>1</v>
      </c>
      <c r="AI1250">
        <v>4</v>
      </c>
    </row>
    <row r="1251" spans="1:35" x14ac:dyDescent="0.25">
      <c r="A1251">
        <v>29</v>
      </c>
      <c r="B1251" t="str">
        <f t="shared" si="38"/>
        <v>25-34</v>
      </c>
      <c r="C1251" s="1" t="s">
        <v>32</v>
      </c>
      <c r="D1251" s="17">
        <f>IF(Table1[[#This Row],[Attrition]]="Yes",1,0)</f>
        <v>1</v>
      </c>
      <c r="E1251" t="s">
        <v>57</v>
      </c>
      <c r="F1251" s="2">
        <v>428</v>
      </c>
      <c r="G1251" t="s">
        <v>33</v>
      </c>
      <c r="H1251">
        <v>9</v>
      </c>
      <c r="I1251">
        <v>3</v>
      </c>
      <c r="J1251" t="str">
        <f t="shared" si="39"/>
        <v>Bachelor</v>
      </c>
      <c r="K1251" t="s">
        <v>53</v>
      </c>
      <c r="L1251">
        <v>2</v>
      </c>
      <c r="M1251" t="s">
        <v>35</v>
      </c>
      <c r="N1251" s="2">
        <v>52</v>
      </c>
      <c r="O1251">
        <v>1</v>
      </c>
      <c r="P1251">
        <v>1</v>
      </c>
      <c r="Q1251" t="s">
        <v>51</v>
      </c>
      <c r="R1251">
        <v>2</v>
      </c>
      <c r="S1251" t="s">
        <v>37</v>
      </c>
      <c r="T1251" s="2">
        <v>2760</v>
      </c>
      <c r="U1251" s="2">
        <v>14630</v>
      </c>
      <c r="V1251">
        <v>1</v>
      </c>
      <c r="W1251" t="s">
        <v>38</v>
      </c>
      <c r="X1251">
        <v>13</v>
      </c>
      <c r="Y1251">
        <v>3</v>
      </c>
      <c r="Z1251">
        <v>3</v>
      </c>
      <c r="AA1251">
        <v>80</v>
      </c>
      <c r="AB1251">
        <v>0</v>
      </c>
      <c r="AC1251">
        <v>2</v>
      </c>
      <c r="AD1251">
        <v>3</v>
      </c>
      <c r="AE1251">
        <v>3</v>
      </c>
      <c r="AF1251">
        <v>2</v>
      </c>
      <c r="AG1251">
        <v>2</v>
      </c>
      <c r="AH1251">
        <v>2</v>
      </c>
      <c r="AI1251">
        <v>2</v>
      </c>
    </row>
    <row r="1252" spans="1:35" x14ac:dyDescent="0.25">
      <c r="A1252">
        <v>29</v>
      </c>
      <c r="B1252" t="str">
        <f t="shared" si="38"/>
        <v>25-34</v>
      </c>
      <c r="C1252" s="1" t="s">
        <v>38</v>
      </c>
      <c r="D1252" s="17">
        <f>IF(Table1[[#This Row],[Attrition]]="Yes",1,0)</f>
        <v>0</v>
      </c>
      <c r="E1252" t="s">
        <v>58</v>
      </c>
      <c r="F1252" s="2">
        <v>461</v>
      </c>
      <c r="G1252" t="s">
        <v>39</v>
      </c>
      <c r="H1252">
        <v>1</v>
      </c>
      <c r="I1252">
        <v>3</v>
      </c>
      <c r="J1252" t="str">
        <f t="shared" si="39"/>
        <v>Bachelor</v>
      </c>
      <c r="K1252" t="s">
        <v>34</v>
      </c>
      <c r="L1252">
        <v>4</v>
      </c>
      <c r="M1252" t="s">
        <v>40</v>
      </c>
      <c r="N1252" s="2">
        <v>70</v>
      </c>
      <c r="O1252">
        <v>4</v>
      </c>
      <c r="P1252">
        <v>2</v>
      </c>
      <c r="Q1252" t="s">
        <v>48</v>
      </c>
      <c r="R1252">
        <v>3</v>
      </c>
      <c r="S1252" t="s">
        <v>37</v>
      </c>
      <c r="T1252" s="2">
        <v>6294</v>
      </c>
      <c r="U1252" s="2">
        <v>23060</v>
      </c>
      <c r="V1252">
        <v>8</v>
      </c>
      <c r="W1252" t="s">
        <v>32</v>
      </c>
      <c r="X1252">
        <v>12</v>
      </c>
      <c r="Y1252">
        <v>3</v>
      </c>
      <c r="Z1252">
        <v>4</v>
      </c>
      <c r="AA1252">
        <v>80</v>
      </c>
      <c r="AB1252">
        <v>0</v>
      </c>
      <c r="AC1252">
        <v>10</v>
      </c>
      <c r="AD1252">
        <v>5</v>
      </c>
      <c r="AE1252">
        <v>4</v>
      </c>
      <c r="AF1252">
        <v>3</v>
      </c>
      <c r="AG1252">
        <v>2</v>
      </c>
      <c r="AH1252">
        <v>0</v>
      </c>
      <c r="AI1252">
        <v>2</v>
      </c>
    </row>
    <row r="1253" spans="1:35" x14ac:dyDescent="0.25">
      <c r="A1253">
        <v>30</v>
      </c>
      <c r="B1253" t="str">
        <f t="shared" si="38"/>
        <v>25-34</v>
      </c>
      <c r="C1253" s="1" t="s">
        <v>38</v>
      </c>
      <c r="D1253" s="17">
        <f>IF(Table1[[#This Row],[Attrition]]="Yes",1,0)</f>
        <v>0</v>
      </c>
      <c r="E1253" t="s">
        <v>57</v>
      </c>
      <c r="F1253" s="2">
        <v>979</v>
      </c>
      <c r="G1253" t="s">
        <v>33</v>
      </c>
      <c r="H1253">
        <v>15</v>
      </c>
      <c r="I1253">
        <v>2</v>
      </c>
      <c r="J1253" t="str">
        <f t="shared" si="39"/>
        <v>College</v>
      </c>
      <c r="K1253" t="s">
        <v>53</v>
      </c>
      <c r="L1253">
        <v>3</v>
      </c>
      <c r="M1253" t="s">
        <v>40</v>
      </c>
      <c r="N1253" s="2">
        <v>94</v>
      </c>
      <c r="O1253">
        <v>2</v>
      </c>
      <c r="P1253">
        <v>3</v>
      </c>
      <c r="Q1253" t="s">
        <v>36</v>
      </c>
      <c r="R1253">
        <v>1</v>
      </c>
      <c r="S1253" t="s">
        <v>46</v>
      </c>
      <c r="T1253" s="2">
        <v>7140</v>
      </c>
      <c r="U1253" s="2">
        <v>3088</v>
      </c>
      <c r="V1253">
        <v>2</v>
      </c>
      <c r="W1253" t="s">
        <v>38</v>
      </c>
      <c r="X1253">
        <v>11</v>
      </c>
      <c r="Y1253">
        <v>3</v>
      </c>
      <c r="Z1253">
        <v>1</v>
      </c>
      <c r="AA1253">
        <v>80</v>
      </c>
      <c r="AB1253">
        <v>1</v>
      </c>
      <c r="AC1253">
        <v>12</v>
      </c>
      <c r="AD1253">
        <v>2</v>
      </c>
      <c r="AE1253">
        <v>3</v>
      </c>
      <c r="AF1253">
        <v>7</v>
      </c>
      <c r="AG1253">
        <v>7</v>
      </c>
      <c r="AH1253">
        <v>1</v>
      </c>
      <c r="AI1253">
        <v>7</v>
      </c>
    </row>
    <row r="1254" spans="1:35" x14ac:dyDescent="0.25">
      <c r="A1254">
        <v>34</v>
      </c>
      <c r="B1254" t="str">
        <f t="shared" si="38"/>
        <v>25-34</v>
      </c>
      <c r="C1254" s="1" t="s">
        <v>38</v>
      </c>
      <c r="D1254" s="17">
        <f>IF(Table1[[#This Row],[Attrition]]="Yes",1,0)</f>
        <v>0</v>
      </c>
      <c r="E1254" t="s">
        <v>57</v>
      </c>
      <c r="F1254" s="2">
        <v>181</v>
      </c>
      <c r="G1254" t="s">
        <v>39</v>
      </c>
      <c r="H1254">
        <v>2</v>
      </c>
      <c r="I1254">
        <v>4</v>
      </c>
      <c r="J1254" t="str">
        <f t="shared" si="39"/>
        <v>Master</v>
      </c>
      <c r="K1254" t="s">
        <v>45</v>
      </c>
      <c r="L1254">
        <v>4</v>
      </c>
      <c r="M1254" t="s">
        <v>40</v>
      </c>
      <c r="N1254" s="2">
        <v>97</v>
      </c>
      <c r="O1254">
        <v>4</v>
      </c>
      <c r="P1254">
        <v>1</v>
      </c>
      <c r="Q1254" t="s">
        <v>41</v>
      </c>
      <c r="R1254">
        <v>4</v>
      </c>
      <c r="S1254" t="s">
        <v>42</v>
      </c>
      <c r="T1254" s="2">
        <v>2932</v>
      </c>
      <c r="U1254" s="2">
        <v>5586</v>
      </c>
      <c r="V1254">
        <v>0</v>
      </c>
      <c r="W1254" t="s">
        <v>32</v>
      </c>
      <c r="X1254">
        <v>14</v>
      </c>
      <c r="Y1254">
        <v>3</v>
      </c>
      <c r="Z1254">
        <v>1</v>
      </c>
      <c r="AA1254">
        <v>80</v>
      </c>
      <c r="AB1254">
        <v>3</v>
      </c>
      <c r="AC1254">
        <v>6</v>
      </c>
      <c r="AD1254">
        <v>3</v>
      </c>
      <c r="AE1254">
        <v>3</v>
      </c>
      <c r="AF1254">
        <v>5</v>
      </c>
      <c r="AG1254">
        <v>0</v>
      </c>
      <c r="AH1254">
        <v>1</v>
      </c>
      <c r="AI1254">
        <v>2</v>
      </c>
    </row>
    <row r="1255" spans="1:35" x14ac:dyDescent="0.25">
      <c r="A1255">
        <v>33</v>
      </c>
      <c r="B1255" t="str">
        <f t="shared" si="38"/>
        <v>25-34</v>
      </c>
      <c r="C1255" s="1" t="s">
        <v>38</v>
      </c>
      <c r="D1255" s="17">
        <f>IF(Table1[[#This Row],[Attrition]]="Yes",1,0)</f>
        <v>0</v>
      </c>
      <c r="E1255" t="s">
        <v>49</v>
      </c>
      <c r="F1255" s="2">
        <v>1283</v>
      </c>
      <c r="G1255" t="s">
        <v>33</v>
      </c>
      <c r="H1255">
        <v>2</v>
      </c>
      <c r="I1255">
        <v>3</v>
      </c>
      <c r="J1255" t="str">
        <f t="shared" si="39"/>
        <v>Bachelor</v>
      </c>
      <c r="K1255" t="s">
        <v>53</v>
      </c>
      <c r="L1255">
        <v>4</v>
      </c>
      <c r="M1255" t="s">
        <v>35</v>
      </c>
      <c r="N1255" s="2">
        <v>62</v>
      </c>
      <c r="O1255">
        <v>3</v>
      </c>
      <c r="P1255">
        <v>2</v>
      </c>
      <c r="Q1255" t="s">
        <v>36</v>
      </c>
      <c r="R1255">
        <v>2</v>
      </c>
      <c r="S1255" t="s">
        <v>37</v>
      </c>
      <c r="T1255" s="2">
        <v>5147</v>
      </c>
      <c r="U1255" s="2">
        <v>10697</v>
      </c>
      <c r="V1255">
        <v>8</v>
      </c>
      <c r="W1255" t="s">
        <v>38</v>
      </c>
      <c r="X1255">
        <v>15</v>
      </c>
      <c r="Y1255">
        <v>3</v>
      </c>
      <c r="Z1255">
        <v>4</v>
      </c>
      <c r="AA1255">
        <v>80</v>
      </c>
      <c r="AB1255">
        <v>0</v>
      </c>
      <c r="AC1255">
        <v>13</v>
      </c>
      <c r="AD1255">
        <v>2</v>
      </c>
      <c r="AE1255">
        <v>2</v>
      </c>
      <c r="AF1255">
        <v>11</v>
      </c>
      <c r="AG1255">
        <v>7</v>
      </c>
      <c r="AH1255">
        <v>1</v>
      </c>
      <c r="AI1255">
        <v>7</v>
      </c>
    </row>
    <row r="1256" spans="1:35" x14ac:dyDescent="0.25">
      <c r="A1256">
        <v>49</v>
      </c>
      <c r="B1256" t="str">
        <f t="shared" si="38"/>
        <v>45-54</v>
      </c>
      <c r="C1256" s="1" t="s">
        <v>38</v>
      </c>
      <c r="D1256" s="17">
        <f>IF(Table1[[#This Row],[Attrition]]="Yes",1,0)</f>
        <v>0</v>
      </c>
      <c r="E1256" t="s">
        <v>57</v>
      </c>
      <c r="F1256" s="2">
        <v>1313</v>
      </c>
      <c r="G1256" t="s">
        <v>33</v>
      </c>
      <c r="H1256">
        <v>11</v>
      </c>
      <c r="I1256">
        <v>4</v>
      </c>
      <c r="J1256" t="str">
        <f t="shared" si="39"/>
        <v>Master</v>
      </c>
      <c r="K1256" t="s">
        <v>53</v>
      </c>
      <c r="L1256">
        <v>4</v>
      </c>
      <c r="M1256" t="s">
        <v>35</v>
      </c>
      <c r="N1256" s="2">
        <v>80</v>
      </c>
      <c r="O1256">
        <v>3</v>
      </c>
      <c r="P1256">
        <v>2</v>
      </c>
      <c r="Q1256" t="s">
        <v>36</v>
      </c>
      <c r="R1256">
        <v>4</v>
      </c>
      <c r="S1256" t="s">
        <v>37</v>
      </c>
      <c r="T1256" s="2">
        <v>4507</v>
      </c>
      <c r="U1256" s="2">
        <v>8191</v>
      </c>
      <c r="V1256">
        <v>3</v>
      </c>
      <c r="W1256" t="s">
        <v>38</v>
      </c>
      <c r="X1256">
        <v>12</v>
      </c>
      <c r="Y1256">
        <v>3</v>
      </c>
      <c r="Z1256">
        <v>3</v>
      </c>
      <c r="AA1256">
        <v>80</v>
      </c>
      <c r="AB1256">
        <v>0</v>
      </c>
      <c r="AC1256">
        <v>8</v>
      </c>
      <c r="AD1256">
        <v>1</v>
      </c>
      <c r="AE1256">
        <v>4</v>
      </c>
      <c r="AF1256">
        <v>5</v>
      </c>
      <c r="AG1256">
        <v>1</v>
      </c>
      <c r="AH1256">
        <v>0</v>
      </c>
      <c r="AI1256">
        <v>4</v>
      </c>
    </row>
    <row r="1257" spans="1:35" x14ac:dyDescent="0.25">
      <c r="A1257">
        <v>33</v>
      </c>
      <c r="B1257" t="str">
        <f t="shared" si="38"/>
        <v>25-34</v>
      </c>
      <c r="C1257" s="1" t="s">
        <v>32</v>
      </c>
      <c r="D1257" s="17">
        <f>IF(Table1[[#This Row],[Attrition]]="Yes",1,0)</f>
        <v>1</v>
      </c>
      <c r="E1257" t="s">
        <v>57</v>
      </c>
      <c r="F1257" s="2">
        <v>211</v>
      </c>
      <c r="G1257" t="s">
        <v>33</v>
      </c>
      <c r="H1257">
        <v>16</v>
      </c>
      <c r="I1257">
        <v>3</v>
      </c>
      <c r="J1257" t="str">
        <f t="shared" si="39"/>
        <v>Bachelor</v>
      </c>
      <c r="K1257" t="s">
        <v>34</v>
      </c>
      <c r="L1257">
        <v>1</v>
      </c>
      <c r="M1257" t="s">
        <v>35</v>
      </c>
      <c r="N1257" s="2">
        <v>74</v>
      </c>
      <c r="O1257">
        <v>3</v>
      </c>
      <c r="P1257">
        <v>3</v>
      </c>
      <c r="Q1257" t="s">
        <v>36</v>
      </c>
      <c r="R1257">
        <v>1</v>
      </c>
      <c r="S1257" t="s">
        <v>37</v>
      </c>
      <c r="T1257" s="2">
        <v>8564</v>
      </c>
      <c r="U1257" s="2">
        <v>10092</v>
      </c>
      <c r="V1257">
        <v>2</v>
      </c>
      <c r="W1257" t="s">
        <v>32</v>
      </c>
      <c r="X1257">
        <v>20</v>
      </c>
      <c r="Y1257">
        <v>4</v>
      </c>
      <c r="Z1257">
        <v>3</v>
      </c>
      <c r="AA1257">
        <v>80</v>
      </c>
      <c r="AB1257">
        <v>0</v>
      </c>
      <c r="AC1257">
        <v>11</v>
      </c>
      <c r="AD1257">
        <v>2</v>
      </c>
      <c r="AE1257">
        <v>2</v>
      </c>
      <c r="AF1257">
        <v>0</v>
      </c>
      <c r="AG1257">
        <v>0</v>
      </c>
      <c r="AH1257">
        <v>0</v>
      </c>
      <c r="AI1257">
        <v>0</v>
      </c>
    </row>
    <row r="1258" spans="1:35" x14ac:dyDescent="0.25">
      <c r="A1258">
        <v>38</v>
      </c>
      <c r="B1258" t="str">
        <f t="shared" si="38"/>
        <v>35-44</v>
      </c>
      <c r="C1258" s="1" t="s">
        <v>38</v>
      </c>
      <c r="D1258" s="17">
        <f>IF(Table1[[#This Row],[Attrition]]="Yes",1,0)</f>
        <v>0</v>
      </c>
      <c r="E1258" t="s">
        <v>58</v>
      </c>
      <c r="F1258" s="2">
        <v>594</v>
      </c>
      <c r="G1258" t="s">
        <v>39</v>
      </c>
      <c r="H1258">
        <v>2</v>
      </c>
      <c r="I1258">
        <v>2</v>
      </c>
      <c r="J1258" t="str">
        <f t="shared" si="39"/>
        <v>College</v>
      </c>
      <c r="K1258" t="s">
        <v>45</v>
      </c>
      <c r="L1258">
        <v>3</v>
      </c>
      <c r="M1258" t="s">
        <v>35</v>
      </c>
      <c r="N1258" s="2">
        <v>75</v>
      </c>
      <c r="O1258">
        <v>2</v>
      </c>
      <c r="P1258">
        <v>1</v>
      </c>
      <c r="Q1258" t="s">
        <v>44</v>
      </c>
      <c r="R1258">
        <v>2</v>
      </c>
      <c r="S1258" t="s">
        <v>42</v>
      </c>
      <c r="T1258" s="2">
        <v>2468</v>
      </c>
      <c r="U1258" s="2">
        <v>15963</v>
      </c>
      <c r="V1258">
        <v>4</v>
      </c>
      <c r="W1258" t="s">
        <v>38</v>
      </c>
      <c r="X1258">
        <v>14</v>
      </c>
      <c r="Y1258">
        <v>3</v>
      </c>
      <c r="Z1258">
        <v>2</v>
      </c>
      <c r="AA1258">
        <v>80</v>
      </c>
      <c r="AB1258">
        <v>1</v>
      </c>
      <c r="AC1258">
        <v>9</v>
      </c>
      <c r="AD1258">
        <v>4</v>
      </c>
      <c r="AE1258">
        <v>2</v>
      </c>
      <c r="AF1258">
        <v>6</v>
      </c>
      <c r="AG1258">
        <v>1</v>
      </c>
      <c r="AH1258">
        <v>0</v>
      </c>
      <c r="AI1258">
        <v>5</v>
      </c>
    </row>
    <row r="1259" spans="1:35" x14ac:dyDescent="0.25">
      <c r="A1259">
        <v>31</v>
      </c>
      <c r="B1259" t="str">
        <f t="shared" si="38"/>
        <v>25-34</v>
      </c>
      <c r="C1259" s="1" t="s">
        <v>32</v>
      </c>
      <c r="D1259" s="17">
        <f>IF(Table1[[#This Row],[Attrition]]="Yes",1,0)</f>
        <v>1</v>
      </c>
      <c r="E1259" t="s">
        <v>57</v>
      </c>
      <c r="F1259" s="2">
        <v>1079</v>
      </c>
      <c r="G1259" t="s">
        <v>33</v>
      </c>
      <c r="H1259">
        <v>16</v>
      </c>
      <c r="I1259">
        <v>4</v>
      </c>
      <c r="J1259" t="str">
        <f t="shared" si="39"/>
        <v>Master</v>
      </c>
      <c r="K1259" t="s">
        <v>53</v>
      </c>
      <c r="L1259">
        <v>1</v>
      </c>
      <c r="M1259" t="s">
        <v>40</v>
      </c>
      <c r="N1259" s="2">
        <v>70</v>
      </c>
      <c r="O1259">
        <v>3</v>
      </c>
      <c r="P1259">
        <v>3</v>
      </c>
      <c r="Q1259" t="s">
        <v>36</v>
      </c>
      <c r="R1259">
        <v>3</v>
      </c>
      <c r="S1259" t="s">
        <v>42</v>
      </c>
      <c r="T1259" s="2">
        <v>8161</v>
      </c>
      <c r="U1259" s="2">
        <v>19002</v>
      </c>
      <c r="V1259">
        <v>2</v>
      </c>
      <c r="W1259" t="s">
        <v>38</v>
      </c>
      <c r="X1259">
        <v>13</v>
      </c>
      <c r="Y1259">
        <v>3</v>
      </c>
      <c r="Z1259">
        <v>1</v>
      </c>
      <c r="AA1259">
        <v>80</v>
      </c>
      <c r="AB1259">
        <v>3</v>
      </c>
      <c r="AC1259">
        <v>10</v>
      </c>
      <c r="AD1259">
        <v>2</v>
      </c>
      <c r="AE1259">
        <v>3</v>
      </c>
      <c r="AF1259">
        <v>1</v>
      </c>
      <c r="AG1259">
        <v>0</v>
      </c>
      <c r="AH1259">
        <v>0</v>
      </c>
      <c r="AI1259">
        <v>0</v>
      </c>
    </row>
    <row r="1260" spans="1:35" x14ac:dyDescent="0.25">
      <c r="A1260">
        <v>29</v>
      </c>
      <c r="B1260" t="str">
        <f t="shared" si="38"/>
        <v>25-34</v>
      </c>
      <c r="C1260" s="1" t="s">
        <v>38</v>
      </c>
      <c r="D1260" s="17">
        <f>IF(Table1[[#This Row],[Attrition]]="Yes",1,0)</f>
        <v>0</v>
      </c>
      <c r="E1260" t="s">
        <v>57</v>
      </c>
      <c r="F1260" s="2">
        <v>590</v>
      </c>
      <c r="G1260" t="s">
        <v>39</v>
      </c>
      <c r="H1260">
        <v>4</v>
      </c>
      <c r="I1260">
        <v>3</v>
      </c>
      <c r="J1260" t="str">
        <f t="shared" si="39"/>
        <v>Bachelor</v>
      </c>
      <c r="K1260" t="s">
        <v>54</v>
      </c>
      <c r="L1260">
        <v>4</v>
      </c>
      <c r="M1260" t="s">
        <v>35</v>
      </c>
      <c r="N1260" s="2">
        <v>91</v>
      </c>
      <c r="O1260">
        <v>2</v>
      </c>
      <c r="P1260">
        <v>1</v>
      </c>
      <c r="Q1260" t="s">
        <v>41</v>
      </c>
      <c r="R1260">
        <v>1</v>
      </c>
      <c r="S1260" t="s">
        <v>46</v>
      </c>
      <c r="T1260" s="2">
        <v>2109</v>
      </c>
      <c r="U1260" s="2">
        <v>10007</v>
      </c>
      <c r="V1260">
        <v>1</v>
      </c>
      <c r="W1260" t="s">
        <v>38</v>
      </c>
      <c r="X1260">
        <v>13</v>
      </c>
      <c r="Y1260">
        <v>3</v>
      </c>
      <c r="Z1260">
        <v>3</v>
      </c>
      <c r="AA1260">
        <v>80</v>
      </c>
      <c r="AB1260">
        <v>1</v>
      </c>
      <c r="AC1260">
        <v>1</v>
      </c>
      <c r="AD1260">
        <v>2</v>
      </c>
      <c r="AE1260">
        <v>3</v>
      </c>
      <c r="AF1260">
        <v>1</v>
      </c>
      <c r="AG1260">
        <v>0</v>
      </c>
      <c r="AH1260">
        <v>0</v>
      </c>
      <c r="AI1260">
        <v>0</v>
      </c>
    </row>
    <row r="1261" spans="1:35" x14ac:dyDescent="0.25">
      <c r="A1261">
        <v>30</v>
      </c>
      <c r="B1261" t="str">
        <f t="shared" si="38"/>
        <v>25-34</v>
      </c>
      <c r="C1261" s="1" t="s">
        <v>38</v>
      </c>
      <c r="D1261" s="17">
        <f>IF(Table1[[#This Row],[Attrition]]="Yes",1,0)</f>
        <v>0</v>
      </c>
      <c r="E1261" t="s">
        <v>57</v>
      </c>
      <c r="F1261" s="2">
        <v>305</v>
      </c>
      <c r="G1261" t="s">
        <v>39</v>
      </c>
      <c r="H1261">
        <v>16</v>
      </c>
      <c r="I1261">
        <v>3</v>
      </c>
      <c r="J1261" t="str">
        <f t="shared" si="39"/>
        <v>Bachelor</v>
      </c>
      <c r="K1261" t="s">
        <v>34</v>
      </c>
      <c r="L1261">
        <v>3</v>
      </c>
      <c r="M1261" t="s">
        <v>40</v>
      </c>
      <c r="N1261" s="2">
        <v>58</v>
      </c>
      <c r="O1261">
        <v>4</v>
      </c>
      <c r="P1261">
        <v>2</v>
      </c>
      <c r="Q1261" t="s">
        <v>48</v>
      </c>
      <c r="R1261">
        <v>3</v>
      </c>
      <c r="S1261" t="s">
        <v>42</v>
      </c>
      <c r="T1261" s="2">
        <v>5294</v>
      </c>
      <c r="U1261" s="2">
        <v>9128</v>
      </c>
      <c r="V1261">
        <v>3</v>
      </c>
      <c r="W1261" t="s">
        <v>38</v>
      </c>
      <c r="X1261">
        <v>16</v>
      </c>
      <c r="Y1261">
        <v>3</v>
      </c>
      <c r="Z1261">
        <v>3</v>
      </c>
      <c r="AA1261">
        <v>80</v>
      </c>
      <c r="AB1261">
        <v>1</v>
      </c>
      <c r="AC1261">
        <v>10</v>
      </c>
      <c r="AD1261">
        <v>3</v>
      </c>
      <c r="AE1261">
        <v>3</v>
      </c>
      <c r="AF1261">
        <v>7</v>
      </c>
      <c r="AG1261">
        <v>0</v>
      </c>
      <c r="AH1261">
        <v>1</v>
      </c>
      <c r="AI1261">
        <v>7</v>
      </c>
    </row>
    <row r="1262" spans="1:35" x14ac:dyDescent="0.25">
      <c r="A1262">
        <v>32</v>
      </c>
      <c r="B1262" t="str">
        <f t="shared" si="38"/>
        <v>25-34</v>
      </c>
      <c r="C1262" s="1" t="s">
        <v>38</v>
      </c>
      <c r="D1262" s="17">
        <f>IF(Table1[[#This Row],[Attrition]]="Yes",1,0)</f>
        <v>0</v>
      </c>
      <c r="E1262" t="s">
        <v>49</v>
      </c>
      <c r="F1262" s="2">
        <v>953</v>
      </c>
      <c r="G1262" t="s">
        <v>39</v>
      </c>
      <c r="H1262">
        <v>5</v>
      </c>
      <c r="I1262">
        <v>4</v>
      </c>
      <c r="J1262" t="str">
        <f t="shared" si="39"/>
        <v>Master</v>
      </c>
      <c r="K1262" t="s">
        <v>54</v>
      </c>
      <c r="L1262">
        <v>2</v>
      </c>
      <c r="M1262" t="s">
        <v>40</v>
      </c>
      <c r="N1262" s="2">
        <v>65</v>
      </c>
      <c r="O1262">
        <v>3</v>
      </c>
      <c r="P1262">
        <v>1</v>
      </c>
      <c r="Q1262" t="s">
        <v>41</v>
      </c>
      <c r="R1262">
        <v>2</v>
      </c>
      <c r="S1262" t="s">
        <v>37</v>
      </c>
      <c r="T1262" s="2">
        <v>2718</v>
      </c>
      <c r="U1262" s="2">
        <v>17674</v>
      </c>
      <c r="V1262">
        <v>2</v>
      </c>
      <c r="W1262" t="s">
        <v>38</v>
      </c>
      <c r="X1262">
        <v>14</v>
      </c>
      <c r="Y1262">
        <v>3</v>
      </c>
      <c r="Z1262">
        <v>2</v>
      </c>
      <c r="AA1262">
        <v>80</v>
      </c>
      <c r="AB1262">
        <v>0</v>
      </c>
      <c r="AC1262">
        <v>12</v>
      </c>
      <c r="AD1262">
        <v>3</v>
      </c>
      <c r="AE1262">
        <v>3</v>
      </c>
      <c r="AF1262">
        <v>7</v>
      </c>
      <c r="AG1262">
        <v>7</v>
      </c>
      <c r="AH1262">
        <v>0</v>
      </c>
      <c r="AI1262">
        <v>7</v>
      </c>
    </row>
    <row r="1263" spans="1:35" x14ac:dyDescent="0.25">
      <c r="A1263">
        <v>38</v>
      </c>
      <c r="B1263" t="str">
        <f t="shared" si="38"/>
        <v>35-44</v>
      </c>
      <c r="C1263" s="1" t="s">
        <v>38</v>
      </c>
      <c r="D1263" s="17">
        <f>IF(Table1[[#This Row],[Attrition]]="Yes",1,0)</f>
        <v>0</v>
      </c>
      <c r="E1263" t="s">
        <v>57</v>
      </c>
      <c r="F1263" s="2">
        <v>833</v>
      </c>
      <c r="G1263" t="s">
        <v>39</v>
      </c>
      <c r="H1263">
        <v>18</v>
      </c>
      <c r="I1263">
        <v>3</v>
      </c>
      <c r="J1263" t="str">
        <f t="shared" si="39"/>
        <v>Bachelor</v>
      </c>
      <c r="K1263" t="s">
        <v>45</v>
      </c>
      <c r="L1263">
        <v>2</v>
      </c>
      <c r="M1263" t="s">
        <v>40</v>
      </c>
      <c r="N1263" s="2">
        <v>60</v>
      </c>
      <c r="O1263">
        <v>1</v>
      </c>
      <c r="P1263">
        <v>2</v>
      </c>
      <c r="Q1263" t="s">
        <v>48</v>
      </c>
      <c r="R1263">
        <v>4</v>
      </c>
      <c r="S1263" t="s">
        <v>42</v>
      </c>
      <c r="T1263" s="2">
        <v>5811</v>
      </c>
      <c r="U1263" s="2">
        <v>24539</v>
      </c>
      <c r="V1263">
        <v>3</v>
      </c>
      <c r="W1263" t="s">
        <v>32</v>
      </c>
      <c r="X1263">
        <v>16</v>
      </c>
      <c r="Y1263">
        <v>3</v>
      </c>
      <c r="Z1263">
        <v>3</v>
      </c>
      <c r="AA1263">
        <v>80</v>
      </c>
      <c r="AB1263">
        <v>1</v>
      </c>
      <c r="AC1263">
        <v>15</v>
      </c>
      <c r="AD1263">
        <v>2</v>
      </c>
      <c r="AE1263">
        <v>3</v>
      </c>
      <c r="AF1263">
        <v>1</v>
      </c>
      <c r="AG1263">
        <v>0</v>
      </c>
      <c r="AH1263">
        <v>1</v>
      </c>
      <c r="AI1263">
        <v>0</v>
      </c>
    </row>
    <row r="1264" spans="1:35" x14ac:dyDescent="0.25">
      <c r="A1264">
        <v>43</v>
      </c>
      <c r="B1264" t="str">
        <f t="shared" si="38"/>
        <v>35-44</v>
      </c>
      <c r="C1264" s="1" t="s">
        <v>32</v>
      </c>
      <c r="D1264" s="17">
        <f>IF(Table1[[#This Row],[Attrition]]="Yes",1,0)</f>
        <v>1</v>
      </c>
      <c r="E1264" t="s">
        <v>58</v>
      </c>
      <c r="F1264" s="2">
        <v>807</v>
      </c>
      <c r="G1264" t="s">
        <v>39</v>
      </c>
      <c r="H1264">
        <v>17</v>
      </c>
      <c r="I1264">
        <v>3</v>
      </c>
      <c r="J1264" t="str">
        <f t="shared" si="39"/>
        <v>Bachelor</v>
      </c>
      <c r="K1264" t="s">
        <v>54</v>
      </c>
      <c r="L1264">
        <v>3</v>
      </c>
      <c r="M1264" t="s">
        <v>40</v>
      </c>
      <c r="N1264" s="2">
        <v>38</v>
      </c>
      <c r="O1264">
        <v>2</v>
      </c>
      <c r="P1264">
        <v>1</v>
      </c>
      <c r="Q1264" t="s">
        <v>41</v>
      </c>
      <c r="R1264">
        <v>3</v>
      </c>
      <c r="S1264" t="s">
        <v>42</v>
      </c>
      <c r="T1264" s="2">
        <v>2437</v>
      </c>
      <c r="U1264" s="2">
        <v>15587</v>
      </c>
      <c r="V1264">
        <v>9</v>
      </c>
      <c r="W1264" t="s">
        <v>32</v>
      </c>
      <c r="X1264">
        <v>16</v>
      </c>
      <c r="Y1264">
        <v>3</v>
      </c>
      <c r="Z1264">
        <v>4</v>
      </c>
      <c r="AA1264">
        <v>80</v>
      </c>
      <c r="AB1264">
        <v>1</v>
      </c>
      <c r="AC1264">
        <v>6</v>
      </c>
      <c r="AD1264">
        <v>4</v>
      </c>
      <c r="AE1264">
        <v>3</v>
      </c>
      <c r="AF1264">
        <v>1</v>
      </c>
      <c r="AG1264">
        <v>0</v>
      </c>
      <c r="AH1264">
        <v>0</v>
      </c>
      <c r="AI1264">
        <v>0</v>
      </c>
    </row>
    <row r="1265" spans="1:35" x14ac:dyDescent="0.25">
      <c r="A1265">
        <v>42</v>
      </c>
      <c r="B1265" t="str">
        <f t="shared" si="38"/>
        <v>35-44</v>
      </c>
      <c r="C1265" s="1" t="s">
        <v>38</v>
      </c>
      <c r="D1265" s="17">
        <f>IF(Table1[[#This Row],[Attrition]]="Yes",1,0)</f>
        <v>0</v>
      </c>
      <c r="E1265" t="s">
        <v>57</v>
      </c>
      <c r="F1265" s="2">
        <v>855</v>
      </c>
      <c r="G1265" t="s">
        <v>39</v>
      </c>
      <c r="H1265">
        <v>12</v>
      </c>
      <c r="I1265">
        <v>3</v>
      </c>
      <c r="J1265" t="str">
        <f t="shared" si="39"/>
        <v>Bachelor</v>
      </c>
      <c r="K1265" t="s">
        <v>45</v>
      </c>
      <c r="L1265">
        <v>2</v>
      </c>
      <c r="M1265" t="s">
        <v>40</v>
      </c>
      <c r="N1265" s="2">
        <v>57</v>
      </c>
      <c r="O1265">
        <v>3</v>
      </c>
      <c r="P1265">
        <v>1</v>
      </c>
      <c r="Q1265" t="s">
        <v>44</v>
      </c>
      <c r="R1265">
        <v>2</v>
      </c>
      <c r="S1265" t="s">
        <v>46</v>
      </c>
      <c r="T1265" s="2">
        <v>2766</v>
      </c>
      <c r="U1265" s="2">
        <v>8952</v>
      </c>
      <c r="V1265">
        <v>8</v>
      </c>
      <c r="W1265" t="s">
        <v>38</v>
      </c>
      <c r="X1265">
        <v>22</v>
      </c>
      <c r="Y1265">
        <v>4</v>
      </c>
      <c r="Z1265">
        <v>2</v>
      </c>
      <c r="AA1265">
        <v>80</v>
      </c>
      <c r="AB1265">
        <v>3</v>
      </c>
      <c r="AC1265">
        <v>7</v>
      </c>
      <c r="AD1265">
        <v>6</v>
      </c>
      <c r="AE1265">
        <v>2</v>
      </c>
      <c r="AF1265">
        <v>5</v>
      </c>
      <c r="AG1265">
        <v>3</v>
      </c>
      <c r="AH1265">
        <v>0</v>
      </c>
      <c r="AI1265">
        <v>4</v>
      </c>
    </row>
    <row r="1266" spans="1:35" x14ac:dyDescent="0.25">
      <c r="A1266">
        <v>55</v>
      </c>
      <c r="B1266" t="str">
        <f t="shared" si="38"/>
        <v>55-64</v>
      </c>
      <c r="C1266" s="1" t="s">
        <v>38</v>
      </c>
      <c r="D1266" s="17">
        <f>IF(Table1[[#This Row],[Attrition]]="Yes",1,0)</f>
        <v>0</v>
      </c>
      <c r="E1266" t="s">
        <v>57</v>
      </c>
      <c r="F1266" s="2">
        <v>478</v>
      </c>
      <c r="G1266" t="s">
        <v>39</v>
      </c>
      <c r="H1266">
        <v>2</v>
      </c>
      <c r="I1266">
        <v>3</v>
      </c>
      <c r="J1266" t="str">
        <f t="shared" si="39"/>
        <v>Bachelor</v>
      </c>
      <c r="K1266" t="s">
        <v>45</v>
      </c>
      <c r="L1266">
        <v>3</v>
      </c>
      <c r="M1266" t="s">
        <v>40</v>
      </c>
      <c r="N1266" s="2">
        <v>60</v>
      </c>
      <c r="O1266">
        <v>2</v>
      </c>
      <c r="P1266">
        <v>5</v>
      </c>
      <c r="Q1266" t="s">
        <v>52</v>
      </c>
      <c r="R1266">
        <v>1</v>
      </c>
      <c r="S1266" t="s">
        <v>42</v>
      </c>
      <c r="T1266" s="2">
        <v>19038</v>
      </c>
      <c r="U1266" s="2">
        <v>19805</v>
      </c>
      <c r="V1266">
        <v>8</v>
      </c>
      <c r="W1266" t="s">
        <v>38</v>
      </c>
      <c r="X1266">
        <v>12</v>
      </c>
      <c r="Y1266">
        <v>3</v>
      </c>
      <c r="Z1266">
        <v>2</v>
      </c>
      <c r="AA1266">
        <v>80</v>
      </c>
      <c r="AB1266">
        <v>3</v>
      </c>
      <c r="AC1266">
        <v>34</v>
      </c>
      <c r="AD1266">
        <v>2</v>
      </c>
      <c r="AE1266">
        <v>3</v>
      </c>
      <c r="AF1266">
        <v>1</v>
      </c>
      <c r="AG1266">
        <v>0</v>
      </c>
      <c r="AH1266">
        <v>0</v>
      </c>
      <c r="AI1266">
        <v>0</v>
      </c>
    </row>
    <row r="1267" spans="1:35" x14ac:dyDescent="0.25">
      <c r="A1267">
        <v>33</v>
      </c>
      <c r="B1267" t="str">
        <f t="shared" si="38"/>
        <v>25-34</v>
      </c>
      <c r="C1267" s="1" t="s">
        <v>38</v>
      </c>
      <c r="D1267" s="17">
        <f>IF(Table1[[#This Row],[Attrition]]="Yes",1,0)</f>
        <v>0</v>
      </c>
      <c r="E1267" t="s">
        <v>49</v>
      </c>
      <c r="F1267" s="2">
        <v>775</v>
      </c>
      <c r="G1267" t="s">
        <v>39</v>
      </c>
      <c r="H1267">
        <v>4</v>
      </c>
      <c r="I1267">
        <v>3</v>
      </c>
      <c r="J1267" t="str">
        <f t="shared" si="39"/>
        <v>Bachelor</v>
      </c>
      <c r="K1267" t="s">
        <v>54</v>
      </c>
      <c r="L1267">
        <v>4</v>
      </c>
      <c r="M1267" t="s">
        <v>40</v>
      </c>
      <c r="N1267" s="2">
        <v>90</v>
      </c>
      <c r="O1267">
        <v>3</v>
      </c>
      <c r="P1267">
        <v>2</v>
      </c>
      <c r="Q1267" t="s">
        <v>41</v>
      </c>
      <c r="R1267">
        <v>2</v>
      </c>
      <c r="S1267" t="s">
        <v>46</v>
      </c>
      <c r="T1267" s="2">
        <v>3055</v>
      </c>
      <c r="U1267" s="2">
        <v>6194</v>
      </c>
      <c r="V1267">
        <v>5</v>
      </c>
      <c r="W1267" t="s">
        <v>38</v>
      </c>
      <c r="X1267">
        <v>15</v>
      </c>
      <c r="Y1267">
        <v>3</v>
      </c>
      <c r="Z1267">
        <v>4</v>
      </c>
      <c r="AA1267">
        <v>80</v>
      </c>
      <c r="AB1267">
        <v>2</v>
      </c>
      <c r="AC1267">
        <v>11</v>
      </c>
      <c r="AD1267">
        <v>2</v>
      </c>
      <c r="AE1267">
        <v>2</v>
      </c>
      <c r="AF1267">
        <v>9</v>
      </c>
      <c r="AG1267">
        <v>8</v>
      </c>
      <c r="AH1267">
        <v>1</v>
      </c>
      <c r="AI1267">
        <v>7</v>
      </c>
    </row>
    <row r="1268" spans="1:35" x14ac:dyDescent="0.25">
      <c r="A1268">
        <v>41</v>
      </c>
      <c r="B1268" t="str">
        <f t="shared" si="38"/>
        <v>35-44</v>
      </c>
      <c r="C1268" s="1" t="s">
        <v>38</v>
      </c>
      <c r="D1268" s="17">
        <f>IF(Table1[[#This Row],[Attrition]]="Yes",1,0)</f>
        <v>0</v>
      </c>
      <c r="E1268" t="s">
        <v>57</v>
      </c>
      <c r="F1268" s="2">
        <v>548</v>
      </c>
      <c r="G1268" t="s">
        <v>39</v>
      </c>
      <c r="H1268">
        <v>9</v>
      </c>
      <c r="I1268">
        <v>4</v>
      </c>
      <c r="J1268" t="str">
        <f t="shared" si="39"/>
        <v>Master</v>
      </c>
      <c r="K1268" t="s">
        <v>34</v>
      </c>
      <c r="L1268">
        <v>3</v>
      </c>
      <c r="M1268" t="s">
        <v>40</v>
      </c>
      <c r="N1268" s="2">
        <v>94</v>
      </c>
      <c r="O1268">
        <v>3</v>
      </c>
      <c r="P1268">
        <v>1</v>
      </c>
      <c r="Q1268" t="s">
        <v>44</v>
      </c>
      <c r="R1268">
        <v>1</v>
      </c>
      <c r="S1268" t="s">
        <v>46</v>
      </c>
      <c r="T1268" s="2">
        <v>2289</v>
      </c>
      <c r="U1268" s="2">
        <v>20520</v>
      </c>
      <c r="V1268">
        <v>1</v>
      </c>
      <c r="W1268" t="s">
        <v>38</v>
      </c>
      <c r="X1268">
        <v>20</v>
      </c>
      <c r="Y1268">
        <v>4</v>
      </c>
      <c r="Z1268">
        <v>2</v>
      </c>
      <c r="AA1268">
        <v>80</v>
      </c>
      <c r="AB1268">
        <v>2</v>
      </c>
      <c r="AC1268">
        <v>5</v>
      </c>
      <c r="AD1268">
        <v>2</v>
      </c>
      <c r="AE1268">
        <v>3</v>
      </c>
      <c r="AF1268">
        <v>5</v>
      </c>
      <c r="AG1268">
        <v>3</v>
      </c>
      <c r="AH1268">
        <v>0</v>
      </c>
      <c r="AI1268">
        <v>4</v>
      </c>
    </row>
    <row r="1269" spans="1:35" x14ac:dyDescent="0.25">
      <c r="A1269">
        <v>34</v>
      </c>
      <c r="B1269" t="str">
        <f t="shared" si="38"/>
        <v>25-34</v>
      </c>
      <c r="C1269" s="1" t="s">
        <v>38</v>
      </c>
      <c r="D1269" s="17">
        <f>IF(Table1[[#This Row],[Attrition]]="Yes",1,0)</f>
        <v>0</v>
      </c>
      <c r="E1269" t="s">
        <v>49</v>
      </c>
      <c r="F1269" s="2">
        <v>1375</v>
      </c>
      <c r="G1269" t="s">
        <v>33</v>
      </c>
      <c r="H1269">
        <v>10</v>
      </c>
      <c r="I1269">
        <v>3</v>
      </c>
      <c r="J1269" t="str">
        <f t="shared" si="39"/>
        <v>Bachelor</v>
      </c>
      <c r="K1269" t="s">
        <v>34</v>
      </c>
      <c r="L1269">
        <v>4</v>
      </c>
      <c r="M1269" t="s">
        <v>40</v>
      </c>
      <c r="N1269" s="2">
        <v>87</v>
      </c>
      <c r="O1269">
        <v>3</v>
      </c>
      <c r="P1269">
        <v>2</v>
      </c>
      <c r="Q1269" t="s">
        <v>36</v>
      </c>
      <c r="R1269">
        <v>3</v>
      </c>
      <c r="S1269" t="s">
        <v>46</v>
      </c>
      <c r="T1269" s="2">
        <v>4001</v>
      </c>
      <c r="U1269" s="2">
        <v>12313</v>
      </c>
      <c r="V1269">
        <v>1</v>
      </c>
      <c r="W1269" t="s">
        <v>32</v>
      </c>
      <c r="X1269">
        <v>14</v>
      </c>
      <c r="Y1269">
        <v>3</v>
      </c>
      <c r="Z1269">
        <v>3</v>
      </c>
      <c r="AA1269">
        <v>80</v>
      </c>
      <c r="AB1269">
        <v>1</v>
      </c>
      <c r="AC1269">
        <v>15</v>
      </c>
      <c r="AD1269">
        <v>3</v>
      </c>
      <c r="AE1269">
        <v>3</v>
      </c>
      <c r="AF1269">
        <v>15</v>
      </c>
      <c r="AG1269">
        <v>14</v>
      </c>
      <c r="AH1269">
        <v>0</v>
      </c>
      <c r="AI1269">
        <v>7</v>
      </c>
    </row>
    <row r="1270" spans="1:35" x14ac:dyDescent="0.25">
      <c r="A1270">
        <v>53</v>
      </c>
      <c r="B1270" t="str">
        <f t="shared" si="38"/>
        <v>45-54</v>
      </c>
      <c r="C1270" s="1" t="s">
        <v>38</v>
      </c>
      <c r="D1270" s="17">
        <f>IF(Table1[[#This Row],[Attrition]]="Yes",1,0)</f>
        <v>0</v>
      </c>
      <c r="E1270" t="s">
        <v>49</v>
      </c>
      <c r="F1270" s="2">
        <v>661</v>
      </c>
      <c r="G1270" t="s">
        <v>39</v>
      </c>
      <c r="H1270">
        <v>1</v>
      </c>
      <c r="I1270">
        <v>4</v>
      </c>
      <c r="J1270" t="str">
        <f t="shared" si="39"/>
        <v>Master</v>
      </c>
      <c r="K1270" t="s">
        <v>45</v>
      </c>
      <c r="L1270">
        <v>1</v>
      </c>
      <c r="M1270" t="s">
        <v>35</v>
      </c>
      <c r="N1270" s="2">
        <v>60</v>
      </c>
      <c r="O1270">
        <v>2</v>
      </c>
      <c r="P1270">
        <v>4</v>
      </c>
      <c r="Q1270" t="s">
        <v>47</v>
      </c>
      <c r="R1270">
        <v>3</v>
      </c>
      <c r="S1270" t="s">
        <v>42</v>
      </c>
      <c r="T1270" s="2">
        <v>12965</v>
      </c>
      <c r="U1270" s="2">
        <v>22308</v>
      </c>
      <c r="V1270">
        <v>4</v>
      </c>
      <c r="W1270" t="s">
        <v>32</v>
      </c>
      <c r="X1270">
        <v>20</v>
      </c>
      <c r="Y1270">
        <v>4</v>
      </c>
      <c r="Z1270">
        <v>4</v>
      </c>
      <c r="AA1270">
        <v>80</v>
      </c>
      <c r="AB1270">
        <v>3</v>
      </c>
      <c r="AC1270">
        <v>27</v>
      </c>
      <c r="AD1270">
        <v>2</v>
      </c>
      <c r="AE1270">
        <v>2</v>
      </c>
      <c r="AF1270">
        <v>3</v>
      </c>
      <c r="AG1270">
        <v>2</v>
      </c>
      <c r="AH1270">
        <v>0</v>
      </c>
      <c r="AI1270">
        <v>2</v>
      </c>
    </row>
    <row r="1271" spans="1:35" x14ac:dyDescent="0.25">
      <c r="A1271">
        <v>43</v>
      </c>
      <c r="B1271" t="str">
        <f t="shared" si="38"/>
        <v>35-44</v>
      </c>
      <c r="C1271" s="1" t="s">
        <v>38</v>
      </c>
      <c r="D1271" s="17">
        <f>IF(Table1[[#This Row],[Attrition]]="Yes",1,0)</f>
        <v>0</v>
      </c>
      <c r="E1271" t="s">
        <v>57</v>
      </c>
      <c r="F1271" s="2">
        <v>244</v>
      </c>
      <c r="G1271" t="s">
        <v>55</v>
      </c>
      <c r="H1271">
        <v>2</v>
      </c>
      <c r="I1271">
        <v>3</v>
      </c>
      <c r="J1271" t="str">
        <f t="shared" si="39"/>
        <v>Bachelor</v>
      </c>
      <c r="K1271" t="s">
        <v>34</v>
      </c>
      <c r="L1271">
        <v>2</v>
      </c>
      <c r="M1271" t="s">
        <v>40</v>
      </c>
      <c r="N1271" s="2">
        <v>97</v>
      </c>
      <c r="O1271">
        <v>3</v>
      </c>
      <c r="P1271">
        <v>1</v>
      </c>
      <c r="Q1271" t="s">
        <v>55</v>
      </c>
      <c r="R1271">
        <v>4</v>
      </c>
      <c r="S1271" t="s">
        <v>37</v>
      </c>
      <c r="T1271" s="2">
        <v>3539</v>
      </c>
      <c r="U1271" s="2">
        <v>5033</v>
      </c>
      <c r="V1271">
        <v>0</v>
      </c>
      <c r="W1271" t="s">
        <v>38</v>
      </c>
      <c r="X1271">
        <v>13</v>
      </c>
      <c r="Y1271">
        <v>3</v>
      </c>
      <c r="Z1271">
        <v>2</v>
      </c>
      <c r="AA1271">
        <v>80</v>
      </c>
      <c r="AB1271">
        <v>0</v>
      </c>
      <c r="AC1271">
        <v>10</v>
      </c>
      <c r="AD1271">
        <v>5</v>
      </c>
      <c r="AE1271">
        <v>3</v>
      </c>
      <c r="AF1271">
        <v>9</v>
      </c>
      <c r="AG1271">
        <v>7</v>
      </c>
      <c r="AH1271">
        <v>1</v>
      </c>
      <c r="AI1271">
        <v>8</v>
      </c>
    </row>
    <row r="1272" spans="1:35" x14ac:dyDescent="0.25">
      <c r="A1272">
        <v>34</v>
      </c>
      <c r="B1272" t="str">
        <f t="shared" si="38"/>
        <v>25-34</v>
      </c>
      <c r="C1272" s="1" t="s">
        <v>38</v>
      </c>
      <c r="D1272" s="17">
        <f>IF(Table1[[#This Row],[Attrition]]="Yes",1,0)</f>
        <v>0</v>
      </c>
      <c r="E1272" t="s">
        <v>57</v>
      </c>
      <c r="F1272" s="2">
        <v>511</v>
      </c>
      <c r="G1272" t="s">
        <v>33</v>
      </c>
      <c r="H1272">
        <v>3</v>
      </c>
      <c r="I1272">
        <v>2</v>
      </c>
      <c r="J1272" t="str">
        <f t="shared" si="39"/>
        <v>College</v>
      </c>
      <c r="K1272" t="s">
        <v>34</v>
      </c>
      <c r="L1272">
        <v>4</v>
      </c>
      <c r="M1272" t="s">
        <v>35</v>
      </c>
      <c r="N1272" s="2">
        <v>32</v>
      </c>
      <c r="O1272">
        <v>1</v>
      </c>
      <c r="P1272">
        <v>2</v>
      </c>
      <c r="Q1272" t="s">
        <v>36</v>
      </c>
      <c r="R1272">
        <v>4</v>
      </c>
      <c r="S1272" t="s">
        <v>37</v>
      </c>
      <c r="T1272" s="2">
        <v>6029</v>
      </c>
      <c r="U1272" s="2">
        <v>25353</v>
      </c>
      <c r="V1272">
        <v>5</v>
      </c>
      <c r="W1272" t="s">
        <v>38</v>
      </c>
      <c r="X1272">
        <v>12</v>
      </c>
      <c r="Y1272">
        <v>3</v>
      </c>
      <c r="Z1272">
        <v>1</v>
      </c>
      <c r="AA1272">
        <v>80</v>
      </c>
      <c r="AB1272">
        <v>0</v>
      </c>
      <c r="AC1272">
        <v>6</v>
      </c>
      <c r="AD1272">
        <v>3</v>
      </c>
      <c r="AE1272">
        <v>3</v>
      </c>
      <c r="AF1272">
        <v>2</v>
      </c>
      <c r="AG1272">
        <v>2</v>
      </c>
      <c r="AH1272">
        <v>2</v>
      </c>
      <c r="AI1272">
        <v>2</v>
      </c>
    </row>
    <row r="1273" spans="1:35" x14ac:dyDescent="0.25">
      <c r="A1273">
        <v>21</v>
      </c>
      <c r="B1273" t="str">
        <f t="shared" si="38"/>
        <v>18-24</v>
      </c>
      <c r="C1273" s="1" t="s">
        <v>32</v>
      </c>
      <c r="D1273" s="17">
        <f>IF(Table1[[#This Row],[Attrition]]="Yes",1,0)</f>
        <v>1</v>
      </c>
      <c r="E1273" t="s">
        <v>57</v>
      </c>
      <c r="F1273" s="2">
        <v>337</v>
      </c>
      <c r="G1273" t="s">
        <v>33</v>
      </c>
      <c r="H1273">
        <v>7</v>
      </c>
      <c r="I1273">
        <v>1</v>
      </c>
      <c r="J1273" t="str">
        <f t="shared" si="39"/>
        <v>Below College</v>
      </c>
      <c r="K1273" t="s">
        <v>53</v>
      </c>
      <c r="L1273">
        <v>2</v>
      </c>
      <c r="M1273" t="s">
        <v>40</v>
      </c>
      <c r="N1273" s="2">
        <v>31</v>
      </c>
      <c r="O1273">
        <v>3</v>
      </c>
      <c r="P1273">
        <v>1</v>
      </c>
      <c r="Q1273" t="s">
        <v>51</v>
      </c>
      <c r="R1273">
        <v>2</v>
      </c>
      <c r="S1273" t="s">
        <v>37</v>
      </c>
      <c r="T1273" s="2">
        <v>2679</v>
      </c>
      <c r="U1273" s="2">
        <v>4567</v>
      </c>
      <c r="V1273">
        <v>1</v>
      </c>
      <c r="W1273" t="s">
        <v>38</v>
      </c>
      <c r="X1273">
        <v>13</v>
      </c>
      <c r="Y1273">
        <v>3</v>
      </c>
      <c r="Z1273">
        <v>2</v>
      </c>
      <c r="AA1273">
        <v>80</v>
      </c>
      <c r="AB1273">
        <v>0</v>
      </c>
      <c r="AC1273">
        <v>1</v>
      </c>
      <c r="AD1273">
        <v>3</v>
      </c>
      <c r="AE1273">
        <v>3</v>
      </c>
      <c r="AF1273">
        <v>1</v>
      </c>
      <c r="AG1273">
        <v>0</v>
      </c>
      <c r="AH1273">
        <v>1</v>
      </c>
      <c r="AI1273">
        <v>0</v>
      </c>
    </row>
    <row r="1274" spans="1:35" x14ac:dyDescent="0.25">
      <c r="A1274">
        <v>38</v>
      </c>
      <c r="B1274" t="str">
        <f t="shared" si="38"/>
        <v>35-44</v>
      </c>
      <c r="C1274" s="1" t="s">
        <v>38</v>
      </c>
      <c r="D1274" s="17">
        <f>IF(Table1[[#This Row],[Attrition]]="Yes",1,0)</f>
        <v>0</v>
      </c>
      <c r="E1274" t="s">
        <v>57</v>
      </c>
      <c r="F1274" s="2">
        <v>1153</v>
      </c>
      <c r="G1274" t="s">
        <v>39</v>
      </c>
      <c r="H1274">
        <v>6</v>
      </c>
      <c r="I1274">
        <v>2</v>
      </c>
      <c r="J1274" t="str">
        <f t="shared" si="39"/>
        <v>College</v>
      </c>
      <c r="K1274" t="s">
        <v>43</v>
      </c>
      <c r="L1274">
        <v>4</v>
      </c>
      <c r="M1274" t="s">
        <v>35</v>
      </c>
      <c r="N1274" s="2">
        <v>40</v>
      </c>
      <c r="O1274">
        <v>2</v>
      </c>
      <c r="P1274">
        <v>1</v>
      </c>
      <c r="Q1274" t="s">
        <v>44</v>
      </c>
      <c r="R1274">
        <v>3</v>
      </c>
      <c r="S1274" t="s">
        <v>42</v>
      </c>
      <c r="T1274" s="2">
        <v>3702</v>
      </c>
      <c r="U1274" s="2">
        <v>16376</v>
      </c>
      <c r="V1274">
        <v>1</v>
      </c>
      <c r="W1274" t="s">
        <v>38</v>
      </c>
      <c r="X1274">
        <v>11</v>
      </c>
      <c r="Y1274">
        <v>3</v>
      </c>
      <c r="Z1274">
        <v>2</v>
      </c>
      <c r="AA1274">
        <v>80</v>
      </c>
      <c r="AB1274">
        <v>1</v>
      </c>
      <c r="AC1274">
        <v>5</v>
      </c>
      <c r="AD1274">
        <v>3</v>
      </c>
      <c r="AE1274">
        <v>3</v>
      </c>
      <c r="AF1274">
        <v>5</v>
      </c>
      <c r="AG1274">
        <v>4</v>
      </c>
      <c r="AH1274">
        <v>0</v>
      </c>
      <c r="AI1274">
        <v>4</v>
      </c>
    </row>
    <row r="1275" spans="1:35" x14ac:dyDescent="0.25">
      <c r="A1275">
        <v>22</v>
      </c>
      <c r="B1275" t="str">
        <f t="shared" si="38"/>
        <v>18-24</v>
      </c>
      <c r="C1275" s="1" t="s">
        <v>32</v>
      </c>
      <c r="D1275" s="17">
        <f>IF(Table1[[#This Row],[Attrition]]="Yes",1,0)</f>
        <v>1</v>
      </c>
      <c r="E1275" t="s">
        <v>57</v>
      </c>
      <c r="F1275" s="2">
        <v>1294</v>
      </c>
      <c r="G1275" t="s">
        <v>39</v>
      </c>
      <c r="H1275">
        <v>8</v>
      </c>
      <c r="I1275">
        <v>1</v>
      </c>
      <c r="J1275" t="str">
        <f t="shared" si="39"/>
        <v>Below College</v>
      </c>
      <c r="K1275" t="s">
        <v>45</v>
      </c>
      <c r="L1275">
        <v>3</v>
      </c>
      <c r="M1275" t="s">
        <v>35</v>
      </c>
      <c r="N1275" s="2">
        <v>79</v>
      </c>
      <c r="O1275">
        <v>3</v>
      </c>
      <c r="P1275">
        <v>1</v>
      </c>
      <c r="Q1275" t="s">
        <v>44</v>
      </c>
      <c r="R1275">
        <v>1</v>
      </c>
      <c r="S1275" t="s">
        <v>42</v>
      </c>
      <c r="T1275" s="2">
        <v>2398</v>
      </c>
      <c r="U1275" s="2">
        <v>15999</v>
      </c>
      <c r="V1275">
        <v>1</v>
      </c>
      <c r="W1275" t="s">
        <v>32</v>
      </c>
      <c r="X1275">
        <v>17</v>
      </c>
      <c r="Y1275">
        <v>3</v>
      </c>
      <c r="Z1275">
        <v>3</v>
      </c>
      <c r="AA1275">
        <v>80</v>
      </c>
      <c r="AB1275">
        <v>0</v>
      </c>
      <c r="AC1275">
        <v>1</v>
      </c>
      <c r="AD1275">
        <v>6</v>
      </c>
      <c r="AE1275">
        <v>3</v>
      </c>
      <c r="AF1275">
        <v>1</v>
      </c>
      <c r="AG1275">
        <v>0</v>
      </c>
      <c r="AH1275">
        <v>0</v>
      </c>
      <c r="AI1275">
        <v>0</v>
      </c>
    </row>
    <row r="1276" spans="1:35" x14ac:dyDescent="0.25">
      <c r="A1276">
        <v>31</v>
      </c>
      <c r="B1276" t="str">
        <f t="shared" si="38"/>
        <v>25-34</v>
      </c>
      <c r="C1276" s="1" t="s">
        <v>38</v>
      </c>
      <c r="D1276" s="17">
        <f>IF(Table1[[#This Row],[Attrition]]="Yes",1,0)</f>
        <v>0</v>
      </c>
      <c r="E1276" t="s">
        <v>57</v>
      </c>
      <c r="F1276" s="2">
        <v>196</v>
      </c>
      <c r="G1276" t="s">
        <v>33</v>
      </c>
      <c r="H1276">
        <v>29</v>
      </c>
      <c r="I1276">
        <v>4</v>
      </c>
      <c r="J1276" t="str">
        <f t="shared" si="39"/>
        <v>Master</v>
      </c>
      <c r="K1276" t="s">
        <v>53</v>
      </c>
      <c r="L1276">
        <v>1</v>
      </c>
      <c r="M1276" t="s">
        <v>35</v>
      </c>
      <c r="N1276" s="2">
        <v>91</v>
      </c>
      <c r="O1276">
        <v>2</v>
      </c>
      <c r="P1276">
        <v>2</v>
      </c>
      <c r="Q1276" t="s">
        <v>36</v>
      </c>
      <c r="R1276">
        <v>4</v>
      </c>
      <c r="S1276" t="s">
        <v>42</v>
      </c>
      <c r="T1276" s="2">
        <v>5468</v>
      </c>
      <c r="U1276" s="2">
        <v>13402</v>
      </c>
      <c r="V1276">
        <v>1</v>
      </c>
      <c r="W1276" t="s">
        <v>38</v>
      </c>
      <c r="X1276">
        <v>14</v>
      </c>
      <c r="Y1276">
        <v>3</v>
      </c>
      <c r="Z1276">
        <v>1</v>
      </c>
      <c r="AA1276">
        <v>80</v>
      </c>
      <c r="AB1276">
        <v>2</v>
      </c>
      <c r="AC1276">
        <v>13</v>
      </c>
      <c r="AD1276">
        <v>3</v>
      </c>
      <c r="AE1276">
        <v>3</v>
      </c>
      <c r="AF1276">
        <v>12</v>
      </c>
      <c r="AG1276">
        <v>7</v>
      </c>
      <c r="AH1276">
        <v>5</v>
      </c>
      <c r="AI1276">
        <v>7</v>
      </c>
    </row>
    <row r="1277" spans="1:35" x14ac:dyDescent="0.25">
      <c r="A1277">
        <v>51</v>
      </c>
      <c r="B1277" t="str">
        <f t="shared" si="38"/>
        <v>45-54</v>
      </c>
      <c r="C1277" s="1" t="s">
        <v>38</v>
      </c>
      <c r="D1277" s="17">
        <f>IF(Table1[[#This Row],[Attrition]]="Yes",1,0)</f>
        <v>0</v>
      </c>
      <c r="E1277" t="s">
        <v>57</v>
      </c>
      <c r="F1277" s="2">
        <v>942</v>
      </c>
      <c r="G1277" t="s">
        <v>39</v>
      </c>
      <c r="H1277">
        <v>3</v>
      </c>
      <c r="I1277">
        <v>3</v>
      </c>
      <c r="J1277" t="str">
        <f t="shared" si="39"/>
        <v>Bachelor</v>
      </c>
      <c r="K1277" t="s">
        <v>54</v>
      </c>
      <c r="L1277">
        <v>1</v>
      </c>
      <c r="M1277" t="s">
        <v>35</v>
      </c>
      <c r="N1277" s="2">
        <v>53</v>
      </c>
      <c r="O1277">
        <v>3</v>
      </c>
      <c r="P1277">
        <v>3</v>
      </c>
      <c r="Q1277" t="s">
        <v>50</v>
      </c>
      <c r="R1277">
        <v>3</v>
      </c>
      <c r="S1277" t="s">
        <v>42</v>
      </c>
      <c r="T1277" s="2">
        <v>13116</v>
      </c>
      <c r="U1277" s="2">
        <v>22984</v>
      </c>
      <c r="V1277">
        <v>2</v>
      </c>
      <c r="W1277" t="s">
        <v>38</v>
      </c>
      <c r="X1277">
        <v>11</v>
      </c>
      <c r="Y1277">
        <v>3</v>
      </c>
      <c r="Z1277">
        <v>4</v>
      </c>
      <c r="AA1277">
        <v>80</v>
      </c>
      <c r="AB1277">
        <v>0</v>
      </c>
      <c r="AC1277">
        <v>15</v>
      </c>
      <c r="AD1277">
        <v>2</v>
      </c>
      <c r="AE1277">
        <v>3</v>
      </c>
      <c r="AF1277">
        <v>2</v>
      </c>
      <c r="AG1277">
        <v>2</v>
      </c>
      <c r="AH1277">
        <v>2</v>
      </c>
      <c r="AI1277">
        <v>2</v>
      </c>
    </row>
    <row r="1278" spans="1:35" x14ac:dyDescent="0.25">
      <c r="A1278">
        <v>37</v>
      </c>
      <c r="B1278" t="str">
        <f t="shared" si="38"/>
        <v>35-44</v>
      </c>
      <c r="C1278" s="1" t="s">
        <v>38</v>
      </c>
      <c r="D1278" s="17">
        <f>IF(Table1[[#This Row],[Attrition]]="Yes",1,0)</f>
        <v>0</v>
      </c>
      <c r="E1278" t="s">
        <v>57</v>
      </c>
      <c r="F1278" s="2">
        <v>589</v>
      </c>
      <c r="G1278" t="s">
        <v>33</v>
      </c>
      <c r="H1278">
        <v>9</v>
      </c>
      <c r="I1278">
        <v>2</v>
      </c>
      <c r="J1278" t="str">
        <f t="shared" si="39"/>
        <v>College</v>
      </c>
      <c r="K1278" t="s">
        <v>53</v>
      </c>
      <c r="L1278">
        <v>2</v>
      </c>
      <c r="M1278" t="s">
        <v>40</v>
      </c>
      <c r="N1278" s="2">
        <v>46</v>
      </c>
      <c r="O1278">
        <v>2</v>
      </c>
      <c r="P1278">
        <v>2</v>
      </c>
      <c r="Q1278" t="s">
        <v>36</v>
      </c>
      <c r="R1278">
        <v>2</v>
      </c>
      <c r="S1278" t="s">
        <v>42</v>
      </c>
      <c r="T1278" s="2">
        <v>4189</v>
      </c>
      <c r="U1278" s="2">
        <v>8800</v>
      </c>
      <c r="V1278">
        <v>1</v>
      </c>
      <c r="W1278" t="s">
        <v>38</v>
      </c>
      <c r="X1278">
        <v>14</v>
      </c>
      <c r="Y1278">
        <v>3</v>
      </c>
      <c r="Z1278">
        <v>1</v>
      </c>
      <c r="AA1278">
        <v>80</v>
      </c>
      <c r="AB1278">
        <v>2</v>
      </c>
      <c r="AC1278">
        <v>5</v>
      </c>
      <c r="AD1278">
        <v>2</v>
      </c>
      <c r="AE1278">
        <v>3</v>
      </c>
      <c r="AF1278">
        <v>5</v>
      </c>
      <c r="AG1278">
        <v>2</v>
      </c>
      <c r="AH1278">
        <v>0</v>
      </c>
      <c r="AI1278">
        <v>3</v>
      </c>
    </row>
    <row r="1279" spans="1:35" x14ac:dyDescent="0.25">
      <c r="A1279">
        <v>46</v>
      </c>
      <c r="B1279" t="str">
        <f t="shared" si="38"/>
        <v>45-54</v>
      </c>
      <c r="C1279" s="1" t="s">
        <v>38</v>
      </c>
      <c r="D1279" s="17">
        <f>IF(Table1[[#This Row],[Attrition]]="Yes",1,0)</f>
        <v>0</v>
      </c>
      <c r="E1279" t="s">
        <v>57</v>
      </c>
      <c r="F1279" s="2">
        <v>734</v>
      </c>
      <c r="G1279" t="s">
        <v>39</v>
      </c>
      <c r="H1279">
        <v>2</v>
      </c>
      <c r="I1279">
        <v>4</v>
      </c>
      <c r="J1279" t="str">
        <f t="shared" si="39"/>
        <v>Master</v>
      </c>
      <c r="K1279" t="s">
        <v>45</v>
      </c>
      <c r="L1279">
        <v>3</v>
      </c>
      <c r="M1279" t="s">
        <v>40</v>
      </c>
      <c r="N1279" s="2">
        <v>46</v>
      </c>
      <c r="O1279">
        <v>3</v>
      </c>
      <c r="P1279">
        <v>5</v>
      </c>
      <c r="Q1279" t="s">
        <v>52</v>
      </c>
      <c r="R1279">
        <v>4</v>
      </c>
      <c r="S1279" t="s">
        <v>46</v>
      </c>
      <c r="T1279" s="2">
        <v>19328</v>
      </c>
      <c r="U1279" s="2">
        <v>14218</v>
      </c>
      <c r="V1279">
        <v>7</v>
      </c>
      <c r="W1279" t="s">
        <v>32</v>
      </c>
      <c r="X1279">
        <v>17</v>
      </c>
      <c r="Y1279">
        <v>3</v>
      </c>
      <c r="Z1279">
        <v>3</v>
      </c>
      <c r="AA1279">
        <v>80</v>
      </c>
      <c r="AB1279">
        <v>1</v>
      </c>
      <c r="AC1279">
        <v>24</v>
      </c>
      <c r="AD1279">
        <v>3</v>
      </c>
      <c r="AE1279">
        <v>3</v>
      </c>
      <c r="AF1279">
        <v>2</v>
      </c>
      <c r="AG1279">
        <v>1</v>
      </c>
      <c r="AH1279">
        <v>2</v>
      </c>
      <c r="AI1279">
        <v>2</v>
      </c>
    </row>
    <row r="1280" spans="1:35" x14ac:dyDescent="0.25">
      <c r="A1280">
        <v>36</v>
      </c>
      <c r="B1280" t="str">
        <f t="shared" si="38"/>
        <v>35-44</v>
      </c>
      <c r="C1280" s="1" t="s">
        <v>38</v>
      </c>
      <c r="D1280" s="17">
        <f>IF(Table1[[#This Row],[Attrition]]="Yes",1,0)</f>
        <v>0</v>
      </c>
      <c r="E1280" t="s">
        <v>57</v>
      </c>
      <c r="F1280" s="2">
        <v>1383</v>
      </c>
      <c r="G1280" t="s">
        <v>39</v>
      </c>
      <c r="H1280">
        <v>10</v>
      </c>
      <c r="I1280">
        <v>3</v>
      </c>
      <c r="J1280" t="str">
        <f t="shared" si="39"/>
        <v>Bachelor</v>
      </c>
      <c r="K1280" t="s">
        <v>34</v>
      </c>
      <c r="L1280">
        <v>4</v>
      </c>
      <c r="M1280" t="s">
        <v>40</v>
      </c>
      <c r="N1280" s="2">
        <v>90</v>
      </c>
      <c r="O1280">
        <v>3</v>
      </c>
      <c r="P1280">
        <v>3</v>
      </c>
      <c r="Q1280" t="s">
        <v>48</v>
      </c>
      <c r="R1280">
        <v>1</v>
      </c>
      <c r="S1280" t="s">
        <v>42</v>
      </c>
      <c r="T1280" s="2">
        <v>8321</v>
      </c>
      <c r="U1280" s="2">
        <v>25949</v>
      </c>
      <c r="V1280">
        <v>7</v>
      </c>
      <c r="W1280" t="s">
        <v>32</v>
      </c>
      <c r="X1280">
        <v>13</v>
      </c>
      <c r="Y1280">
        <v>3</v>
      </c>
      <c r="Z1280">
        <v>4</v>
      </c>
      <c r="AA1280">
        <v>80</v>
      </c>
      <c r="AB1280">
        <v>1</v>
      </c>
      <c r="AC1280">
        <v>15</v>
      </c>
      <c r="AD1280">
        <v>1</v>
      </c>
      <c r="AE1280">
        <v>3</v>
      </c>
      <c r="AF1280">
        <v>12</v>
      </c>
      <c r="AG1280">
        <v>8</v>
      </c>
      <c r="AH1280">
        <v>5</v>
      </c>
      <c r="AI1280">
        <v>7</v>
      </c>
    </row>
    <row r="1281" spans="1:35" x14ac:dyDescent="0.25">
      <c r="A1281">
        <v>44</v>
      </c>
      <c r="B1281" t="str">
        <f t="shared" si="38"/>
        <v>35-44</v>
      </c>
      <c r="C1281" s="1" t="s">
        <v>32</v>
      </c>
      <c r="D1281" s="17">
        <f>IF(Table1[[#This Row],[Attrition]]="Yes",1,0)</f>
        <v>1</v>
      </c>
      <c r="E1281" t="s">
        <v>58</v>
      </c>
      <c r="F1281" s="2">
        <v>429</v>
      </c>
      <c r="G1281" t="s">
        <v>39</v>
      </c>
      <c r="H1281">
        <v>1</v>
      </c>
      <c r="I1281">
        <v>2</v>
      </c>
      <c r="J1281" t="str">
        <f t="shared" si="39"/>
        <v>College</v>
      </c>
      <c r="K1281" t="s">
        <v>45</v>
      </c>
      <c r="L1281">
        <v>3</v>
      </c>
      <c r="M1281" t="s">
        <v>40</v>
      </c>
      <c r="N1281" s="2">
        <v>99</v>
      </c>
      <c r="O1281">
        <v>3</v>
      </c>
      <c r="P1281">
        <v>1</v>
      </c>
      <c r="Q1281" t="s">
        <v>41</v>
      </c>
      <c r="R1281">
        <v>2</v>
      </c>
      <c r="S1281" t="s">
        <v>46</v>
      </c>
      <c r="T1281" s="2">
        <v>2342</v>
      </c>
      <c r="U1281" s="2">
        <v>11092</v>
      </c>
      <c r="V1281">
        <v>1</v>
      </c>
      <c r="W1281" t="s">
        <v>32</v>
      </c>
      <c r="X1281">
        <v>12</v>
      </c>
      <c r="Y1281">
        <v>3</v>
      </c>
      <c r="Z1281">
        <v>3</v>
      </c>
      <c r="AA1281">
        <v>80</v>
      </c>
      <c r="AB1281">
        <v>3</v>
      </c>
      <c r="AC1281">
        <v>6</v>
      </c>
      <c r="AD1281">
        <v>2</v>
      </c>
      <c r="AE1281">
        <v>2</v>
      </c>
      <c r="AF1281">
        <v>5</v>
      </c>
      <c r="AG1281">
        <v>3</v>
      </c>
      <c r="AH1281">
        <v>2</v>
      </c>
      <c r="AI1281">
        <v>3</v>
      </c>
    </row>
    <row r="1282" spans="1:35" x14ac:dyDescent="0.25">
      <c r="A1282">
        <v>37</v>
      </c>
      <c r="B1282" t="str">
        <f t="shared" ref="B1282:B1345" si="40">IF(A1282="","",IF(A1282&lt;25,"18-24",
 IF(A1282&lt;35,"25-34",
 IF(A1282&lt;45,"35-44",
 IF(A1282&lt;55,"45-54",
 IF(A1282&lt;65,"55-64","65+"))))))</f>
        <v>35-44</v>
      </c>
      <c r="C1282" s="1" t="s">
        <v>38</v>
      </c>
      <c r="D1282" s="17">
        <f>IF(Table1[[#This Row],[Attrition]]="Yes",1,0)</f>
        <v>0</v>
      </c>
      <c r="E1282" t="s">
        <v>57</v>
      </c>
      <c r="F1282" s="2">
        <v>1239</v>
      </c>
      <c r="G1282" t="s">
        <v>55</v>
      </c>
      <c r="H1282">
        <v>8</v>
      </c>
      <c r="I1282">
        <v>2</v>
      </c>
      <c r="J1282" t="str">
        <f t="shared" ref="J1282:J1345" si="41">CHOOSE(I1282,"Below College","College","Bachelor","Master","Doctor")</f>
        <v>College</v>
      </c>
      <c r="K1282" t="s">
        <v>43</v>
      </c>
      <c r="L1282">
        <v>3</v>
      </c>
      <c r="M1282" t="s">
        <v>40</v>
      </c>
      <c r="N1282" s="2">
        <v>89</v>
      </c>
      <c r="O1282">
        <v>3</v>
      </c>
      <c r="P1282">
        <v>2</v>
      </c>
      <c r="Q1282" t="s">
        <v>55</v>
      </c>
      <c r="R1282">
        <v>2</v>
      </c>
      <c r="S1282" t="s">
        <v>46</v>
      </c>
      <c r="T1282" s="2">
        <v>4071</v>
      </c>
      <c r="U1282" s="2">
        <v>12832</v>
      </c>
      <c r="V1282">
        <v>2</v>
      </c>
      <c r="W1282" t="s">
        <v>38</v>
      </c>
      <c r="X1282">
        <v>13</v>
      </c>
      <c r="Y1282">
        <v>3</v>
      </c>
      <c r="Z1282">
        <v>3</v>
      </c>
      <c r="AA1282">
        <v>80</v>
      </c>
      <c r="AB1282">
        <v>0</v>
      </c>
      <c r="AC1282">
        <v>19</v>
      </c>
      <c r="AD1282">
        <v>4</v>
      </c>
      <c r="AE1282">
        <v>2</v>
      </c>
      <c r="AF1282">
        <v>10</v>
      </c>
      <c r="AG1282">
        <v>0</v>
      </c>
      <c r="AH1282">
        <v>4</v>
      </c>
      <c r="AI1282">
        <v>7</v>
      </c>
    </row>
    <row r="1283" spans="1:35" x14ac:dyDescent="0.25">
      <c r="A1283">
        <v>35</v>
      </c>
      <c r="B1283" t="str">
        <f t="shared" si="40"/>
        <v>35-44</v>
      </c>
      <c r="C1283" s="1" t="s">
        <v>32</v>
      </c>
      <c r="D1283" s="17">
        <f>IF(Table1[[#This Row],[Attrition]]="Yes",1,0)</f>
        <v>1</v>
      </c>
      <c r="E1283" t="s">
        <v>57</v>
      </c>
      <c r="F1283" s="2">
        <v>303</v>
      </c>
      <c r="G1283" t="s">
        <v>33</v>
      </c>
      <c r="H1283">
        <v>27</v>
      </c>
      <c r="I1283">
        <v>3</v>
      </c>
      <c r="J1283" t="str">
        <f t="shared" si="41"/>
        <v>Bachelor</v>
      </c>
      <c r="K1283" t="s">
        <v>34</v>
      </c>
      <c r="L1283">
        <v>3</v>
      </c>
      <c r="M1283" t="s">
        <v>40</v>
      </c>
      <c r="N1283" s="2">
        <v>84</v>
      </c>
      <c r="O1283">
        <v>3</v>
      </c>
      <c r="P1283">
        <v>2</v>
      </c>
      <c r="Q1283" t="s">
        <v>36</v>
      </c>
      <c r="R1283">
        <v>4</v>
      </c>
      <c r="S1283" t="s">
        <v>37</v>
      </c>
      <c r="T1283" s="2">
        <v>5813</v>
      </c>
      <c r="U1283" s="2">
        <v>13492</v>
      </c>
      <c r="V1283">
        <v>1</v>
      </c>
      <c r="W1283" t="s">
        <v>32</v>
      </c>
      <c r="X1283">
        <v>18</v>
      </c>
      <c r="Y1283">
        <v>3</v>
      </c>
      <c r="Z1283">
        <v>4</v>
      </c>
      <c r="AA1283">
        <v>80</v>
      </c>
      <c r="AB1283">
        <v>0</v>
      </c>
      <c r="AC1283">
        <v>10</v>
      </c>
      <c r="AD1283">
        <v>2</v>
      </c>
      <c r="AE1283">
        <v>3</v>
      </c>
      <c r="AF1283">
        <v>10</v>
      </c>
      <c r="AG1283">
        <v>7</v>
      </c>
      <c r="AH1283">
        <v>7</v>
      </c>
      <c r="AI1283">
        <v>7</v>
      </c>
    </row>
    <row r="1284" spans="1:35" x14ac:dyDescent="0.25">
      <c r="A1284">
        <v>33</v>
      </c>
      <c r="B1284" t="str">
        <f t="shared" si="40"/>
        <v>25-34</v>
      </c>
      <c r="C1284" s="1" t="s">
        <v>38</v>
      </c>
      <c r="D1284" s="17">
        <f>IF(Table1[[#This Row],[Attrition]]="Yes",1,0)</f>
        <v>0</v>
      </c>
      <c r="E1284" t="s">
        <v>57</v>
      </c>
      <c r="F1284" s="2">
        <v>867</v>
      </c>
      <c r="G1284" t="s">
        <v>39</v>
      </c>
      <c r="H1284">
        <v>8</v>
      </c>
      <c r="I1284">
        <v>4</v>
      </c>
      <c r="J1284" t="str">
        <f t="shared" si="41"/>
        <v>Master</v>
      </c>
      <c r="K1284" t="s">
        <v>34</v>
      </c>
      <c r="L1284">
        <v>4</v>
      </c>
      <c r="M1284" t="s">
        <v>40</v>
      </c>
      <c r="N1284" s="2">
        <v>90</v>
      </c>
      <c r="O1284">
        <v>4</v>
      </c>
      <c r="P1284">
        <v>1</v>
      </c>
      <c r="Q1284" t="s">
        <v>41</v>
      </c>
      <c r="R1284">
        <v>1</v>
      </c>
      <c r="S1284" t="s">
        <v>42</v>
      </c>
      <c r="T1284" s="2">
        <v>3143</v>
      </c>
      <c r="U1284" s="2">
        <v>6076</v>
      </c>
      <c r="V1284">
        <v>6</v>
      </c>
      <c r="W1284" t="s">
        <v>38</v>
      </c>
      <c r="X1284">
        <v>19</v>
      </c>
      <c r="Y1284">
        <v>3</v>
      </c>
      <c r="Z1284">
        <v>2</v>
      </c>
      <c r="AA1284">
        <v>80</v>
      </c>
      <c r="AB1284">
        <v>1</v>
      </c>
      <c r="AC1284">
        <v>14</v>
      </c>
      <c r="AD1284">
        <v>1</v>
      </c>
      <c r="AE1284">
        <v>3</v>
      </c>
      <c r="AF1284">
        <v>10</v>
      </c>
      <c r="AG1284">
        <v>8</v>
      </c>
      <c r="AH1284">
        <v>7</v>
      </c>
      <c r="AI1284">
        <v>6</v>
      </c>
    </row>
    <row r="1285" spans="1:35" x14ac:dyDescent="0.25">
      <c r="A1285">
        <v>28</v>
      </c>
      <c r="B1285" t="str">
        <f t="shared" si="40"/>
        <v>25-34</v>
      </c>
      <c r="C1285" s="1" t="s">
        <v>38</v>
      </c>
      <c r="D1285" s="17">
        <f>IF(Table1[[#This Row],[Attrition]]="Yes",1,0)</f>
        <v>0</v>
      </c>
      <c r="E1285" t="s">
        <v>57</v>
      </c>
      <c r="F1285" s="2">
        <v>1181</v>
      </c>
      <c r="G1285" t="s">
        <v>39</v>
      </c>
      <c r="H1285">
        <v>1</v>
      </c>
      <c r="I1285">
        <v>3</v>
      </c>
      <c r="J1285" t="str">
        <f t="shared" si="41"/>
        <v>Bachelor</v>
      </c>
      <c r="K1285" t="s">
        <v>34</v>
      </c>
      <c r="L1285">
        <v>3</v>
      </c>
      <c r="M1285" t="s">
        <v>40</v>
      </c>
      <c r="N1285" s="2">
        <v>82</v>
      </c>
      <c r="O1285">
        <v>3</v>
      </c>
      <c r="P1285">
        <v>1</v>
      </c>
      <c r="Q1285" t="s">
        <v>41</v>
      </c>
      <c r="R1285">
        <v>4</v>
      </c>
      <c r="S1285" t="s">
        <v>42</v>
      </c>
      <c r="T1285" s="2">
        <v>2044</v>
      </c>
      <c r="U1285" s="2">
        <v>5531</v>
      </c>
      <c r="V1285">
        <v>1</v>
      </c>
      <c r="W1285" t="s">
        <v>38</v>
      </c>
      <c r="X1285">
        <v>11</v>
      </c>
      <c r="Y1285">
        <v>3</v>
      </c>
      <c r="Z1285">
        <v>3</v>
      </c>
      <c r="AA1285">
        <v>80</v>
      </c>
      <c r="AB1285">
        <v>1</v>
      </c>
      <c r="AC1285">
        <v>5</v>
      </c>
      <c r="AD1285">
        <v>6</v>
      </c>
      <c r="AE1285">
        <v>4</v>
      </c>
      <c r="AF1285">
        <v>5</v>
      </c>
      <c r="AG1285">
        <v>3</v>
      </c>
      <c r="AH1285">
        <v>0</v>
      </c>
      <c r="AI1285">
        <v>3</v>
      </c>
    </row>
    <row r="1286" spans="1:35" x14ac:dyDescent="0.25">
      <c r="A1286">
        <v>39</v>
      </c>
      <c r="B1286" t="str">
        <f t="shared" si="40"/>
        <v>35-44</v>
      </c>
      <c r="C1286" s="1" t="s">
        <v>38</v>
      </c>
      <c r="D1286" s="17">
        <f>IF(Table1[[#This Row],[Attrition]]="Yes",1,0)</f>
        <v>0</v>
      </c>
      <c r="E1286" t="s">
        <v>57</v>
      </c>
      <c r="F1286" s="2">
        <v>1253</v>
      </c>
      <c r="G1286" t="s">
        <v>39</v>
      </c>
      <c r="H1286">
        <v>10</v>
      </c>
      <c r="I1286">
        <v>1</v>
      </c>
      <c r="J1286" t="str">
        <f t="shared" si="41"/>
        <v>Below College</v>
      </c>
      <c r="K1286" t="s">
        <v>45</v>
      </c>
      <c r="L1286">
        <v>3</v>
      </c>
      <c r="M1286" t="s">
        <v>40</v>
      </c>
      <c r="N1286" s="2">
        <v>65</v>
      </c>
      <c r="O1286">
        <v>3</v>
      </c>
      <c r="P1286">
        <v>3</v>
      </c>
      <c r="Q1286" t="s">
        <v>52</v>
      </c>
      <c r="R1286">
        <v>3</v>
      </c>
      <c r="S1286" t="s">
        <v>37</v>
      </c>
      <c r="T1286" s="2">
        <v>13464</v>
      </c>
      <c r="U1286" s="2">
        <v>7914</v>
      </c>
      <c r="V1286">
        <v>7</v>
      </c>
      <c r="W1286" t="s">
        <v>38</v>
      </c>
      <c r="X1286">
        <v>21</v>
      </c>
      <c r="Y1286">
        <v>4</v>
      </c>
      <c r="Z1286">
        <v>3</v>
      </c>
      <c r="AA1286">
        <v>80</v>
      </c>
      <c r="AB1286">
        <v>0</v>
      </c>
      <c r="AC1286">
        <v>9</v>
      </c>
      <c r="AD1286">
        <v>3</v>
      </c>
      <c r="AE1286">
        <v>3</v>
      </c>
      <c r="AF1286">
        <v>4</v>
      </c>
      <c r="AG1286">
        <v>3</v>
      </c>
      <c r="AH1286">
        <v>2</v>
      </c>
      <c r="AI1286">
        <v>2</v>
      </c>
    </row>
    <row r="1287" spans="1:35" x14ac:dyDescent="0.25">
      <c r="A1287">
        <v>46</v>
      </c>
      <c r="B1287" t="str">
        <f t="shared" si="40"/>
        <v>45-54</v>
      </c>
      <c r="C1287" s="1" t="s">
        <v>38</v>
      </c>
      <c r="D1287" s="17">
        <f>IF(Table1[[#This Row],[Attrition]]="Yes",1,0)</f>
        <v>0</v>
      </c>
      <c r="E1287" t="s">
        <v>49</v>
      </c>
      <c r="F1287" s="2">
        <v>849</v>
      </c>
      <c r="G1287" t="s">
        <v>33</v>
      </c>
      <c r="H1287">
        <v>26</v>
      </c>
      <c r="I1287">
        <v>2</v>
      </c>
      <c r="J1287" t="str">
        <f t="shared" si="41"/>
        <v>College</v>
      </c>
      <c r="K1287" t="s">
        <v>34</v>
      </c>
      <c r="L1287">
        <v>2</v>
      </c>
      <c r="M1287" t="s">
        <v>40</v>
      </c>
      <c r="N1287" s="2">
        <v>98</v>
      </c>
      <c r="O1287">
        <v>2</v>
      </c>
      <c r="P1287">
        <v>2</v>
      </c>
      <c r="Q1287" t="s">
        <v>36</v>
      </c>
      <c r="R1287">
        <v>2</v>
      </c>
      <c r="S1287" t="s">
        <v>37</v>
      </c>
      <c r="T1287" s="2">
        <v>7991</v>
      </c>
      <c r="U1287" s="2">
        <v>25166</v>
      </c>
      <c r="V1287">
        <v>8</v>
      </c>
      <c r="W1287" t="s">
        <v>38</v>
      </c>
      <c r="X1287">
        <v>15</v>
      </c>
      <c r="Y1287">
        <v>3</v>
      </c>
      <c r="Z1287">
        <v>3</v>
      </c>
      <c r="AA1287">
        <v>80</v>
      </c>
      <c r="AB1287">
        <v>0</v>
      </c>
      <c r="AC1287">
        <v>6</v>
      </c>
      <c r="AD1287">
        <v>3</v>
      </c>
      <c r="AE1287">
        <v>3</v>
      </c>
      <c r="AF1287">
        <v>2</v>
      </c>
      <c r="AG1287">
        <v>2</v>
      </c>
      <c r="AH1287">
        <v>2</v>
      </c>
      <c r="AI1287">
        <v>2</v>
      </c>
    </row>
    <row r="1288" spans="1:35" x14ac:dyDescent="0.25">
      <c r="A1288">
        <v>40</v>
      </c>
      <c r="B1288" t="str">
        <f t="shared" si="40"/>
        <v>35-44</v>
      </c>
      <c r="C1288" s="1" t="s">
        <v>38</v>
      </c>
      <c r="D1288" s="17">
        <f>IF(Table1[[#This Row],[Attrition]]="Yes",1,0)</f>
        <v>0</v>
      </c>
      <c r="E1288" t="s">
        <v>57</v>
      </c>
      <c r="F1288" s="2">
        <v>616</v>
      </c>
      <c r="G1288" t="s">
        <v>39</v>
      </c>
      <c r="H1288">
        <v>2</v>
      </c>
      <c r="I1288">
        <v>2</v>
      </c>
      <c r="J1288" t="str">
        <f t="shared" si="41"/>
        <v>College</v>
      </c>
      <c r="K1288" t="s">
        <v>34</v>
      </c>
      <c r="L1288">
        <v>3</v>
      </c>
      <c r="M1288" t="s">
        <v>35</v>
      </c>
      <c r="N1288" s="2">
        <v>99</v>
      </c>
      <c r="O1288">
        <v>3</v>
      </c>
      <c r="P1288">
        <v>1</v>
      </c>
      <c r="Q1288" t="s">
        <v>44</v>
      </c>
      <c r="R1288">
        <v>1</v>
      </c>
      <c r="S1288" t="s">
        <v>42</v>
      </c>
      <c r="T1288" s="2">
        <v>3377</v>
      </c>
      <c r="U1288" s="2">
        <v>25605</v>
      </c>
      <c r="V1288">
        <v>4</v>
      </c>
      <c r="W1288" t="s">
        <v>38</v>
      </c>
      <c r="X1288">
        <v>17</v>
      </c>
      <c r="Y1288">
        <v>3</v>
      </c>
      <c r="Z1288">
        <v>4</v>
      </c>
      <c r="AA1288">
        <v>80</v>
      </c>
      <c r="AB1288">
        <v>1</v>
      </c>
      <c r="AC1288">
        <v>7</v>
      </c>
      <c r="AD1288">
        <v>5</v>
      </c>
      <c r="AE1288">
        <v>2</v>
      </c>
      <c r="AF1288">
        <v>4</v>
      </c>
      <c r="AG1288">
        <v>3</v>
      </c>
      <c r="AH1288">
        <v>0</v>
      </c>
      <c r="AI1288">
        <v>2</v>
      </c>
    </row>
    <row r="1289" spans="1:35" x14ac:dyDescent="0.25">
      <c r="A1289">
        <v>42</v>
      </c>
      <c r="B1289" t="str">
        <f t="shared" si="40"/>
        <v>35-44</v>
      </c>
      <c r="C1289" s="1" t="s">
        <v>38</v>
      </c>
      <c r="D1289" s="17">
        <f>IF(Table1[[#This Row],[Attrition]]="Yes",1,0)</f>
        <v>0</v>
      </c>
      <c r="E1289" t="s">
        <v>57</v>
      </c>
      <c r="F1289" s="2">
        <v>1128</v>
      </c>
      <c r="G1289" t="s">
        <v>39</v>
      </c>
      <c r="H1289">
        <v>13</v>
      </c>
      <c r="I1289">
        <v>3</v>
      </c>
      <c r="J1289" t="str">
        <f t="shared" si="41"/>
        <v>Bachelor</v>
      </c>
      <c r="K1289" t="s">
        <v>45</v>
      </c>
      <c r="L1289">
        <v>2</v>
      </c>
      <c r="M1289" t="s">
        <v>40</v>
      </c>
      <c r="N1289" s="2">
        <v>95</v>
      </c>
      <c r="O1289">
        <v>4</v>
      </c>
      <c r="P1289">
        <v>2</v>
      </c>
      <c r="Q1289" t="s">
        <v>48</v>
      </c>
      <c r="R1289">
        <v>1</v>
      </c>
      <c r="S1289" t="s">
        <v>42</v>
      </c>
      <c r="T1289" s="2">
        <v>5538</v>
      </c>
      <c r="U1289" s="2">
        <v>5696</v>
      </c>
      <c r="V1289">
        <v>5</v>
      </c>
      <c r="W1289" t="s">
        <v>38</v>
      </c>
      <c r="X1289">
        <v>18</v>
      </c>
      <c r="Y1289">
        <v>3</v>
      </c>
      <c r="Z1289">
        <v>3</v>
      </c>
      <c r="AA1289">
        <v>80</v>
      </c>
      <c r="AB1289">
        <v>2</v>
      </c>
      <c r="AC1289">
        <v>10</v>
      </c>
      <c r="AD1289">
        <v>2</v>
      </c>
      <c r="AE1289">
        <v>2</v>
      </c>
      <c r="AF1289">
        <v>0</v>
      </c>
      <c r="AG1289">
        <v>0</v>
      </c>
      <c r="AH1289">
        <v>0</v>
      </c>
      <c r="AI1289">
        <v>0</v>
      </c>
    </row>
    <row r="1290" spans="1:35" x14ac:dyDescent="0.25">
      <c r="A1290">
        <v>35</v>
      </c>
      <c r="B1290" t="str">
        <f t="shared" si="40"/>
        <v>35-44</v>
      </c>
      <c r="C1290" s="1" t="s">
        <v>38</v>
      </c>
      <c r="D1290" s="17">
        <f>IF(Table1[[#This Row],[Attrition]]="Yes",1,0)</f>
        <v>0</v>
      </c>
      <c r="E1290" t="s">
        <v>49</v>
      </c>
      <c r="F1290" s="2">
        <v>1180</v>
      </c>
      <c r="G1290" t="s">
        <v>39</v>
      </c>
      <c r="H1290">
        <v>2</v>
      </c>
      <c r="I1290">
        <v>2</v>
      </c>
      <c r="J1290" t="str">
        <f t="shared" si="41"/>
        <v>College</v>
      </c>
      <c r="K1290" t="s">
        <v>45</v>
      </c>
      <c r="L1290">
        <v>2</v>
      </c>
      <c r="M1290" t="s">
        <v>40</v>
      </c>
      <c r="N1290" s="2">
        <v>90</v>
      </c>
      <c r="O1290">
        <v>3</v>
      </c>
      <c r="P1290">
        <v>2</v>
      </c>
      <c r="Q1290" t="s">
        <v>47</v>
      </c>
      <c r="R1290">
        <v>4</v>
      </c>
      <c r="S1290" t="s">
        <v>46</v>
      </c>
      <c r="T1290" s="2">
        <v>5762</v>
      </c>
      <c r="U1290" s="2">
        <v>24442</v>
      </c>
      <c r="V1290">
        <v>2</v>
      </c>
      <c r="W1290" t="s">
        <v>38</v>
      </c>
      <c r="X1290">
        <v>14</v>
      </c>
      <c r="Y1290">
        <v>3</v>
      </c>
      <c r="Z1290">
        <v>3</v>
      </c>
      <c r="AA1290">
        <v>80</v>
      </c>
      <c r="AB1290">
        <v>1</v>
      </c>
      <c r="AC1290">
        <v>15</v>
      </c>
      <c r="AD1290">
        <v>6</v>
      </c>
      <c r="AE1290">
        <v>3</v>
      </c>
      <c r="AF1290">
        <v>7</v>
      </c>
      <c r="AG1290">
        <v>7</v>
      </c>
      <c r="AH1290">
        <v>1</v>
      </c>
      <c r="AI1290">
        <v>7</v>
      </c>
    </row>
    <row r="1291" spans="1:35" x14ac:dyDescent="0.25">
      <c r="A1291">
        <v>38</v>
      </c>
      <c r="B1291" t="str">
        <f t="shared" si="40"/>
        <v>35-44</v>
      </c>
      <c r="C1291" s="1" t="s">
        <v>38</v>
      </c>
      <c r="D1291" s="17">
        <f>IF(Table1[[#This Row],[Attrition]]="Yes",1,0)</f>
        <v>0</v>
      </c>
      <c r="E1291" t="s">
        <v>49</v>
      </c>
      <c r="F1291" s="2">
        <v>1336</v>
      </c>
      <c r="G1291" t="s">
        <v>55</v>
      </c>
      <c r="H1291">
        <v>2</v>
      </c>
      <c r="I1291">
        <v>3</v>
      </c>
      <c r="J1291" t="str">
        <f t="shared" si="41"/>
        <v>Bachelor</v>
      </c>
      <c r="K1291" t="s">
        <v>55</v>
      </c>
      <c r="L1291">
        <v>1</v>
      </c>
      <c r="M1291" t="s">
        <v>40</v>
      </c>
      <c r="N1291" s="2">
        <v>100</v>
      </c>
      <c r="O1291">
        <v>3</v>
      </c>
      <c r="P1291">
        <v>1</v>
      </c>
      <c r="Q1291" t="s">
        <v>55</v>
      </c>
      <c r="R1291">
        <v>2</v>
      </c>
      <c r="S1291" t="s">
        <v>46</v>
      </c>
      <c r="T1291" s="2">
        <v>2592</v>
      </c>
      <c r="U1291" s="2">
        <v>7129</v>
      </c>
      <c r="V1291">
        <v>5</v>
      </c>
      <c r="W1291" t="s">
        <v>38</v>
      </c>
      <c r="X1291">
        <v>13</v>
      </c>
      <c r="Y1291">
        <v>3</v>
      </c>
      <c r="Z1291">
        <v>4</v>
      </c>
      <c r="AA1291">
        <v>80</v>
      </c>
      <c r="AB1291">
        <v>3</v>
      </c>
      <c r="AC1291">
        <v>13</v>
      </c>
      <c r="AD1291">
        <v>3</v>
      </c>
      <c r="AE1291">
        <v>3</v>
      </c>
      <c r="AF1291">
        <v>11</v>
      </c>
      <c r="AG1291">
        <v>10</v>
      </c>
      <c r="AH1291">
        <v>3</v>
      </c>
      <c r="AI1291">
        <v>8</v>
      </c>
    </row>
    <row r="1292" spans="1:35" x14ac:dyDescent="0.25">
      <c r="A1292">
        <v>34</v>
      </c>
      <c r="B1292" t="str">
        <f t="shared" si="40"/>
        <v>25-34</v>
      </c>
      <c r="C1292" s="1" t="s">
        <v>32</v>
      </c>
      <c r="D1292" s="17">
        <f>IF(Table1[[#This Row],[Attrition]]="Yes",1,0)</f>
        <v>1</v>
      </c>
      <c r="E1292" t="s">
        <v>58</v>
      </c>
      <c r="F1292" s="2">
        <v>234</v>
      </c>
      <c r="G1292" t="s">
        <v>39</v>
      </c>
      <c r="H1292">
        <v>9</v>
      </c>
      <c r="I1292">
        <v>4</v>
      </c>
      <c r="J1292" t="str">
        <f t="shared" si="41"/>
        <v>Master</v>
      </c>
      <c r="K1292" t="s">
        <v>34</v>
      </c>
      <c r="L1292">
        <v>4</v>
      </c>
      <c r="M1292" t="s">
        <v>40</v>
      </c>
      <c r="N1292" s="2">
        <v>93</v>
      </c>
      <c r="O1292">
        <v>3</v>
      </c>
      <c r="P1292">
        <v>2</v>
      </c>
      <c r="Q1292" t="s">
        <v>44</v>
      </c>
      <c r="R1292">
        <v>1</v>
      </c>
      <c r="S1292" t="s">
        <v>42</v>
      </c>
      <c r="T1292" s="2">
        <v>5346</v>
      </c>
      <c r="U1292" s="2">
        <v>6208</v>
      </c>
      <c r="V1292">
        <v>4</v>
      </c>
      <c r="W1292" t="s">
        <v>38</v>
      </c>
      <c r="X1292">
        <v>17</v>
      </c>
      <c r="Y1292">
        <v>3</v>
      </c>
      <c r="Z1292">
        <v>3</v>
      </c>
      <c r="AA1292">
        <v>80</v>
      </c>
      <c r="AB1292">
        <v>1</v>
      </c>
      <c r="AC1292">
        <v>11</v>
      </c>
      <c r="AD1292">
        <v>3</v>
      </c>
      <c r="AE1292">
        <v>2</v>
      </c>
      <c r="AF1292">
        <v>7</v>
      </c>
      <c r="AG1292">
        <v>1</v>
      </c>
      <c r="AH1292">
        <v>0</v>
      </c>
      <c r="AI1292">
        <v>7</v>
      </c>
    </row>
    <row r="1293" spans="1:35" x14ac:dyDescent="0.25">
      <c r="A1293">
        <v>37</v>
      </c>
      <c r="B1293" t="str">
        <f t="shared" si="40"/>
        <v>35-44</v>
      </c>
      <c r="C1293" s="1" t="s">
        <v>32</v>
      </c>
      <c r="D1293" s="17">
        <f>IF(Table1[[#This Row],[Attrition]]="Yes",1,0)</f>
        <v>1</v>
      </c>
      <c r="E1293" t="s">
        <v>57</v>
      </c>
      <c r="F1293" s="2">
        <v>370</v>
      </c>
      <c r="G1293" t="s">
        <v>39</v>
      </c>
      <c r="H1293">
        <v>10</v>
      </c>
      <c r="I1293">
        <v>4</v>
      </c>
      <c r="J1293" t="str">
        <f t="shared" si="41"/>
        <v>Master</v>
      </c>
      <c r="K1293" t="s">
        <v>45</v>
      </c>
      <c r="L1293">
        <v>4</v>
      </c>
      <c r="M1293" t="s">
        <v>40</v>
      </c>
      <c r="N1293" s="2">
        <v>58</v>
      </c>
      <c r="O1293">
        <v>3</v>
      </c>
      <c r="P1293">
        <v>2</v>
      </c>
      <c r="Q1293" t="s">
        <v>47</v>
      </c>
      <c r="R1293">
        <v>1</v>
      </c>
      <c r="S1293" t="s">
        <v>37</v>
      </c>
      <c r="T1293" s="2">
        <v>4213</v>
      </c>
      <c r="U1293" s="2">
        <v>4992</v>
      </c>
      <c r="V1293">
        <v>1</v>
      </c>
      <c r="W1293" t="s">
        <v>38</v>
      </c>
      <c r="X1293">
        <v>15</v>
      </c>
      <c r="Y1293">
        <v>3</v>
      </c>
      <c r="Z1293">
        <v>2</v>
      </c>
      <c r="AA1293">
        <v>80</v>
      </c>
      <c r="AB1293">
        <v>0</v>
      </c>
      <c r="AC1293">
        <v>10</v>
      </c>
      <c r="AD1293">
        <v>4</v>
      </c>
      <c r="AE1293">
        <v>1</v>
      </c>
      <c r="AF1293">
        <v>10</v>
      </c>
      <c r="AG1293">
        <v>3</v>
      </c>
      <c r="AH1293">
        <v>0</v>
      </c>
      <c r="AI1293">
        <v>8</v>
      </c>
    </row>
    <row r="1294" spans="1:35" x14ac:dyDescent="0.25">
      <c r="A1294">
        <v>39</v>
      </c>
      <c r="B1294" t="str">
        <f t="shared" si="40"/>
        <v>35-44</v>
      </c>
      <c r="C1294" s="1" t="s">
        <v>38</v>
      </c>
      <c r="D1294" s="17">
        <f>IF(Table1[[#This Row],[Attrition]]="Yes",1,0)</f>
        <v>0</v>
      </c>
      <c r="E1294" t="s">
        <v>58</v>
      </c>
      <c r="F1294" s="2">
        <v>766</v>
      </c>
      <c r="G1294" t="s">
        <v>33</v>
      </c>
      <c r="H1294">
        <v>20</v>
      </c>
      <c r="I1294">
        <v>3</v>
      </c>
      <c r="J1294" t="str">
        <f t="shared" si="41"/>
        <v>Bachelor</v>
      </c>
      <c r="K1294" t="s">
        <v>34</v>
      </c>
      <c r="L1294">
        <v>3</v>
      </c>
      <c r="M1294" t="s">
        <v>40</v>
      </c>
      <c r="N1294" s="2">
        <v>83</v>
      </c>
      <c r="O1294">
        <v>3</v>
      </c>
      <c r="P1294">
        <v>2</v>
      </c>
      <c r="Q1294" t="s">
        <v>36</v>
      </c>
      <c r="R1294">
        <v>4</v>
      </c>
      <c r="S1294" t="s">
        <v>46</v>
      </c>
      <c r="T1294" s="2">
        <v>4127</v>
      </c>
      <c r="U1294" s="2">
        <v>19188</v>
      </c>
      <c r="V1294">
        <v>2</v>
      </c>
      <c r="W1294" t="s">
        <v>38</v>
      </c>
      <c r="X1294">
        <v>18</v>
      </c>
      <c r="Y1294">
        <v>3</v>
      </c>
      <c r="Z1294">
        <v>4</v>
      </c>
      <c r="AA1294">
        <v>80</v>
      </c>
      <c r="AB1294">
        <v>1</v>
      </c>
      <c r="AC1294">
        <v>7</v>
      </c>
      <c r="AD1294">
        <v>6</v>
      </c>
      <c r="AE1294">
        <v>3</v>
      </c>
      <c r="AF1294">
        <v>2</v>
      </c>
      <c r="AG1294">
        <v>1</v>
      </c>
      <c r="AH1294">
        <v>2</v>
      </c>
      <c r="AI1294">
        <v>2</v>
      </c>
    </row>
    <row r="1295" spans="1:35" x14ac:dyDescent="0.25">
      <c r="A1295">
        <v>43</v>
      </c>
      <c r="B1295" t="str">
        <f t="shared" si="40"/>
        <v>35-44</v>
      </c>
      <c r="C1295" s="1" t="s">
        <v>38</v>
      </c>
      <c r="D1295" s="17">
        <f>IF(Table1[[#This Row],[Attrition]]="Yes",1,0)</f>
        <v>0</v>
      </c>
      <c r="E1295" t="s">
        <v>49</v>
      </c>
      <c r="F1295" s="2">
        <v>343</v>
      </c>
      <c r="G1295" t="s">
        <v>39</v>
      </c>
      <c r="H1295">
        <v>9</v>
      </c>
      <c r="I1295">
        <v>3</v>
      </c>
      <c r="J1295" t="str">
        <f t="shared" si="41"/>
        <v>Bachelor</v>
      </c>
      <c r="K1295" t="s">
        <v>34</v>
      </c>
      <c r="L1295">
        <v>1</v>
      </c>
      <c r="M1295" t="s">
        <v>40</v>
      </c>
      <c r="N1295" s="2">
        <v>52</v>
      </c>
      <c r="O1295">
        <v>3</v>
      </c>
      <c r="P1295">
        <v>1</v>
      </c>
      <c r="Q1295" t="s">
        <v>41</v>
      </c>
      <c r="R1295">
        <v>3</v>
      </c>
      <c r="S1295" t="s">
        <v>37</v>
      </c>
      <c r="T1295" s="2">
        <v>2438</v>
      </c>
      <c r="U1295" s="2">
        <v>24978</v>
      </c>
      <c r="V1295">
        <v>4</v>
      </c>
      <c r="W1295" t="s">
        <v>38</v>
      </c>
      <c r="X1295">
        <v>13</v>
      </c>
      <c r="Y1295">
        <v>3</v>
      </c>
      <c r="Z1295">
        <v>3</v>
      </c>
      <c r="AA1295">
        <v>80</v>
      </c>
      <c r="AB1295">
        <v>0</v>
      </c>
      <c r="AC1295">
        <v>7</v>
      </c>
      <c r="AD1295">
        <v>2</v>
      </c>
      <c r="AE1295">
        <v>2</v>
      </c>
      <c r="AF1295">
        <v>3</v>
      </c>
      <c r="AG1295">
        <v>2</v>
      </c>
      <c r="AH1295">
        <v>1</v>
      </c>
      <c r="AI1295">
        <v>2</v>
      </c>
    </row>
    <row r="1296" spans="1:35" x14ac:dyDescent="0.25">
      <c r="A1296">
        <v>41</v>
      </c>
      <c r="B1296" t="str">
        <f t="shared" si="40"/>
        <v>35-44</v>
      </c>
      <c r="C1296" s="1" t="s">
        <v>38</v>
      </c>
      <c r="D1296" s="17">
        <f>IF(Table1[[#This Row],[Attrition]]="Yes",1,0)</f>
        <v>0</v>
      </c>
      <c r="E1296" t="s">
        <v>57</v>
      </c>
      <c r="F1296" s="2">
        <v>447</v>
      </c>
      <c r="G1296" t="s">
        <v>39</v>
      </c>
      <c r="H1296">
        <v>5</v>
      </c>
      <c r="I1296">
        <v>3</v>
      </c>
      <c r="J1296" t="str">
        <f t="shared" si="41"/>
        <v>Bachelor</v>
      </c>
      <c r="K1296" t="s">
        <v>34</v>
      </c>
      <c r="L1296">
        <v>2</v>
      </c>
      <c r="M1296" t="s">
        <v>40</v>
      </c>
      <c r="N1296" s="2">
        <v>85</v>
      </c>
      <c r="O1296">
        <v>4</v>
      </c>
      <c r="P1296">
        <v>2</v>
      </c>
      <c r="Q1296" t="s">
        <v>48</v>
      </c>
      <c r="R1296">
        <v>2</v>
      </c>
      <c r="S1296" t="s">
        <v>37</v>
      </c>
      <c r="T1296" s="2">
        <v>6870</v>
      </c>
      <c r="U1296" s="2">
        <v>15530</v>
      </c>
      <c r="V1296">
        <v>3</v>
      </c>
      <c r="W1296" t="s">
        <v>38</v>
      </c>
      <c r="X1296">
        <v>12</v>
      </c>
      <c r="Y1296">
        <v>3</v>
      </c>
      <c r="Z1296">
        <v>1</v>
      </c>
      <c r="AA1296">
        <v>80</v>
      </c>
      <c r="AB1296">
        <v>0</v>
      </c>
      <c r="AC1296">
        <v>11</v>
      </c>
      <c r="AD1296">
        <v>3</v>
      </c>
      <c r="AE1296">
        <v>1</v>
      </c>
      <c r="AF1296">
        <v>3</v>
      </c>
      <c r="AG1296">
        <v>2</v>
      </c>
      <c r="AH1296">
        <v>1</v>
      </c>
      <c r="AI1296">
        <v>2</v>
      </c>
    </row>
    <row r="1297" spans="1:35" x14ac:dyDescent="0.25">
      <c r="A1297">
        <v>41</v>
      </c>
      <c r="B1297" t="str">
        <f t="shared" si="40"/>
        <v>35-44</v>
      </c>
      <c r="C1297" s="1" t="s">
        <v>38</v>
      </c>
      <c r="D1297" s="17">
        <f>IF(Table1[[#This Row],[Attrition]]="Yes",1,0)</f>
        <v>0</v>
      </c>
      <c r="E1297" t="s">
        <v>57</v>
      </c>
      <c r="F1297" s="2">
        <v>796</v>
      </c>
      <c r="G1297" t="s">
        <v>33</v>
      </c>
      <c r="H1297">
        <v>4</v>
      </c>
      <c r="I1297">
        <v>1</v>
      </c>
      <c r="J1297" t="str">
        <f t="shared" si="41"/>
        <v>Below College</v>
      </c>
      <c r="K1297" t="s">
        <v>53</v>
      </c>
      <c r="L1297">
        <v>3</v>
      </c>
      <c r="M1297" t="s">
        <v>35</v>
      </c>
      <c r="N1297" s="2">
        <v>81</v>
      </c>
      <c r="O1297">
        <v>3</v>
      </c>
      <c r="P1297">
        <v>3</v>
      </c>
      <c r="Q1297" t="s">
        <v>36</v>
      </c>
      <c r="R1297">
        <v>3</v>
      </c>
      <c r="S1297" t="s">
        <v>46</v>
      </c>
      <c r="T1297" s="2">
        <v>10447</v>
      </c>
      <c r="U1297" s="2">
        <v>26458</v>
      </c>
      <c r="V1297">
        <v>0</v>
      </c>
      <c r="W1297" t="s">
        <v>32</v>
      </c>
      <c r="X1297">
        <v>13</v>
      </c>
      <c r="Y1297">
        <v>3</v>
      </c>
      <c r="Z1297">
        <v>4</v>
      </c>
      <c r="AA1297">
        <v>80</v>
      </c>
      <c r="AB1297">
        <v>1</v>
      </c>
      <c r="AC1297">
        <v>23</v>
      </c>
      <c r="AD1297">
        <v>3</v>
      </c>
      <c r="AE1297">
        <v>4</v>
      </c>
      <c r="AF1297">
        <v>22</v>
      </c>
      <c r="AG1297">
        <v>14</v>
      </c>
      <c r="AH1297">
        <v>13</v>
      </c>
      <c r="AI1297">
        <v>5</v>
      </c>
    </row>
    <row r="1298" spans="1:35" x14ac:dyDescent="0.25">
      <c r="A1298">
        <v>30</v>
      </c>
      <c r="B1298" t="str">
        <f t="shared" si="40"/>
        <v>25-34</v>
      </c>
      <c r="C1298" s="1" t="s">
        <v>38</v>
      </c>
      <c r="D1298" s="17">
        <f>IF(Table1[[#This Row],[Attrition]]="Yes",1,0)</f>
        <v>0</v>
      </c>
      <c r="E1298" t="s">
        <v>57</v>
      </c>
      <c r="F1298" s="2">
        <v>1092</v>
      </c>
      <c r="G1298" t="s">
        <v>39</v>
      </c>
      <c r="H1298">
        <v>10</v>
      </c>
      <c r="I1298">
        <v>3</v>
      </c>
      <c r="J1298" t="str">
        <f t="shared" si="41"/>
        <v>Bachelor</v>
      </c>
      <c r="K1298" t="s">
        <v>45</v>
      </c>
      <c r="L1298">
        <v>1</v>
      </c>
      <c r="M1298" t="s">
        <v>35</v>
      </c>
      <c r="N1298" s="2">
        <v>64</v>
      </c>
      <c r="O1298">
        <v>3</v>
      </c>
      <c r="P1298">
        <v>3</v>
      </c>
      <c r="Q1298" t="s">
        <v>47</v>
      </c>
      <c r="R1298">
        <v>3</v>
      </c>
      <c r="S1298" t="s">
        <v>37</v>
      </c>
      <c r="T1298" s="2">
        <v>9667</v>
      </c>
      <c r="U1298" s="2">
        <v>2739</v>
      </c>
      <c r="V1298">
        <v>9</v>
      </c>
      <c r="W1298" t="s">
        <v>38</v>
      </c>
      <c r="X1298">
        <v>14</v>
      </c>
      <c r="Y1298">
        <v>3</v>
      </c>
      <c r="Z1298">
        <v>2</v>
      </c>
      <c r="AA1298">
        <v>80</v>
      </c>
      <c r="AB1298">
        <v>0</v>
      </c>
      <c r="AC1298">
        <v>9</v>
      </c>
      <c r="AD1298">
        <v>3</v>
      </c>
      <c r="AE1298">
        <v>3</v>
      </c>
      <c r="AF1298">
        <v>7</v>
      </c>
      <c r="AG1298">
        <v>7</v>
      </c>
      <c r="AH1298">
        <v>0</v>
      </c>
      <c r="AI1298">
        <v>2</v>
      </c>
    </row>
    <row r="1299" spans="1:35" x14ac:dyDescent="0.25">
      <c r="A1299">
        <v>26</v>
      </c>
      <c r="B1299" t="str">
        <f t="shared" si="40"/>
        <v>25-34</v>
      </c>
      <c r="C1299" s="1" t="s">
        <v>32</v>
      </c>
      <c r="D1299" s="17">
        <f>IF(Table1[[#This Row],[Attrition]]="Yes",1,0)</f>
        <v>1</v>
      </c>
      <c r="E1299" t="s">
        <v>57</v>
      </c>
      <c r="F1299" s="2">
        <v>920</v>
      </c>
      <c r="G1299" t="s">
        <v>55</v>
      </c>
      <c r="H1299">
        <v>20</v>
      </c>
      <c r="I1299">
        <v>2</v>
      </c>
      <c r="J1299" t="str">
        <f t="shared" si="41"/>
        <v>College</v>
      </c>
      <c r="K1299" t="s">
        <v>45</v>
      </c>
      <c r="L1299">
        <v>4</v>
      </c>
      <c r="M1299" t="s">
        <v>35</v>
      </c>
      <c r="N1299" s="2">
        <v>69</v>
      </c>
      <c r="O1299">
        <v>3</v>
      </c>
      <c r="P1299">
        <v>1</v>
      </c>
      <c r="Q1299" t="s">
        <v>55</v>
      </c>
      <c r="R1299">
        <v>2</v>
      </c>
      <c r="S1299" t="s">
        <v>42</v>
      </c>
      <c r="T1299" s="2">
        <v>2148</v>
      </c>
      <c r="U1299" s="2">
        <v>6889</v>
      </c>
      <c r="V1299">
        <v>0</v>
      </c>
      <c r="W1299" t="s">
        <v>32</v>
      </c>
      <c r="X1299">
        <v>11</v>
      </c>
      <c r="Y1299">
        <v>3</v>
      </c>
      <c r="Z1299">
        <v>3</v>
      </c>
      <c r="AA1299">
        <v>80</v>
      </c>
      <c r="AB1299">
        <v>0</v>
      </c>
      <c r="AC1299">
        <v>6</v>
      </c>
      <c r="AD1299">
        <v>3</v>
      </c>
      <c r="AE1299">
        <v>3</v>
      </c>
      <c r="AF1299">
        <v>5</v>
      </c>
      <c r="AG1299">
        <v>1</v>
      </c>
      <c r="AH1299">
        <v>1</v>
      </c>
      <c r="AI1299">
        <v>4</v>
      </c>
    </row>
    <row r="1300" spans="1:35" x14ac:dyDescent="0.25">
      <c r="A1300">
        <v>46</v>
      </c>
      <c r="B1300" t="str">
        <f t="shared" si="40"/>
        <v>45-54</v>
      </c>
      <c r="C1300" s="1" t="s">
        <v>32</v>
      </c>
      <c r="D1300" s="17">
        <f>IF(Table1[[#This Row],[Attrition]]="Yes",1,0)</f>
        <v>1</v>
      </c>
      <c r="E1300" t="s">
        <v>57</v>
      </c>
      <c r="F1300" s="2">
        <v>261</v>
      </c>
      <c r="G1300" t="s">
        <v>39</v>
      </c>
      <c r="H1300">
        <v>21</v>
      </c>
      <c r="I1300">
        <v>2</v>
      </c>
      <c r="J1300" t="str">
        <f t="shared" si="41"/>
        <v>College</v>
      </c>
      <c r="K1300" t="s">
        <v>45</v>
      </c>
      <c r="L1300">
        <v>4</v>
      </c>
      <c r="M1300" t="s">
        <v>35</v>
      </c>
      <c r="N1300" s="2">
        <v>66</v>
      </c>
      <c r="O1300">
        <v>3</v>
      </c>
      <c r="P1300">
        <v>2</v>
      </c>
      <c r="Q1300" t="s">
        <v>48</v>
      </c>
      <c r="R1300">
        <v>2</v>
      </c>
      <c r="S1300" t="s">
        <v>42</v>
      </c>
      <c r="T1300" s="2">
        <v>8926</v>
      </c>
      <c r="U1300" s="2">
        <v>10842</v>
      </c>
      <c r="V1300">
        <v>4</v>
      </c>
      <c r="W1300" t="s">
        <v>38</v>
      </c>
      <c r="X1300">
        <v>22</v>
      </c>
      <c r="Y1300">
        <v>4</v>
      </c>
      <c r="Z1300">
        <v>4</v>
      </c>
      <c r="AA1300">
        <v>80</v>
      </c>
      <c r="AB1300">
        <v>1</v>
      </c>
      <c r="AC1300">
        <v>13</v>
      </c>
      <c r="AD1300">
        <v>2</v>
      </c>
      <c r="AE1300">
        <v>4</v>
      </c>
      <c r="AF1300">
        <v>9</v>
      </c>
      <c r="AG1300">
        <v>7</v>
      </c>
      <c r="AH1300">
        <v>3</v>
      </c>
      <c r="AI1300">
        <v>7</v>
      </c>
    </row>
    <row r="1301" spans="1:35" x14ac:dyDescent="0.25">
      <c r="A1301">
        <v>40</v>
      </c>
      <c r="B1301" t="str">
        <f t="shared" si="40"/>
        <v>35-44</v>
      </c>
      <c r="C1301" s="1" t="s">
        <v>38</v>
      </c>
      <c r="D1301" s="17">
        <f>IF(Table1[[#This Row],[Attrition]]="Yes",1,0)</f>
        <v>0</v>
      </c>
      <c r="E1301" t="s">
        <v>57</v>
      </c>
      <c r="F1301" s="2">
        <v>1194</v>
      </c>
      <c r="G1301" t="s">
        <v>39</v>
      </c>
      <c r="H1301">
        <v>1</v>
      </c>
      <c r="I1301">
        <v>3</v>
      </c>
      <c r="J1301" t="str">
        <f t="shared" si="41"/>
        <v>Bachelor</v>
      </c>
      <c r="K1301" t="s">
        <v>34</v>
      </c>
      <c r="L1301">
        <v>3</v>
      </c>
      <c r="M1301" t="s">
        <v>35</v>
      </c>
      <c r="N1301" s="2">
        <v>52</v>
      </c>
      <c r="O1301">
        <v>3</v>
      </c>
      <c r="P1301">
        <v>2</v>
      </c>
      <c r="Q1301" t="s">
        <v>48</v>
      </c>
      <c r="R1301">
        <v>4</v>
      </c>
      <c r="S1301" t="s">
        <v>46</v>
      </c>
      <c r="T1301" s="2">
        <v>6513</v>
      </c>
      <c r="U1301" s="2">
        <v>9060</v>
      </c>
      <c r="V1301">
        <v>4</v>
      </c>
      <c r="W1301" t="s">
        <v>38</v>
      </c>
      <c r="X1301">
        <v>17</v>
      </c>
      <c r="Y1301">
        <v>3</v>
      </c>
      <c r="Z1301">
        <v>4</v>
      </c>
      <c r="AA1301">
        <v>80</v>
      </c>
      <c r="AB1301">
        <v>1</v>
      </c>
      <c r="AC1301">
        <v>12</v>
      </c>
      <c r="AD1301">
        <v>3</v>
      </c>
      <c r="AE1301">
        <v>3</v>
      </c>
      <c r="AF1301">
        <v>5</v>
      </c>
      <c r="AG1301">
        <v>3</v>
      </c>
      <c r="AH1301">
        <v>0</v>
      </c>
      <c r="AI1301">
        <v>3</v>
      </c>
    </row>
    <row r="1302" spans="1:35" x14ac:dyDescent="0.25">
      <c r="A1302">
        <v>34</v>
      </c>
      <c r="B1302" t="str">
        <f t="shared" si="40"/>
        <v>25-34</v>
      </c>
      <c r="C1302" s="1" t="s">
        <v>38</v>
      </c>
      <c r="D1302" s="17">
        <f>IF(Table1[[#This Row],[Attrition]]="Yes",1,0)</f>
        <v>0</v>
      </c>
      <c r="E1302" t="s">
        <v>57</v>
      </c>
      <c r="F1302" s="2">
        <v>810</v>
      </c>
      <c r="G1302" t="s">
        <v>33</v>
      </c>
      <c r="H1302">
        <v>8</v>
      </c>
      <c r="I1302">
        <v>2</v>
      </c>
      <c r="J1302" t="str">
        <f t="shared" si="41"/>
        <v>College</v>
      </c>
      <c r="K1302" t="s">
        <v>54</v>
      </c>
      <c r="L1302">
        <v>2</v>
      </c>
      <c r="M1302" t="s">
        <v>40</v>
      </c>
      <c r="N1302" s="2">
        <v>92</v>
      </c>
      <c r="O1302">
        <v>4</v>
      </c>
      <c r="P1302">
        <v>2</v>
      </c>
      <c r="Q1302" t="s">
        <v>36</v>
      </c>
      <c r="R1302">
        <v>3</v>
      </c>
      <c r="S1302" t="s">
        <v>42</v>
      </c>
      <c r="T1302" s="2">
        <v>6799</v>
      </c>
      <c r="U1302" s="2">
        <v>22128</v>
      </c>
      <c r="V1302">
        <v>1</v>
      </c>
      <c r="W1302" t="s">
        <v>38</v>
      </c>
      <c r="X1302">
        <v>21</v>
      </c>
      <c r="Y1302">
        <v>4</v>
      </c>
      <c r="Z1302">
        <v>3</v>
      </c>
      <c r="AA1302">
        <v>80</v>
      </c>
      <c r="AB1302">
        <v>2</v>
      </c>
      <c r="AC1302">
        <v>10</v>
      </c>
      <c r="AD1302">
        <v>5</v>
      </c>
      <c r="AE1302">
        <v>3</v>
      </c>
      <c r="AF1302">
        <v>10</v>
      </c>
      <c r="AG1302">
        <v>8</v>
      </c>
      <c r="AH1302">
        <v>4</v>
      </c>
      <c r="AI1302">
        <v>8</v>
      </c>
    </row>
    <row r="1303" spans="1:35" x14ac:dyDescent="0.25">
      <c r="A1303">
        <v>58</v>
      </c>
      <c r="B1303" t="str">
        <f t="shared" si="40"/>
        <v>55-64</v>
      </c>
      <c r="C1303" s="1" t="s">
        <v>38</v>
      </c>
      <c r="D1303" s="17">
        <f>IF(Table1[[#This Row],[Attrition]]="Yes",1,0)</f>
        <v>0</v>
      </c>
      <c r="E1303" t="s">
        <v>49</v>
      </c>
      <c r="F1303" s="2">
        <v>350</v>
      </c>
      <c r="G1303" t="s">
        <v>33</v>
      </c>
      <c r="H1303">
        <v>2</v>
      </c>
      <c r="I1303">
        <v>3</v>
      </c>
      <c r="J1303" t="str">
        <f t="shared" si="41"/>
        <v>Bachelor</v>
      </c>
      <c r="K1303" t="s">
        <v>45</v>
      </c>
      <c r="L1303">
        <v>2</v>
      </c>
      <c r="M1303" t="s">
        <v>40</v>
      </c>
      <c r="N1303" s="2">
        <v>52</v>
      </c>
      <c r="O1303">
        <v>3</v>
      </c>
      <c r="P1303">
        <v>4</v>
      </c>
      <c r="Q1303" t="s">
        <v>50</v>
      </c>
      <c r="R1303">
        <v>2</v>
      </c>
      <c r="S1303" t="s">
        <v>46</v>
      </c>
      <c r="T1303" s="2">
        <v>16291</v>
      </c>
      <c r="U1303" s="2">
        <v>22577</v>
      </c>
      <c r="V1303">
        <v>4</v>
      </c>
      <c r="W1303" t="s">
        <v>38</v>
      </c>
      <c r="X1303">
        <v>22</v>
      </c>
      <c r="Y1303">
        <v>4</v>
      </c>
      <c r="Z1303">
        <v>4</v>
      </c>
      <c r="AA1303">
        <v>80</v>
      </c>
      <c r="AB1303">
        <v>1</v>
      </c>
      <c r="AC1303">
        <v>37</v>
      </c>
      <c r="AD1303">
        <v>0</v>
      </c>
      <c r="AE1303">
        <v>2</v>
      </c>
      <c r="AF1303">
        <v>16</v>
      </c>
      <c r="AG1303">
        <v>9</v>
      </c>
      <c r="AH1303">
        <v>14</v>
      </c>
      <c r="AI1303">
        <v>14</v>
      </c>
    </row>
    <row r="1304" spans="1:35" x14ac:dyDescent="0.25">
      <c r="A1304">
        <v>35</v>
      </c>
      <c r="B1304" t="str">
        <f t="shared" si="40"/>
        <v>35-44</v>
      </c>
      <c r="C1304" s="1" t="s">
        <v>38</v>
      </c>
      <c r="D1304" s="17">
        <f>IF(Table1[[#This Row],[Attrition]]="Yes",1,0)</f>
        <v>0</v>
      </c>
      <c r="E1304" t="s">
        <v>57</v>
      </c>
      <c r="F1304" s="2">
        <v>185</v>
      </c>
      <c r="G1304" t="s">
        <v>39</v>
      </c>
      <c r="H1304">
        <v>23</v>
      </c>
      <c r="I1304">
        <v>4</v>
      </c>
      <c r="J1304" t="str">
        <f t="shared" si="41"/>
        <v>Master</v>
      </c>
      <c r="K1304" t="s">
        <v>45</v>
      </c>
      <c r="L1304">
        <v>2</v>
      </c>
      <c r="M1304" t="s">
        <v>40</v>
      </c>
      <c r="N1304" s="2">
        <v>91</v>
      </c>
      <c r="O1304">
        <v>1</v>
      </c>
      <c r="P1304">
        <v>1</v>
      </c>
      <c r="Q1304" t="s">
        <v>44</v>
      </c>
      <c r="R1304">
        <v>3</v>
      </c>
      <c r="S1304" t="s">
        <v>42</v>
      </c>
      <c r="T1304" s="2">
        <v>2705</v>
      </c>
      <c r="U1304" s="2">
        <v>9696</v>
      </c>
      <c r="V1304">
        <v>0</v>
      </c>
      <c r="W1304" t="s">
        <v>38</v>
      </c>
      <c r="X1304">
        <v>16</v>
      </c>
      <c r="Y1304">
        <v>3</v>
      </c>
      <c r="Z1304">
        <v>2</v>
      </c>
      <c r="AA1304">
        <v>80</v>
      </c>
      <c r="AB1304">
        <v>1</v>
      </c>
      <c r="AC1304">
        <v>6</v>
      </c>
      <c r="AD1304">
        <v>2</v>
      </c>
      <c r="AE1304">
        <v>4</v>
      </c>
      <c r="AF1304">
        <v>5</v>
      </c>
      <c r="AG1304">
        <v>4</v>
      </c>
      <c r="AH1304">
        <v>0</v>
      </c>
      <c r="AI1304">
        <v>3</v>
      </c>
    </row>
    <row r="1305" spans="1:35" x14ac:dyDescent="0.25">
      <c r="A1305">
        <v>47</v>
      </c>
      <c r="B1305" t="str">
        <f t="shared" si="40"/>
        <v>45-54</v>
      </c>
      <c r="C1305" s="1" t="s">
        <v>38</v>
      </c>
      <c r="D1305" s="17">
        <f>IF(Table1[[#This Row],[Attrition]]="Yes",1,0)</f>
        <v>0</v>
      </c>
      <c r="E1305" t="s">
        <v>57</v>
      </c>
      <c r="F1305" s="2">
        <v>1001</v>
      </c>
      <c r="G1305" t="s">
        <v>39</v>
      </c>
      <c r="H1305">
        <v>4</v>
      </c>
      <c r="I1305">
        <v>3</v>
      </c>
      <c r="J1305" t="str">
        <f t="shared" si="41"/>
        <v>Bachelor</v>
      </c>
      <c r="K1305" t="s">
        <v>34</v>
      </c>
      <c r="L1305">
        <v>3</v>
      </c>
      <c r="M1305" t="s">
        <v>35</v>
      </c>
      <c r="N1305" s="2">
        <v>92</v>
      </c>
      <c r="O1305">
        <v>2</v>
      </c>
      <c r="P1305">
        <v>3</v>
      </c>
      <c r="Q1305" t="s">
        <v>47</v>
      </c>
      <c r="R1305">
        <v>2</v>
      </c>
      <c r="S1305" t="s">
        <v>46</v>
      </c>
      <c r="T1305" s="2">
        <v>10333</v>
      </c>
      <c r="U1305" s="2">
        <v>19271</v>
      </c>
      <c r="V1305">
        <v>8</v>
      </c>
      <c r="W1305" t="s">
        <v>32</v>
      </c>
      <c r="X1305">
        <v>12</v>
      </c>
      <c r="Y1305">
        <v>3</v>
      </c>
      <c r="Z1305">
        <v>3</v>
      </c>
      <c r="AA1305">
        <v>80</v>
      </c>
      <c r="AB1305">
        <v>1</v>
      </c>
      <c r="AC1305">
        <v>28</v>
      </c>
      <c r="AD1305">
        <v>4</v>
      </c>
      <c r="AE1305">
        <v>3</v>
      </c>
      <c r="AF1305">
        <v>22</v>
      </c>
      <c r="AG1305">
        <v>11</v>
      </c>
      <c r="AH1305">
        <v>14</v>
      </c>
      <c r="AI1305">
        <v>10</v>
      </c>
    </row>
    <row r="1306" spans="1:35" x14ac:dyDescent="0.25">
      <c r="A1306">
        <v>40</v>
      </c>
      <c r="B1306" t="str">
        <f t="shared" si="40"/>
        <v>35-44</v>
      </c>
      <c r="C1306" s="1" t="s">
        <v>38</v>
      </c>
      <c r="D1306" s="17">
        <f>IF(Table1[[#This Row],[Attrition]]="Yes",1,0)</f>
        <v>0</v>
      </c>
      <c r="E1306" t="s">
        <v>57</v>
      </c>
      <c r="F1306" s="2">
        <v>750</v>
      </c>
      <c r="G1306" t="s">
        <v>39</v>
      </c>
      <c r="H1306">
        <v>12</v>
      </c>
      <c r="I1306">
        <v>3</v>
      </c>
      <c r="J1306" t="str">
        <f t="shared" si="41"/>
        <v>Bachelor</v>
      </c>
      <c r="K1306" t="s">
        <v>34</v>
      </c>
      <c r="L1306">
        <v>2</v>
      </c>
      <c r="M1306" t="s">
        <v>35</v>
      </c>
      <c r="N1306" s="2">
        <v>47</v>
      </c>
      <c r="O1306">
        <v>3</v>
      </c>
      <c r="P1306">
        <v>2</v>
      </c>
      <c r="Q1306" t="s">
        <v>48</v>
      </c>
      <c r="R1306">
        <v>1</v>
      </c>
      <c r="S1306" t="s">
        <v>46</v>
      </c>
      <c r="T1306" s="2">
        <v>4448</v>
      </c>
      <c r="U1306" s="2">
        <v>10748</v>
      </c>
      <c r="V1306">
        <v>2</v>
      </c>
      <c r="W1306" t="s">
        <v>38</v>
      </c>
      <c r="X1306">
        <v>12</v>
      </c>
      <c r="Y1306">
        <v>3</v>
      </c>
      <c r="Z1306">
        <v>2</v>
      </c>
      <c r="AA1306">
        <v>80</v>
      </c>
      <c r="AB1306">
        <v>1</v>
      </c>
      <c r="AC1306">
        <v>15</v>
      </c>
      <c r="AD1306">
        <v>3</v>
      </c>
      <c r="AE1306">
        <v>3</v>
      </c>
      <c r="AF1306">
        <v>7</v>
      </c>
      <c r="AG1306">
        <v>4</v>
      </c>
      <c r="AH1306">
        <v>7</v>
      </c>
      <c r="AI1306">
        <v>7</v>
      </c>
    </row>
    <row r="1307" spans="1:35" x14ac:dyDescent="0.25">
      <c r="A1307">
        <v>54</v>
      </c>
      <c r="B1307" t="str">
        <f t="shared" si="40"/>
        <v>45-54</v>
      </c>
      <c r="C1307" s="1" t="s">
        <v>38</v>
      </c>
      <c r="D1307" s="17">
        <f>IF(Table1[[#This Row],[Attrition]]="Yes",1,0)</f>
        <v>0</v>
      </c>
      <c r="E1307" t="s">
        <v>57</v>
      </c>
      <c r="F1307" s="2">
        <v>431</v>
      </c>
      <c r="G1307" t="s">
        <v>39</v>
      </c>
      <c r="H1307">
        <v>7</v>
      </c>
      <c r="I1307">
        <v>4</v>
      </c>
      <c r="J1307" t="str">
        <f t="shared" si="41"/>
        <v>Master</v>
      </c>
      <c r="K1307" t="s">
        <v>45</v>
      </c>
      <c r="L1307">
        <v>4</v>
      </c>
      <c r="M1307" t="s">
        <v>35</v>
      </c>
      <c r="N1307" s="2">
        <v>68</v>
      </c>
      <c r="O1307">
        <v>3</v>
      </c>
      <c r="P1307">
        <v>2</v>
      </c>
      <c r="Q1307" t="s">
        <v>41</v>
      </c>
      <c r="R1307">
        <v>4</v>
      </c>
      <c r="S1307" t="s">
        <v>42</v>
      </c>
      <c r="T1307" s="2">
        <v>6854</v>
      </c>
      <c r="U1307" s="2">
        <v>15696</v>
      </c>
      <c r="V1307">
        <v>4</v>
      </c>
      <c r="W1307" t="s">
        <v>38</v>
      </c>
      <c r="X1307">
        <v>15</v>
      </c>
      <c r="Y1307">
        <v>3</v>
      </c>
      <c r="Z1307">
        <v>2</v>
      </c>
      <c r="AA1307">
        <v>80</v>
      </c>
      <c r="AB1307">
        <v>1</v>
      </c>
      <c r="AC1307">
        <v>14</v>
      </c>
      <c r="AD1307">
        <v>2</v>
      </c>
      <c r="AE1307">
        <v>2</v>
      </c>
      <c r="AF1307">
        <v>7</v>
      </c>
      <c r="AG1307">
        <v>1</v>
      </c>
      <c r="AH1307">
        <v>1</v>
      </c>
      <c r="AI1307">
        <v>7</v>
      </c>
    </row>
    <row r="1308" spans="1:35" x14ac:dyDescent="0.25">
      <c r="A1308">
        <v>31</v>
      </c>
      <c r="B1308" t="str">
        <f t="shared" si="40"/>
        <v>25-34</v>
      </c>
      <c r="C1308" s="1" t="s">
        <v>38</v>
      </c>
      <c r="D1308" s="17">
        <f>IF(Table1[[#This Row],[Attrition]]="Yes",1,0)</f>
        <v>0</v>
      </c>
      <c r="E1308" t="s">
        <v>58</v>
      </c>
      <c r="F1308" s="2">
        <v>1125</v>
      </c>
      <c r="G1308" t="s">
        <v>33</v>
      </c>
      <c r="H1308">
        <v>7</v>
      </c>
      <c r="I1308">
        <v>4</v>
      </c>
      <c r="J1308" t="str">
        <f t="shared" si="41"/>
        <v>Master</v>
      </c>
      <c r="K1308" t="s">
        <v>53</v>
      </c>
      <c r="L1308">
        <v>1</v>
      </c>
      <c r="M1308" t="s">
        <v>35</v>
      </c>
      <c r="N1308" s="2">
        <v>68</v>
      </c>
      <c r="O1308">
        <v>3</v>
      </c>
      <c r="P1308">
        <v>3</v>
      </c>
      <c r="Q1308" t="s">
        <v>36</v>
      </c>
      <c r="R1308">
        <v>1</v>
      </c>
      <c r="S1308" t="s">
        <v>42</v>
      </c>
      <c r="T1308" s="2">
        <v>9637</v>
      </c>
      <c r="U1308" s="2">
        <v>8277</v>
      </c>
      <c r="V1308">
        <v>2</v>
      </c>
      <c r="W1308" t="s">
        <v>38</v>
      </c>
      <c r="X1308">
        <v>14</v>
      </c>
      <c r="Y1308">
        <v>3</v>
      </c>
      <c r="Z1308">
        <v>4</v>
      </c>
      <c r="AA1308">
        <v>80</v>
      </c>
      <c r="AB1308">
        <v>2</v>
      </c>
      <c r="AC1308">
        <v>9</v>
      </c>
      <c r="AD1308">
        <v>3</v>
      </c>
      <c r="AE1308">
        <v>3</v>
      </c>
      <c r="AF1308">
        <v>3</v>
      </c>
      <c r="AG1308">
        <v>2</v>
      </c>
      <c r="AH1308">
        <v>2</v>
      </c>
      <c r="AI1308">
        <v>2</v>
      </c>
    </row>
    <row r="1309" spans="1:35" x14ac:dyDescent="0.25">
      <c r="A1309">
        <v>28</v>
      </c>
      <c r="B1309" t="str">
        <f t="shared" si="40"/>
        <v>25-34</v>
      </c>
      <c r="C1309" s="1" t="s">
        <v>38</v>
      </c>
      <c r="D1309" s="17">
        <f>IF(Table1[[#This Row],[Attrition]]="Yes",1,0)</f>
        <v>0</v>
      </c>
      <c r="E1309" t="s">
        <v>57</v>
      </c>
      <c r="F1309" s="2">
        <v>1217</v>
      </c>
      <c r="G1309" t="s">
        <v>39</v>
      </c>
      <c r="H1309">
        <v>1</v>
      </c>
      <c r="I1309">
        <v>3</v>
      </c>
      <c r="J1309" t="str">
        <f t="shared" si="41"/>
        <v>Bachelor</v>
      </c>
      <c r="K1309" t="s">
        <v>45</v>
      </c>
      <c r="L1309">
        <v>3</v>
      </c>
      <c r="M1309" t="s">
        <v>35</v>
      </c>
      <c r="N1309" s="2">
        <v>67</v>
      </c>
      <c r="O1309">
        <v>3</v>
      </c>
      <c r="P1309">
        <v>1</v>
      </c>
      <c r="Q1309" t="s">
        <v>41</v>
      </c>
      <c r="R1309">
        <v>1</v>
      </c>
      <c r="S1309" t="s">
        <v>42</v>
      </c>
      <c r="T1309" s="2">
        <v>3591</v>
      </c>
      <c r="U1309" s="2">
        <v>12719</v>
      </c>
      <c r="V1309">
        <v>1</v>
      </c>
      <c r="W1309" t="s">
        <v>38</v>
      </c>
      <c r="X1309">
        <v>25</v>
      </c>
      <c r="Y1309">
        <v>4</v>
      </c>
      <c r="Z1309">
        <v>3</v>
      </c>
      <c r="AA1309">
        <v>80</v>
      </c>
      <c r="AB1309">
        <v>1</v>
      </c>
      <c r="AC1309">
        <v>3</v>
      </c>
      <c r="AD1309">
        <v>3</v>
      </c>
      <c r="AE1309">
        <v>3</v>
      </c>
      <c r="AF1309">
        <v>3</v>
      </c>
      <c r="AG1309">
        <v>2</v>
      </c>
      <c r="AH1309">
        <v>1</v>
      </c>
      <c r="AI1309">
        <v>2</v>
      </c>
    </row>
    <row r="1310" spans="1:35" x14ac:dyDescent="0.25">
      <c r="A1310">
        <v>38</v>
      </c>
      <c r="B1310" t="str">
        <f t="shared" si="40"/>
        <v>35-44</v>
      </c>
      <c r="C1310" s="1" t="s">
        <v>38</v>
      </c>
      <c r="D1310" s="17">
        <f>IF(Table1[[#This Row],[Attrition]]="Yes",1,0)</f>
        <v>0</v>
      </c>
      <c r="E1310" t="s">
        <v>57</v>
      </c>
      <c r="F1310" s="2">
        <v>723</v>
      </c>
      <c r="G1310" t="s">
        <v>33</v>
      </c>
      <c r="H1310">
        <v>2</v>
      </c>
      <c r="I1310">
        <v>4</v>
      </c>
      <c r="J1310" t="str">
        <f t="shared" si="41"/>
        <v>Master</v>
      </c>
      <c r="K1310" t="s">
        <v>53</v>
      </c>
      <c r="L1310">
        <v>2</v>
      </c>
      <c r="M1310" t="s">
        <v>35</v>
      </c>
      <c r="N1310" s="2">
        <v>77</v>
      </c>
      <c r="O1310">
        <v>1</v>
      </c>
      <c r="P1310">
        <v>2</v>
      </c>
      <c r="Q1310" t="s">
        <v>51</v>
      </c>
      <c r="R1310">
        <v>4</v>
      </c>
      <c r="S1310" t="s">
        <v>42</v>
      </c>
      <c r="T1310" s="2">
        <v>5405</v>
      </c>
      <c r="U1310" s="2">
        <v>4244</v>
      </c>
      <c r="V1310">
        <v>2</v>
      </c>
      <c r="W1310" t="s">
        <v>32</v>
      </c>
      <c r="X1310">
        <v>20</v>
      </c>
      <c r="Y1310">
        <v>4</v>
      </c>
      <c r="Z1310">
        <v>1</v>
      </c>
      <c r="AA1310">
        <v>80</v>
      </c>
      <c r="AB1310">
        <v>2</v>
      </c>
      <c r="AC1310">
        <v>20</v>
      </c>
      <c r="AD1310">
        <v>4</v>
      </c>
      <c r="AE1310">
        <v>2</v>
      </c>
      <c r="AF1310">
        <v>4</v>
      </c>
      <c r="AG1310">
        <v>2</v>
      </c>
      <c r="AH1310">
        <v>0</v>
      </c>
      <c r="AI1310">
        <v>3</v>
      </c>
    </row>
    <row r="1311" spans="1:35" x14ac:dyDescent="0.25">
      <c r="A1311">
        <v>26</v>
      </c>
      <c r="B1311" t="str">
        <f t="shared" si="40"/>
        <v>25-34</v>
      </c>
      <c r="C1311" s="1" t="s">
        <v>38</v>
      </c>
      <c r="D1311" s="17">
        <f>IF(Table1[[#This Row],[Attrition]]="Yes",1,0)</f>
        <v>0</v>
      </c>
      <c r="E1311" t="s">
        <v>57</v>
      </c>
      <c r="F1311" s="2">
        <v>572</v>
      </c>
      <c r="G1311" t="s">
        <v>33</v>
      </c>
      <c r="H1311">
        <v>10</v>
      </c>
      <c r="I1311">
        <v>3</v>
      </c>
      <c r="J1311" t="str">
        <f t="shared" si="41"/>
        <v>Bachelor</v>
      </c>
      <c r="K1311" t="s">
        <v>45</v>
      </c>
      <c r="L1311">
        <v>3</v>
      </c>
      <c r="M1311" t="s">
        <v>40</v>
      </c>
      <c r="N1311" s="2">
        <v>46</v>
      </c>
      <c r="O1311">
        <v>3</v>
      </c>
      <c r="P1311">
        <v>2</v>
      </c>
      <c r="Q1311" t="s">
        <v>36</v>
      </c>
      <c r="R1311">
        <v>4</v>
      </c>
      <c r="S1311" t="s">
        <v>37</v>
      </c>
      <c r="T1311" s="2">
        <v>4684</v>
      </c>
      <c r="U1311" s="2">
        <v>9125</v>
      </c>
      <c r="V1311">
        <v>1</v>
      </c>
      <c r="W1311" t="s">
        <v>38</v>
      </c>
      <c r="X1311">
        <v>13</v>
      </c>
      <c r="Y1311">
        <v>3</v>
      </c>
      <c r="Z1311">
        <v>1</v>
      </c>
      <c r="AA1311">
        <v>80</v>
      </c>
      <c r="AB1311">
        <v>0</v>
      </c>
      <c r="AC1311">
        <v>5</v>
      </c>
      <c r="AD1311">
        <v>4</v>
      </c>
      <c r="AE1311">
        <v>3</v>
      </c>
      <c r="AF1311">
        <v>5</v>
      </c>
      <c r="AG1311">
        <v>3</v>
      </c>
      <c r="AH1311">
        <v>1</v>
      </c>
      <c r="AI1311">
        <v>2</v>
      </c>
    </row>
    <row r="1312" spans="1:35" x14ac:dyDescent="0.25">
      <c r="A1312">
        <v>58</v>
      </c>
      <c r="B1312" t="str">
        <f t="shared" si="40"/>
        <v>55-64</v>
      </c>
      <c r="C1312" s="1" t="s">
        <v>38</v>
      </c>
      <c r="D1312" s="17">
        <f>IF(Table1[[#This Row],[Attrition]]="Yes",1,0)</f>
        <v>0</v>
      </c>
      <c r="E1312" t="s">
        <v>58</v>
      </c>
      <c r="F1312" s="2">
        <v>1216</v>
      </c>
      <c r="G1312" t="s">
        <v>39</v>
      </c>
      <c r="H1312">
        <v>15</v>
      </c>
      <c r="I1312">
        <v>4</v>
      </c>
      <c r="J1312" t="str">
        <f t="shared" si="41"/>
        <v>Master</v>
      </c>
      <c r="K1312" t="s">
        <v>34</v>
      </c>
      <c r="L1312">
        <v>1</v>
      </c>
      <c r="M1312" t="s">
        <v>40</v>
      </c>
      <c r="N1312" s="2">
        <v>87</v>
      </c>
      <c r="O1312">
        <v>3</v>
      </c>
      <c r="P1312">
        <v>4</v>
      </c>
      <c r="Q1312" t="s">
        <v>52</v>
      </c>
      <c r="R1312">
        <v>3</v>
      </c>
      <c r="S1312" t="s">
        <v>42</v>
      </c>
      <c r="T1312" s="2">
        <v>15787</v>
      </c>
      <c r="U1312" s="2">
        <v>21624</v>
      </c>
      <c r="V1312">
        <v>2</v>
      </c>
      <c r="W1312" t="s">
        <v>32</v>
      </c>
      <c r="X1312">
        <v>14</v>
      </c>
      <c r="Y1312">
        <v>3</v>
      </c>
      <c r="Z1312">
        <v>2</v>
      </c>
      <c r="AA1312">
        <v>80</v>
      </c>
      <c r="AB1312">
        <v>0</v>
      </c>
      <c r="AC1312">
        <v>23</v>
      </c>
      <c r="AD1312">
        <v>3</v>
      </c>
      <c r="AE1312">
        <v>3</v>
      </c>
      <c r="AF1312">
        <v>2</v>
      </c>
      <c r="AG1312">
        <v>2</v>
      </c>
      <c r="AH1312">
        <v>2</v>
      </c>
      <c r="AI1312">
        <v>2</v>
      </c>
    </row>
    <row r="1313" spans="1:35" x14ac:dyDescent="0.25">
      <c r="A1313">
        <v>18</v>
      </c>
      <c r="B1313" t="str">
        <f t="shared" si="40"/>
        <v>18-24</v>
      </c>
      <c r="C1313" s="1" t="s">
        <v>38</v>
      </c>
      <c r="D1313" s="17">
        <f>IF(Table1[[#This Row],[Attrition]]="Yes",1,0)</f>
        <v>0</v>
      </c>
      <c r="E1313" t="s">
        <v>49</v>
      </c>
      <c r="F1313" s="2">
        <v>1431</v>
      </c>
      <c r="G1313" t="s">
        <v>39</v>
      </c>
      <c r="H1313">
        <v>14</v>
      </c>
      <c r="I1313">
        <v>3</v>
      </c>
      <c r="J1313" t="str">
        <f t="shared" si="41"/>
        <v>Bachelor</v>
      </c>
      <c r="K1313" t="s">
        <v>45</v>
      </c>
      <c r="L1313">
        <v>2</v>
      </c>
      <c r="M1313" t="s">
        <v>35</v>
      </c>
      <c r="N1313" s="2">
        <v>33</v>
      </c>
      <c r="O1313">
        <v>3</v>
      </c>
      <c r="P1313">
        <v>1</v>
      </c>
      <c r="Q1313" t="s">
        <v>41</v>
      </c>
      <c r="R1313">
        <v>3</v>
      </c>
      <c r="S1313" t="s">
        <v>37</v>
      </c>
      <c r="T1313" s="2">
        <v>1514</v>
      </c>
      <c r="U1313" s="2">
        <v>8018</v>
      </c>
      <c r="V1313">
        <v>1</v>
      </c>
      <c r="W1313" t="s">
        <v>38</v>
      </c>
      <c r="X1313">
        <v>16</v>
      </c>
      <c r="Y1313">
        <v>3</v>
      </c>
      <c r="Z1313">
        <v>3</v>
      </c>
      <c r="AA1313">
        <v>80</v>
      </c>
      <c r="AB1313">
        <v>0</v>
      </c>
      <c r="AC1313">
        <v>0</v>
      </c>
      <c r="AD1313">
        <v>4</v>
      </c>
      <c r="AE1313">
        <v>1</v>
      </c>
      <c r="AF1313">
        <v>0</v>
      </c>
      <c r="AG1313">
        <v>0</v>
      </c>
      <c r="AH1313">
        <v>0</v>
      </c>
      <c r="AI1313">
        <v>0</v>
      </c>
    </row>
    <row r="1314" spans="1:35" x14ac:dyDescent="0.25">
      <c r="A1314">
        <v>31</v>
      </c>
      <c r="B1314" t="str">
        <f t="shared" si="40"/>
        <v>25-34</v>
      </c>
      <c r="C1314" s="1" t="s">
        <v>32</v>
      </c>
      <c r="D1314" s="17">
        <f>IF(Table1[[#This Row],[Attrition]]="Yes",1,0)</f>
        <v>1</v>
      </c>
      <c r="E1314" t="s">
        <v>57</v>
      </c>
      <c r="F1314" s="2">
        <v>359</v>
      </c>
      <c r="G1314" t="s">
        <v>55</v>
      </c>
      <c r="H1314">
        <v>18</v>
      </c>
      <c r="I1314">
        <v>5</v>
      </c>
      <c r="J1314" t="str">
        <f t="shared" si="41"/>
        <v>Doctor</v>
      </c>
      <c r="K1314" t="s">
        <v>55</v>
      </c>
      <c r="L1314">
        <v>4</v>
      </c>
      <c r="M1314" t="s">
        <v>40</v>
      </c>
      <c r="N1314" s="2">
        <v>89</v>
      </c>
      <c r="O1314">
        <v>4</v>
      </c>
      <c r="P1314">
        <v>1</v>
      </c>
      <c r="Q1314" t="s">
        <v>55</v>
      </c>
      <c r="R1314">
        <v>1</v>
      </c>
      <c r="S1314" t="s">
        <v>42</v>
      </c>
      <c r="T1314" s="2">
        <v>2956</v>
      </c>
      <c r="U1314" s="2">
        <v>21495</v>
      </c>
      <c r="V1314">
        <v>0</v>
      </c>
      <c r="W1314" t="s">
        <v>38</v>
      </c>
      <c r="X1314">
        <v>17</v>
      </c>
      <c r="Y1314">
        <v>3</v>
      </c>
      <c r="Z1314">
        <v>3</v>
      </c>
      <c r="AA1314">
        <v>80</v>
      </c>
      <c r="AB1314">
        <v>0</v>
      </c>
      <c r="AC1314">
        <v>2</v>
      </c>
      <c r="AD1314">
        <v>4</v>
      </c>
      <c r="AE1314">
        <v>3</v>
      </c>
      <c r="AF1314">
        <v>1</v>
      </c>
      <c r="AG1314">
        <v>0</v>
      </c>
      <c r="AH1314">
        <v>0</v>
      </c>
      <c r="AI1314">
        <v>0</v>
      </c>
    </row>
    <row r="1315" spans="1:35" x14ac:dyDescent="0.25">
      <c r="A1315">
        <v>29</v>
      </c>
      <c r="B1315" t="str">
        <f t="shared" si="40"/>
        <v>25-34</v>
      </c>
      <c r="C1315" s="1" t="s">
        <v>32</v>
      </c>
      <c r="D1315" s="17">
        <f>IF(Table1[[#This Row],[Attrition]]="Yes",1,0)</f>
        <v>1</v>
      </c>
      <c r="E1315" t="s">
        <v>57</v>
      </c>
      <c r="F1315" s="2">
        <v>350</v>
      </c>
      <c r="G1315" t="s">
        <v>55</v>
      </c>
      <c r="H1315">
        <v>13</v>
      </c>
      <c r="I1315">
        <v>3</v>
      </c>
      <c r="J1315" t="str">
        <f t="shared" si="41"/>
        <v>Bachelor</v>
      </c>
      <c r="K1315" t="s">
        <v>55</v>
      </c>
      <c r="L1315">
        <v>1</v>
      </c>
      <c r="M1315" t="s">
        <v>40</v>
      </c>
      <c r="N1315" s="2">
        <v>56</v>
      </c>
      <c r="O1315">
        <v>2</v>
      </c>
      <c r="P1315">
        <v>1</v>
      </c>
      <c r="Q1315" t="s">
        <v>55</v>
      </c>
      <c r="R1315">
        <v>1</v>
      </c>
      <c r="S1315" t="s">
        <v>46</v>
      </c>
      <c r="T1315" s="2">
        <v>2335</v>
      </c>
      <c r="U1315" s="2">
        <v>3157</v>
      </c>
      <c r="V1315">
        <v>4</v>
      </c>
      <c r="W1315" t="s">
        <v>32</v>
      </c>
      <c r="X1315">
        <v>15</v>
      </c>
      <c r="Y1315">
        <v>3</v>
      </c>
      <c r="Z1315">
        <v>4</v>
      </c>
      <c r="AA1315">
        <v>80</v>
      </c>
      <c r="AB1315">
        <v>3</v>
      </c>
      <c r="AC1315">
        <v>4</v>
      </c>
      <c r="AD1315">
        <v>3</v>
      </c>
      <c r="AE1315">
        <v>3</v>
      </c>
      <c r="AF1315">
        <v>2</v>
      </c>
      <c r="AG1315">
        <v>2</v>
      </c>
      <c r="AH1315">
        <v>2</v>
      </c>
      <c r="AI1315">
        <v>0</v>
      </c>
    </row>
    <row r="1316" spans="1:35" x14ac:dyDescent="0.25">
      <c r="A1316">
        <v>45</v>
      </c>
      <c r="B1316" t="str">
        <f t="shared" si="40"/>
        <v>45-54</v>
      </c>
      <c r="C1316" s="1" t="s">
        <v>38</v>
      </c>
      <c r="D1316" s="17">
        <f>IF(Table1[[#This Row],[Attrition]]="Yes",1,0)</f>
        <v>0</v>
      </c>
      <c r="E1316" t="s">
        <v>49</v>
      </c>
      <c r="F1316" s="2">
        <v>589</v>
      </c>
      <c r="G1316" t="s">
        <v>33</v>
      </c>
      <c r="H1316">
        <v>2</v>
      </c>
      <c r="I1316">
        <v>4</v>
      </c>
      <c r="J1316" t="str">
        <f t="shared" si="41"/>
        <v>Master</v>
      </c>
      <c r="K1316" t="s">
        <v>34</v>
      </c>
      <c r="L1316">
        <v>3</v>
      </c>
      <c r="M1316" t="s">
        <v>35</v>
      </c>
      <c r="N1316" s="2">
        <v>67</v>
      </c>
      <c r="O1316">
        <v>3</v>
      </c>
      <c r="P1316">
        <v>2</v>
      </c>
      <c r="Q1316" t="s">
        <v>36</v>
      </c>
      <c r="R1316">
        <v>3</v>
      </c>
      <c r="S1316" t="s">
        <v>42</v>
      </c>
      <c r="T1316" s="2">
        <v>5154</v>
      </c>
      <c r="U1316" s="2">
        <v>19665</v>
      </c>
      <c r="V1316">
        <v>4</v>
      </c>
      <c r="W1316" t="s">
        <v>38</v>
      </c>
      <c r="X1316">
        <v>22</v>
      </c>
      <c r="Y1316">
        <v>4</v>
      </c>
      <c r="Z1316">
        <v>2</v>
      </c>
      <c r="AA1316">
        <v>80</v>
      </c>
      <c r="AB1316">
        <v>2</v>
      </c>
      <c r="AC1316">
        <v>10</v>
      </c>
      <c r="AD1316">
        <v>3</v>
      </c>
      <c r="AE1316">
        <v>4</v>
      </c>
      <c r="AF1316">
        <v>8</v>
      </c>
      <c r="AG1316">
        <v>7</v>
      </c>
      <c r="AH1316">
        <v>5</v>
      </c>
      <c r="AI1316">
        <v>7</v>
      </c>
    </row>
    <row r="1317" spans="1:35" x14ac:dyDescent="0.25">
      <c r="A1317">
        <v>36</v>
      </c>
      <c r="B1317" t="str">
        <f t="shared" si="40"/>
        <v>35-44</v>
      </c>
      <c r="C1317" s="1" t="s">
        <v>38</v>
      </c>
      <c r="D1317" s="17">
        <f>IF(Table1[[#This Row],[Attrition]]="Yes",1,0)</f>
        <v>0</v>
      </c>
      <c r="E1317" t="s">
        <v>57</v>
      </c>
      <c r="F1317" s="2">
        <v>430</v>
      </c>
      <c r="G1317" t="s">
        <v>39</v>
      </c>
      <c r="H1317">
        <v>2</v>
      </c>
      <c r="I1317">
        <v>4</v>
      </c>
      <c r="J1317" t="str">
        <f t="shared" si="41"/>
        <v>Master</v>
      </c>
      <c r="K1317" t="s">
        <v>43</v>
      </c>
      <c r="L1317">
        <v>4</v>
      </c>
      <c r="M1317" t="s">
        <v>35</v>
      </c>
      <c r="N1317" s="2">
        <v>73</v>
      </c>
      <c r="O1317">
        <v>3</v>
      </c>
      <c r="P1317">
        <v>2</v>
      </c>
      <c r="Q1317" t="s">
        <v>41</v>
      </c>
      <c r="R1317">
        <v>2</v>
      </c>
      <c r="S1317" t="s">
        <v>42</v>
      </c>
      <c r="T1317" s="2">
        <v>6962</v>
      </c>
      <c r="U1317" s="2">
        <v>19573</v>
      </c>
      <c r="V1317">
        <v>4</v>
      </c>
      <c r="W1317" t="s">
        <v>32</v>
      </c>
      <c r="X1317">
        <v>22</v>
      </c>
      <c r="Y1317">
        <v>4</v>
      </c>
      <c r="Z1317">
        <v>4</v>
      </c>
      <c r="AA1317">
        <v>80</v>
      </c>
      <c r="AB1317">
        <v>1</v>
      </c>
      <c r="AC1317">
        <v>15</v>
      </c>
      <c r="AD1317">
        <v>2</v>
      </c>
      <c r="AE1317">
        <v>3</v>
      </c>
      <c r="AF1317">
        <v>1</v>
      </c>
      <c r="AG1317">
        <v>0</v>
      </c>
      <c r="AH1317">
        <v>0</v>
      </c>
      <c r="AI1317">
        <v>0</v>
      </c>
    </row>
    <row r="1318" spans="1:35" x14ac:dyDescent="0.25">
      <c r="A1318">
        <v>43</v>
      </c>
      <c r="B1318" t="str">
        <f t="shared" si="40"/>
        <v>35-44</v>
      </c>
      <c r="C1318" s="1" t="s">
        <v>38</v>
      </c>
      <c r="D1318" s="17">
        <f>IF(Table1[[#This Row],[Attrition]]="Yes",1,0)</f>
        <v>0</v>
      </c>
      <c r="E1318" t="s">
        <v>58</v>
      </c>
      <c r="F1318" s="2">
        <v>1422</v>
      </c>
      <c r="G1318" t="s">
        <v>33</v>
      </c>
      <c r="H1318">
        <v>2</v>
      </c>
      <c r="I1318">
        <v>4</v>
      </c>
      <c r="J1318" t="str">
        <f t="shared" si="41"/>
        <v>Master</v>
      </c>
      <c r="K1318" t="s">
        <v>34</v>
      </c>
      <c r="L1318">
        <v>1</v>
      </c>
      <c r="M1318" t="s">
        <v>40</v>
      </c>
      <c r="N1318" s="2">
        <v>92</v>
      </c>
      <c r="O1318">
        <v>3</v>
      </c>
      <c r="P1318">
        <v>2</v>
      </c>
      <c r="Q1318" t="s">
        <v>36</v>
      </c>
      <c r="R1318">
        <v>4</v>
      </c>
      <c r="S1318" t="s">
        <v>42</v>
      </c>
      <c r="T1318" s="2">
        <v>5675</v>
      </c>
      <c r="U1318" s="2">
        <v>19246</v>
      </c>
      <c r="V1318">
        <v>1</v>
      </c>
      <c r="W1318" t="s">
        <v>38</v>
      </c>
      <c r="X1318">
        <v>20</v>
      </c>
      <c r="Y1318">
        <v>4</v>
      </c>
      <c r="Z1318">
        <v>3</v>
      </c>
      <c r="AA1318">
        <v>80</v>
      </c>
      <c r="AB1318">
        <v>1</v>
      </c>
      <c r="AC1318">
        <v>7</v>
      </c>
      <c r="AD1318">
        <v>5</v>
      </c>
      <c r="AE1318">
        <v>3</v>
      </c>
      <c r="AF1318">
        <v>7</v>
      </c>
      <c r="AG1318">
        <v>7</v>
      </c>
      <c r="AH1318">
        <v>7</v>
      </c>
      <c r="AI1318">
        <v>7</v>
      </c>
    </row>
    <row r="1319" spans="1:35" x14ac:dyDescent="0.25">
      <c r="A1319">
        <v>27</v>
      </c>
      <c r="B1319" t="str">
        <f t="shared" si="40"/>
        <v>25-34</v>
      </c>
      <c r="C1319" s="1" t="s">
        <v>38</v>
      </c>
      <c r="D1319" s="17">
        <f>IF(Table1[[#This Row],[Attrition]]="Yes",1,0)</f>
        <v>0</v>
      </c>
      <c r="E1319" t="s">
        <v>58</v>
      </c>
      <c r="F1319" s="2">
        <v>1297</v>
      </c>
      <c r="G1319" t="s">
        <v>39</v>
      </c>
      <c r="H1319">
        <v>5</v>
      </c>
      <c r="I1319">
        <v>2</v>
      </c>
      <c r="J1319" t="str">
        <f t="shared" si="41"/>
        <v>College</v>
      </c>
      <c r="K1319" t="s">
        <v>34</v>
      </c>
      <c r="L1319">
        <v>4</v>
      </c>
      <c r="M1319" t="s">
        <v>35</v>
      </c>
      <c r="N1319" s="2">
        <v>53</v>
      </c>
      <c r="O1319">
        <v>3</v>
      </c>
      <c r="P1319">
        <v>1</v>
      </c>
      <c r="Q1319" t="s">
        <v>44</v>
      </c>
      <c r="R1319">
        <v>4</v>
      </c>
      <c r="S1319" t="s">
        <v>37</v>
      </c>
      <c r="T1319" s="2">
        <v>2379</v>
      </c>
      <c r="U1319" s="2">
        <v>19826</v>
      </c>
      <c r="V1319">
        <v>0</v>
      </c>
      <c r="W1319" t="s">
        <v>32</v>
      </c>
      <c r="X1319">
        <v>14</v>
      </c>
      <c r="Y1319">
        <v>3</v>
      </c>
      <c r="Z1319">
        <v>3</v>
      </c>
      <c r="AA1319">
        <v>80</v>
      </c>
      <c r="AB1319">
        <v>0</v>
      </c>
      <c r="AC1319">
        <v>6</v>
      </c>
      <c r="AD1319">
        <v>3</v>
      </c>
      <c r="AE1319">
        <v>2</v>
      </c>
      <c r="AF1319">
        <v>5</v>
      </c>
      <c r="AG1319">
        <v>4</v>
      </c>
      <c r="AH1319">
        <v>0</v>
      </c>
      <c r="AI1319">
        <v>2</v>
      </c>
    </row>
    <row r="1320" spans="1:35" x14ac:dyDescent="0.25">
      <c r="A1320">
        <v>29</v>
      </c>
      <c r="B1320" t="str">
        <f t="shared" si="40"/>
        <v>25-34</v>
      </c>
      <c r="C1320" s="1" t="s">
        <v>38</v>
      </c>
      <c r="D1320" s="17">
        <f>IF(Table1[[#This Row],[Attrition]]="Yes",1,0)</f>
        <v>0</v>
      </c>
      <c r="E1320" t="s">
        <v>58</v>
      </c>
      <c r="F1320" s="2">
        <v>574</v>
      </c>
      <c r="G1320" t="s">
        <v>39</v>
      </c>
      <c r="H1320">
        <v>20</v>
      </c>
      <c r="I1320">
        <v>1</v>
      </c>
      <c r="J1320" t="str">
        <f t="shared" si="41"/>
        <v>Below College</v>
      </c>
      <c r="K1320" t="s">
        <v>45</v>
      </c>
      <c r="L1320">
        <v>4</v>
      </c>
      <c r="M1320" t="s">
        <v>40</v>
      </c>
      <c r="N1320" s="2">
        <v>40</v>
      </c>
      <c r="O1320">
        <v>3</v>
      </c>
      <c r="P1320">
        <v>1</v>
      </c>
      <c r="Q1320" t="s">
        <v>44</v>
      </c>
      <c r="R1320">
        <v>4</v>
      </c>
      <c r="S1320" t="s">
        <v>42</v>
      </c>
      <c r="T1320" s="2">
        <v>3812</v>
      </c>
      <c r="U1320" s="2">
        <v>7003</v>
      </c>
      <c r="V1320">
        <v>1</v>
      </c>
      <c r="W1320" t="s">
        <v>38</v>
      </c>
      <c r="X1320">
        <v>13</v>
      </c>
      <c r="Y1320">
        <v>3</v>
      </c>
      <c r="Z1320">
        <v>2</v>
      </c>
      <c r="AA1320">
        <v>80</v>
      </c>
      <c r="AB1320">
        <v>0</v>
      </c>
      <c r="AC1320">
        <v>11</v>
      </c>
      <c r="AD1320">
        <v>3</v>
      </c>
      <c r="AE1320">
        <v>4</v>
      </c>
      <c r="AF1320">
        <v>11</v>
      </c>
      <c r="AG1320">
        <v>8</v>
      </c>
      <c r="AH1320">
        <v>3</v>
      </c>
      <c r="AI1320">
        <v>10</v>
      </c>
    </row>
    <row r="1321" spans="1:35" x14ac:dyDescent="0.25">
      <c r="A1321">
        <v>32</v>
      </c>
      <c r="B1321" t="str">
        <f t="shared" si="40"/>
        <v>25-34</v>
      </c>
      <c r="C1321" s="1" t="s">
        <v>38</v>
      </c>
      <c r="D1321" s="17">
        <f>IF(Table1[[#This Row],[Attrition]]="Yes",1,0)</f>
        <v>0</v>
      </c>
      <c r="E1321" t="s">
        <v>58</v>
      </c>
      <c r="F1321" s="2">
        <v>1318</v>
      </c>
      <c r="G1321" t="s">
        <v>33</v>
      </c>
      <c r="H1321">
        <v>10</v>
      </c>
      <c r="I1321">
        <v>4</v>
      </c>
      <c r="J1321" t="str">
        <f t="shared" si="41"/>
        <v>Master</v>
      </c>
      <c r="K1321" t="s">
        <v>53</v>
      </c>
      <c r="L1321">
        <v>4</v>
      </c>
      <c r="M1321" t="s">
        <v>40</v>
      </c>
      <c r="N1321" s="2">
        <v>79</v>
      </c>
      <c r="O1321">
        <v>3</v>
      </c>
      <c r="P1321">
        <v>2</v>
      </c>
      <c r="Q1321" t="s">
        <v>36</v>
      </c>
      <c r="R1321">
        <v>4</v>
      </c>
      <c r="S1321" t="s">
        <v>37</v>
      </c>
      <c r="T1321" s="2">
        <v>4648</v>
      </c>
      <c r="U1321" s="2">
        <v>26075</v>
      </c>
      <c r="V1321">
        <v>8</v>
      </c>
      <c r="W1321" t="s">
        <v>38</v>
      </c>
      <c r="X1321">
        <v>13</v>
      </c>
      <c r="Y1321">
        <v>3</v>
      </c>
      <c r="Z1321">
        <v>3</v>
      </c>
      <c r="AA1321">
        <v>80</v>
      </c>
      <c r="AB1321">
        <v>0</v>
      </c>
      <c r="AC1321">
        <v>4</v>
      </c>
      <c r="AD1321">
        <v>2</v>
      </c>
      <c r="AE1321">
        <v>4</v>
      </c>
      <c r="AF1321">
        <v>0</v>
      </c>
      <c r="AG1321">
        <v>0</v>
      </c>
      <c r="AH1321">
        <v>0</v>
      </c>
      <c r="AI1321">
        <v>0</v>
      </c>
    </row>
    <row r="1322" spans="1:35" x14ac:dyDescent="0.25">
      <c r="A1322">
        <v>42</v>
      </c>
      <c r="B1322" t="str">
        <f t="shared" si="40"/>
        <v>35-44</v>
      </c>
      <c r="C1322" s="1" t="s">
        <v>38</v>
      </c>
      <c r="D1322" s="17">
        <f>IF(Table1[[#This Row],[Attrition]]="Yes",1,0)</f>
        <v>0</v>
      </c>
      <c r="E1322" t="s">
        <v>49</v>
      </c>
      <c r="F1322" s="2">
        <v>355</v>
      </c>
      <c r="G1322" t="s">
        <v>39</v>
      </c>
      <c r="H1322">
        <v>10</v>
      </c>
      <c r="I1322">
        <v>4</v>
      </c>
      <c r="J1322" t="str">
        <f t="shared" si="41"/>
        <v>Master</v>
      </c>
      <c r="K1322" t="s">
        <v>54</v>
      </c>
      <c r="L1322">
        <v>3</v>
      </c>
      <c r="M1322" t="s">
        <v>40</v>
      </c>
      <c r="N1322" s="2">
        <v>38</v>
      </c>
      <c r="O1322">
        <v>3</v>
      </c>
      <c r="P1322">
        <v>1</v>
      </c>
      <c r="Q1322" t="s">
        <v>41</v>
      </c>
      <c r="R1322">
        <v>3</v>
      </c>
      <c r="S1322" t="s">
        <v>42</v>
      </c>
      <c r="T1322" s="2">
        <v>2936</v>
      </c>
      <c r="U1322" s="2">
        <v>6161</v>
      </c>
      <c r="V1322">
        <v>3</v>
      </c>
      <c r="W1322" t="s">
        <v>38</v>
      </c>
      <c r="X1322">
        <v>22</v>
      </c>
      <c r="Y1322">
        <v>4</v>
      </c>
      <c r="Z1322">
        <v>2</v>
      </c>
      <c r="AA1322">
        <v>80</v>
      </c>
      <c r="AB1322">
        <v>2</v>
      </c>
      <c r="AC1322">
        <v>10</v>
      </c>
      <c r="AD1322">
        <v>1</v>
      </c>
      <c r="AE1322">
        <v>2</v>
      </c>
      <c r="AF1322">
        <v>6</v>
      </c>
      <c r="AG1322">
        <v>3</v>
      </c>
      <c r="AH1322">
        <v>3</v>
      </c>
      <c r="AI1322">
        <v>3</v>
      </c>
    </row>
    <row r="1323" spans="1:35" x14ac:dyDescent="0.25">
      <c r="A1323">
        <v>47</v>
      </c>
      <c r="B1323" t="str">
        <f t="shared" si="40"/>
        <v>45-54</v>
      </c>
      <c r="C1323" s="1" t="s">
        <v>38</v>
      </c>
      <c r="D1323" s="17">
        <f>IF(Table1[[#This Row],[Attrition]]="Yes",1,0)</f>
        <v>0</v>
      </c>
      <c r="E1323" t="s">
        <v>57</v>
      </c>
      <c r="F1323" s="2">
        <v>207</v>
      </c>
      <c r="G1323" t="s">
        <v>39</v>
      </c>
      <c r="H1323">
        <v>9</v>
      </c>
      <c r="I1323">
        <v>4</v>
      </c>
      <c r="J1323" t="str">
        <f t="shared" si="41"/>
        <v>Master</v>
      </c>
      <c r="K1323" t="s">
        <v>34</v>
      </c>
      <c r="L1323">
        <v>2</v>
      </c>
      <c r="M1323" t="s">
        <v>35</v>
      </c>
      <c r="N1323" s="2">
        <v>64</v>
      </c>
      <c r="O1323">
        <v>3</v>
      </c>
      <c r="P1323">
        <v>1</v>
      </c>
      <c r="Q1323" t="s">
        <v>44</v>
      </c>
      <c r="R1323">
        <v>3</v>
      </c>
      <c r="S1323" t="s">
        <v>37</v>
      </c>
      <c r="T1323" s="2">
        <v>2105</v>
      </c>
      <c r="U1323" s="2">
        <v>5411</v>
      </c>
      <c r="V1323">
        <v>4</v>
      </c>
      <c r="W1323" t="s">
        <v>38</v>
      </c>
      <c r="X1323">
        <v>12</v>
      </c>
      <c r="Y1323">
        <v>3</v>
      </c>
      <c r="Z1323">
        <v>3</v>
      </c>
      <c r="AA1323">
        <v>80</v>
      </c>
      <c r="AB1323">
        <v>0</v>
      </c>
      <c r="AC1323">
        <v>7</v>
      </c>
      <c r="AD1323">
        <v>2</v>
      </c>
      <c r="AE1323">
        <v>3</v>
      </c>
      <c r="AF1323">
        <v>2</v>
      </c>
      <c r="AG1323">
        <v>2</v>
      </c>
      <c r="AH1323">
        <v>2</v>
      </c>
      <c r="AI1323">
        <v>0</v>
      </c>
    </row>
    <row r="1324" spans="1:35" x14ac:dyDescent="0.25">
      <c r="A1324">
        <v>46</v>
      </c>
      <c r="B1324" t="str">
        <f t="shared" si="40"/>
        <v>45-54</v>
      </c>
      <c r="C1324" s="1" t="s">
        <v>38</v>
      </c>
      <c r="D1324" s="17">
        <f>IF(Table1[[#This Row],[Attrition]]="Yes",1,0)</f>
        <v>0</v>
      </c>
      <c r="E1324" t="s">
        <v>57</v>
      </c>
      <c r="F1324" s="2">
        <v>706</v>
      </c>
      <c r="G1324" t="s">
        <v>39</v>
      </c>
      <c r="H1324">
        <v>2</v>
      </c>
      <c r="I1324">
        <v>2</v>
      </c>
      <c r="J1324" t="str">
        <f t="shared" si="41"/>
        <v>College</v>
      </c>
      <c r="K1324" t="s">
        <v>34</v>
      </c>
      <c r="L1324">
        <v>4</v>
      </c>
      <c r="M1324" t="s">
        <v>40</v>
      </c>
      <c r="N1324" s="2">
        <v>82</v>
      </c>
      <c r="O1324">
        <v>3</v>
      </c>
      <c r="P1324">
        <v>3</v>
      </c>
      <c r="Q1324" t="s">
        <v>47</v>
      </c>
      <c r="R1324">
        <v>4</v>
      </c>
      <c r="S1324" t="s">
        <v>46</v>
      </c>
      <c r="T1324" s="2">
        <v>8578</v>
      </c>
      <c r="U1324" s="2">
        <v>19989</v>
      </c>
      <c r="V1324">
        <v>3</v>
      </c>
      <c r="W1324" t="s">
        <v>38</v>
      </c>
      <c r="X1324">
        <v>14</v>
      </c>
      <c r="Y1324">
        <v>3</v>
      </c>
      <c r="Z1324">
        <v>3</v>
      </c>
      <c r="AA1324">
        <v>80</v>
      </c>
      <c r="AB1324">
        <v>1</v>
      </c>
      <c r="AC1324">
        <v>12</v>
      </c>
      <c r="AD1324">
        <v>4</v>
      </c>
      <c r="AE1324">
        <v>2</v>
      </c>
      <c r="AF1324">
        <v>9</v>
      </c>
      <c r="AG1324">
        <v>8</v>
      </c>
      <c r="AH1324">
        <v>4</v>
      </c>
      <c r="AI1324">
        <v>7</v>
      </c>
    </row>
    <row r="1325" spans="1:35" x14ac:dyDescent="0.25">
      <c r="A1325">
        <v>28</v>
      </c>
      <c r="B1325" t="str">
        <f t="shared" si="40"/>
        <v>25-34</v>
      </c>
      <c r="C1325" s="1" t="s">
        <v>38</v>
      </c>
      <c r="D1325" s="17">
        <f>IF(Table1[[#This Row],[Attrition]]="Yes",1,0)</f>
        <v>0</v>
      </c>
      <c r="E1325" t="s">
        <v>49</v>
      </c>
      <c r="F1325" s="2">
        <v>280</v>
      </c>
      <c r="G1325" t="s">
        <v>55</v>
      </c>
      <c r="H1325">
        <v>1</v>
      </c>
      <c r="I1325">
        <v>2</v>
      </c>
      <c r="J1325" t="str">
        <f t="shared" si="41"/>
        <v>College</v>
      </c>
      <c r="K1325" t="s">
        <v>34</v>
      </c>
      <c r="L1325">
        <v>3</v>
      </c>
      <c r="M1325" t="s">
        <v>40</v>
      </c>
      <c r="N1325" s="2">
        <v>43</v>
      </c>
      <c r="O1325">
        <v>3</v>
      </c>
      <c r="P1325">
        <v>1</v>
      </c>
      <c r="Q1325" t="s">
        <v>55</v>
      </c>
      <c r="R1325">
        <v>4</v>
      </c>
      <c r="S1325" t="s">
        <v>46</v>
      </c>
      <c r="T1325" s="2">
        <v>2706</v>
      </c>
      <c r="U1325" s="2">
        <v>10494</v>
      </c>
      <c r="V1325">
        <v>1</v>
      </c>
      <c r="W1325" t="s">
        <v>38</v>
      </c>
      <c r="X1325">
        <v>15</v>
      </c>
      <c r="Y1325">
        <v>3</v>
      </c>
      <c r="Z1325">
        <v>2</v>
      </c>
      <c r="AA1325">
        <v>80</v>
      </c>
      <c r="AB1325">
        <v>1</v>
      </c>
      <c r="AC1325">
        <v>3</v>
      </c>
      <c r="AD1325">
        <v>2</v>
      </c>
      <c r="AE1325">
        <v>3</v>
      </c>
      <c r="AF1325">
        <v>3</v>
      </c>
      <c r="AG1325">
        <v>2</v>
      </c>
      <c r="AH1325">
        <v>2</v>
      </c>
      <c r="AI1325">
        <v>2</v>
      </c>
    </row>
    <row r="1326" spans="1:35" x14ac:dyDescent="0.25">
      <c r="A1326">
        <v>29</v>
      </c>
      <c r="B1326" t="str">
        <f t="shared" si="40"/>
        <v>25-34</v>
      </c>
      <c r="C1326" s="1" t="s">
        <v>38</v>
      </c>
      <c r="D1326" s="17">
        <f>IF(Table1[[#This Row],[Attrition]]="Yes",1,0)</f>
        <v>0</v>
      </c>
      <c r="E1326" t="s">
        <v>57</v>
      </c>
      <c r="F1326" s="2">
        <v>726</v>
      </c>
      <c r="G1326" t="s">
        <v>39</v>
      </c>
      <c r="H1326">
        <v>29</v>
      </c>
      <c r="I1326">
        <v>1</v>
      </c>
      <c r="J1326" t="str">
        <f t="shared" si="41"/>
        <v>Below College</v>
      </c>
      <c r="K1326" t="s">
        <v>34</v>
      </c>
      <c r="L1326">
        <v>4</v>
      </c>
      <c r="M1326" t="s">
        <v>40</v>
      </c>
      <c r="N1326" s="2">
        <v>93</v>
      </c>
      <c r="O1326">
        <v>1</v>
      </c>
      <c r="P1326">
        <v>2</v>
      </c>
      <c r="Q1326" t="s">
        <v>48</v>
      </c>
      <c r="R1326">
        <v>3</v>
      </c>
      <c r="S1326" t="s">
        <v>46</v>
      </c>
      <c r="T1326" s="2">
        <v>6384</v>
      </c>
      <c r="U1326" s="2">
        <v>21143</v>
      </c>
      <c r="V1326">
        <v>8</v>
      </c>
      <c r="W1326" t="s">
        <v>38</v>
      </c>
      <c r="X1326">
        <v>17</v>
      </c>
      <c r="Y1326">
        <v>3</v>
      </c>
      <c r="Z1326">
        <v>4</v>
      </c>
      <c r="AA1326">
        <v>80</v>
      </c>
      <c r="AB1326">
        <v>2</v>
      </c>
      <c r="AC1326">
        <v>11</v>
      </c>
      <c r="AD1326">
        <v>3</v>
      </c>
      <c r="AE1326">
        <v>3</v>
      </c>
      <c r="AF1326">
        <v>7</v>
      </c>
      <c r="AG1326">
        <v>0</v>
      </c>
      <c r="AH1326">
        <v>1</v>
      </c>
      <c r="AI1326">
        <v>6</v>
      </c>
    </row>
    <row r="1327" spans="1:35" x14ac:dyDescent="0.25">
      <c r="A1327">
        <v>42</v>
      </c>
      <c r="B1327" t="str">
        <f t="shared" si="40"/>
        <v>35-44</v>
      </c>
      <c r="C1327" s="1" t="s">
        <v>38</v>
      </c>
      <c r="D1327" s="17">
        <f>IF(Table1[[#This Row],[Attrition]]="Yes",1,0)</f>
        <v>0</v>
      </c>
      <c r="E1327" t="s">
        <v>57</v>
      </c>
      <c r="F1327" s="2">
        <v>1142</v>
      </c>
      <c r="G1327" t="s">
        <v>39</v>
      </c>
      <c r="H1327">
        <v>8</v>
      </c>
      <c r="I1327">
        <v>3</v>
      </c>
      <c r="J1327" t="str">
        <f t="shared" si="41"/>
        <v>Bachelor</v>
      </c>
      <c r="K1327" t="s">
        <v>34</v>
      </c>
      <c r="L1327">
        <v>4</v>
      </c>
      <c r="M1327" t="s">
        <v>40</v>
      </c>
      <c r="N1327" s="2">
        <v>81</v>
      </c>
      <c r="O1327">
        <v>3</v>
      </c>
      <c r="P1327">
        <v>1</v>
      </c>
      <c r="Q1327" t="s">
        <v>44</v>
      </c>
      <c r="R1327">
        <v>3</v>
      </c>
      <c r="S1327" t="s">
        <v>37</v>
      </c>
      <c r="T1327" s="2">
        <v>3968</v>
      </c>
      <c r="U1327" s="2">
        <v>13624</v>
      </c>
      <c r="V1327">
        <v>4</v>
      </c>
      <c r="W1327" t="s">
        <v>38</v>
      </c>
      <c r="X1327">
        <v>13</v>
      </c>
      <c r="Y1327">
        <v>3</v>
      </c>
      <c r="Z1327">
        <v>4</v>
      </c>
      <c r="AA1327">
        <v>80</v>
      </c>
      <c r="AB1327">
        <v>0</v>
      </c>
      <c r="AC1327">
        <v>8</v>
      </c>
      <c r="AD1327">
        <v>3</v>
      </c>
      <c r="AE1327">
        <v>3</v>
      </c>
      <c r="AF1327">
        <v>0</v>
      </c>
      <c r="AG1327">
        <v>0</v>
      </c>
      <c r="AH1327">
        <v>0</v>
      </c>
      <c r="AI1327">
        <v>0</v>
      </c>
    </row>
    <row r="1328" spans="1:35" x14ac:dyDescent="0.25">
      <c r="A1328">
        <v>32</v>
      </c>
      <c r="B1328" t="str">
        <f t="shared" si="40"/>
        <v>25-34</v>
      </c>
      <c r="C1328" s="1" t="s">
        <v>32</v>
      </c>
      <c r="D1328" s="17">
        <f>IF(Table1[[#This Row],[Attrition]]="Yes",1,0)</f>
        <v>1</v>
      </c>
      <c r="E1328" t="s">
        <v>57</v>
      </c>
      <c r="F1328" s="2">
        <v>414</v>
      </c>
      <c r="G1328" t="s">
        <v>33</v>
      </c>
      <c r="H1328">
        <v>2</v>
      </c>
      <c r="I1328">
        <v>4</v>
      </c>
      <c r="J1328" t="str">
        <f t="shared" si="41"/>
        <v>Master</v>
      </c>
      <c r="K1328" t="s">
        <v>53</v>
      </c>
      <c r="L1328">
        <v>3</v>
      </c>
      <c r="M1328" t="s">
        <v>40</v>
      </c>
      <c r="N1328" s="2">
        <v>82</v>
      </c>
      <c r="O1328">
        <v>2</v>
      </c>
      <c r="P1328">
        <v>2</v>
      </c>
      <c r="Q1328" t="s">
        <v>36</v>
      </c>
      <c r="R1328">
        <v>2</v>
      </c>
      <c r="S1328" t="s">
        <v>37</v>
      </c>
      <c r="T1328" s="2">
        <v>9907</v>
      </c>
      <c r="U1328" s="2">
        <v>26186</v>
      </c>
      <c r="V1328">
        <v>7</v>
      </c>
      <c r="W1328" t="s">
        <v>32</v>
      </c>
      <c r="X1328">
        <v>12</v>
      </c>
      <c r="Y1328">
        <v>3</v>
      </c>
      <c r="Z1328">
        <v>3</v>
      </c>
      <c r="AA1328">
        <v>80</v>
      </c>
      <c r="AB1328">
        <v>0</v>
      </c>
      <c r="AC1328">
        <v>7</v>
      </c>
      <c r="AD1328">
        <v>3</v>
      </c>
      <c r="AE1328">
        <v>2</v>
      </c>
      <c r="AF1328">
        <v>2</v>
      </c>
      <c r="AG1328">
        <v>2</v>
      </c>
      <c r="AH1328">
        <v>2</v>
      </c>
      <c r="AI1328">
        <v>2</v>
      </c>
    </row>
    <row r="1329" spans="1:35" x14ac:dyDescent="0.25">
      <c r="A1329">
        <v>46</v>
      </c>
      <c r="B1329" t="str">
        <f t="shared" si="40"/>
        <v>45-54</v>
      </c>
      <c r="C1329" s="1" t="s">
        <v>38</v>
      </c>
      <c r="D1329" s="17">
        <f>IF(Table1[[#This Row],[Attrition]]="Yes",1,0)</f>
        <v>0</v>
      </c>
      <c r="E1329" t="s">
        <v>57</v>
      </c>
      <c r="F1329" s="2">
        <v>1319</v>
      </c>
      <c r="G1329" t="s">
        <v>33</v>
      </c>
      <c r="H1329">
        <v>3</v>
      </c>
      <c r="I1329">
        <v>3</v>
      </c>
      <c r="J1329" t="str">
        <f t="shared" si="41"/>
        <v>Bachelor</v>
      </c>
      <c r="K1329" t="s">
        <v>54</v>
      </c>
      <c r="L1329">
        <v>1</v>
      </c>
      <c r="M1329" t="s">
        <v>35</v>
      </c>
      <c r="N1329" s="2">
        <v>45</v>
      </c>
      <c r="O1329">
        <v>4</v>
      </c>
      <c r="P1329">
        <v>4</v>
      </c>
      <c r="Q1329" t="s">
        <v>36</v>
      </c>
      <c r="R1329">
        <v>1</v>
      </c>
      <c r="S1329" t="s">
        <v>46</v>
      </c>
      <c r="T1329" s="2">
        <v>13225</v>
      </c>
      <c r="U1329" s="2">
        <v>7739</v>
      </c>
      <c r="V1329">
        <v>2</v>
      </c>
      <c r="W1329" t="s">
        <v>38</v>
      </c>
      <c r="X1329">
        <v>12</v>
      </c>
      <c r="Y1329">
        <v>3</v>
      </c>
      <c r="Z1329">
        <v>4</v>
      </c>
      <c r="AA1329">
        <v>80</v>
      </c>
      <c r="AB1329">
        <v>1</v>
      </c>
      <c r="AC1329">
        <v>25</v>
      </c>
      <c r="AD1329">
        <v>5</v>
      </c>
      <c r="AE1329">
        <v>3</v>
      </c>
      <c r="AF1329">
        <v>19</v>
      </c>
      <c r="AG1329">
        <v>17</v>
      </c>
      <c r="AH1329">
        <v>2</v>
      </c>
      <c r="AI1329">
        <v>8</v>
      </c>
    </row>
    <row r="1330" spans="1:35" x14ac:dyDescent="0.25">
      <c r="A1330">
        <v>27</v>
      </c>
      <c r="B1330" t="str">
        <f t="shared" si="40"/>
        <v>25-34</v>
      </c>
      <c r="C1330" s="1" t="s">
        <v>38</v>
      </c>
      <c r="D1330" s="17">
        <f>IF(Table1[[#This Row],[Attrition]]="Yes",1,0)</f>
        <v>0</v>
      </c>
      <c r="E1330" t="s">
        <v>57</v>
      </c>
      <c r="F1330" s="2">
        <v>728</v>
      </c>
      <c r="G1330" t="s">
        <v>33</v>
      </c>
      <c r="H1330">
        <v>23</v>
      </c>
      <c r="I1330">
        <v>1</v>
      </c>
      <c r="J1330" t="str">
        <f t="shared" si="41"/>
        <v>Below College</v>
      </c>
      <c r="K1330" t="s">
        <v>45</v>
      </c>
      <c r="L1330">
        <v>2</v>
      </c>
      <c r="M1330" t="s">
        <v>35</v>
      </c>
      <c r="N1330" s="2">
        <v>36</v>
      </c>
      <c r="O1330">
        <v>2</v>
      </c>
      <c r="P1330">
        <v>2</v>
      </c>
      <c r="Q1330" t="s">
        <v>51</v>
      </c>
      <c r="R1330">
        <v>3</v>
      </c>
      <c r="S1330" t="s">
        <v>42</v>
      </c>
      <c r="T1330" s="2">
        <v>3540</v>
      </c>
      <c r="U1330" s="2">
        <v>7018</v>
      </c>
      <c r="V1330">
        <v>1</v>
      </c>
      <c r="W1330" t="s">
        <v>38</v>
      </c>
      <c r="X1330">
        <v>21</v>
      </c>
      <c r="Y1330">
        <v>4</v>
      </c>
      <c r="Z1330">
        <v>4</v>
      </c>
      <c r="AA1330">
        <v>80</v>
      </c>
      <c r="AB1330">
        <v>1</v>
      </c>
      <c r="AC1330">
        <v>9</v>
      </c>
      <c r="AD1330">
        <v>5</v>
      </c>
      <c r="AE1330">
        <v>3</v>
      </c>
      <c r="AF1330">
        <v>9</v>
      </c>
      <c r="AG1330">
        <v>8</v>
      </c>
      <c r="AH1330">
        <v>5</v>
      </c>
      <c r="AI1330">
        <v>8</v>
      </c>
    </row>
    <row r="1331" spans="1:35" x14ac:dyDescent="0.25">
      <c r="A1331">
        <v>29</v>
      </c>
      <c r="B1331" t="str">
        <f t="shared" si="40"/>
        <v>25-34</v>
      </c>
      <c r="C1331" s="1" t="s">
        <v>38</v>
      </c>
      <c r="D1331" s="17">
        <f>IF(Table1[[#This Row],[Attrition]]="Yes",1,0)</f>
        <v>0</v>
      </c>
      <c r="E1331" t="s">
        <v>57</v>
      </c>
      <c r="F1331" s="2">
        <v>352</v>
      </c>
      <c r="G1331" t="s">
        <v>55</v>
      </c>
      <c r="H1331">
        <v>6</v>
      </c>
      <c r="I1331">
        <v>1</v>
      </c>
      <c r="J1331" t="str">
        <f t="shared" si="41"/>
        <v>Below College</v>
      </c>
      <c r="K1331" t="s">
        <v>45</v>
      </c>
      <c r="L1331">
        <v>4</v>
      </c>
      <c r="M1331" t="s">
        <v>40</v>
      </c>
      <c r="N1331" s="2">
        <v>87</v>
      </c>
      <c r="O1331">
        <v>2</v>
      </c>
      <c r="P1331">
        <v>1</v>
      </c>
      <c r="Q1331" t="s">
        <v>55</v>
      </c>
      <c r="R1331">
        <v>2</v>
      </c>
      <c r="S1331" t="s">
        <v>42</v>
      </c>
      <c r="T1331" s="2">
        <v>2804</v>
      </c>
      <c r="U1331" s="2">
        <v>15434</v>
      </c>
      <c r="V1331">
        <v>1</v>
      </c>
      <c r="W1331" t="s">
        <v>38</v>
      </c>
      <c r="X1331">
        <v>11</v>
      </c>
      <c r="Y1331">
        <v>3</v>
      </c>
      <c r="Z1331">
        <v>4</v>
      </c>
      <c r="AA1331">
        <v>80</v>
      </c>
      <c r="AB1331">
        <v>0</v>
      </c>
      <c r="AC1331">
        <v>1</v>
      </c>
      <c r="AD1331">
        <v>3</v>
      </c>
      <c r="AE1331">
        <v>3</v>
      </c>
      <c r="AF1331">
        <v>1</v>
      </c>
      <c r="AG1331">
        <v>0</v>
      </c>
      <c r="AH1331">
        <v>0</v>
      </c>
      <c r="AI1331">
        <v>0</v>
      </c>
    </row>
    <row r="1332" spans="1:35" x14ac:dyDescent="0.25">
      <c r="A1332">
        <v>43</v>
      </c>
      <c r="B1332" t="str">
        <f t="shared" si="40"/>
        <v>35-44</v>
      </c>
      <c r="C1332" s="1" t="s">
        <v>38</v>
      </c>
      <c r="D1332" s="17">
        <f>IF(Table1[[#This Row],[Attrition]]="Yes",1,0)</f>
        <v>0</v>
      </c>
      <c r="E1332" t="s">
        <v>57</v>
      </c>
      <c r="F1332" s="2">
        <v>823</v>
      </c>
      <c r="G1332" t="s">
        <v>39</v>
      </c>
      <c r="H1332">
        <v>6</v>
      </c>
      <c r="I1332">
        <v>3</v>
      </c>
      <c r="J1332" t="str">
        <f t="shared" si="41"/>
        <v>Bachelor</v>
      </c>
      <c r="K1332" t="s">
        <v>45</v>
      </c>
      <c r="L1332">
        <v>1</v>
      </c>
      <c r="M1332" t="s">
        <v>35</v>
      </c>
      <c r="N1332" s="2">
        <v>81</v>
      </c>
      <c r="O1332">
        <v>2</v>
      </c>
      <c r="P1332">
        <v>5</v>
      </c>
      <c r="Q1332" t="s">
        <v>50</v>
      </c>
      <c r="R1332">
        <v>3</v>
      </c>
      <c r="S1332" t="s">
        <v>42</v>
      </c>
      <c r="T1332" s="2">
        <v>19392</v>
      </c>
      <c r="U1332" s="2">
        <v>22539</v>
      </c>
      <c r="V1332">
        <v>7</v>
      </c>
      <c r="W1332" t="s">
        <v>38</v>
      </c>
      <c r="X1332">
        <v>13</v>
      </c>
      <c r="Y1332">
        <v>3</v>
      </c>
      <c r="Z1332">
        <v>4</v>
      </c>
      <c r="AA1332">
        <v>80</v>
      </c>
      <c r="AB1332">
        <v>0</v>
      </c>
      <c r="AC1332">
        <v>21</v>
      </c>
      <c r="AD1332">
        <v>2</v>
      </c>
      <c r="AE1332">
        <v>3</v>
      </c>
      <c r="AF1332">
        <v>16</v>
      </c>
      <c r="AG1332">
        <v>12</v>
      </c>
      <c r="AH1332">
        <v>6</v>
      </c>
      <c r="AI1332">
        <v>14</v>
      </c>
    </row>
    <row r="1333" spans="1:35" x14ac:dyDescent="0.25">
      <c r="A1333">
        <v>48</v>
      </c>
      <c r="B1333" t="str">
        <f t="shared" si="40"/>
        <v>45-54</v>
      </c>
      <c r="C1333" s="1" t="s">
        <v>38</v>
      </c>
      <c r="D1333" s="17">
        <f>IF(Table1[[#This Row],[Attrition]]="Yes",1,0)</f>
        <v>0</v>
      </c>
      <c r="E1333" t="s">
        <v>57</v>
      </c>
      <c r="F1333" s="2">
        <v>1224</v>
      </c>
      <c r="G1333" t="s">
        <v>39</v>
      </c>
      <c r="H1333">
        <v>10</v>
      </c>
      <c r="I1333">
        <v>3</v>
      </c>
      <c r="J1333" t="str">
        <f t="shared" si="41"/>
        <v>Bachelor</v>
      </c>
      <c r="K1333" t="s">
        <v>34</v>
      </c>
      <c r="L1333">
        <v>4</v>
      </c>
      <c r="M1333" t="s">
        <v>40</v>
      </c>
      <c r="N1333" s="2">
        <v>91</v>
      </c>
      <c r="O1333">
        <v>2</v>
      </c>
      <c r="P1333">
        <v>5</v>
      </c>
      <c r="Q1333" t="s">
        <v>52</v>
      </c>
      <c r="R1333">
        <v>2</v>
      </c>
      <c r="S1333" t="s">
        <v>42</v>
      </c>
      <c r="T1333" s="2">
        <v>19665</v>
      </c>
      <c r="U1333" s="2">
        <v>13583</v>
      </c>
      <c r="V1333">
        <v>4</v>
      </c>
      <c r="W1333" t="s">
        <v>38</v>
      </c>
      <c r="X1333">
        <v>12</v>
      </c>
      <c r="Y1333">
        <v>3</v>
      </c>
      <c r="Z1333">
        <v>4</v>
      </c>
      <c r="AA1333">
        <v>80</v>
      </c>
      <c r="AB1333">
        <v>0</v>
      </c>
      <c r="AC1333">
        <v>29</v>
      </c>
      <c r="AD1333">
        <v>3</v>
      </c>
      <c r="AE1333">
        <v>3</v>
      </c>
      <c r="AF1333">
        <v>22</v>
      </c>
      <c r="AG1333">
        <v>10</v>
      </c>
      <c r="AH1333">
        <v>12</v>
      </c>
      <c r="AI1333">
        <v>9</v>
      </c>
    </row>
    <row r="1334" spans="1:35" x14ac:dyDescent="0.25">
      <c r="A1334">
        <v>29</v>
      </c>
      <c r="B1334" t="str">
        <f t="shared" si="40"/>
        <v>25-34</v>
      </c>
      <c r="C1334" s="1" t="s">
        <v>32</v>
      </c>
      <c r="D1334" s="17">
        <f>IF(Table1[[#This Row],[Attrition]]="Yes",1,0)</f>
        <v>1</v>
      </c>
      <c r="E1334" t="s">
        <v>58</v>
      </c>
      <c r="F1334" s="2">
        <v>459</v>
      </c>
      <c r="G1334" t="s">
        <v>39</v>
      </c>
      <c r="H1334">
        <v>24</v>
      </c>
      <c r="I1334">
        <v>2</v>
      </c>
      <c r="J1334" t="str">
        <f t="shared" si="41"/>
        <v>College</v>
      </c>
      <c r="K1334" t="s">
        <v>34</v>
      </c>
      <c r="L1334">
        <v>4</v>
      </c>
      <c r="M1334" t="s">
        <v>40</v>
      </c>
      <c r="N1334" s="2">
        <v>73</v>
      </c>
      <c r="O1334">
        <v>2</v>
      </c>
      <c r="P1334">
        <v>1</v>
      </c>
      <c r="Q1334" t="s">
        <v>41</v>
      </c>
      <c r="R1334">
        <v>4</v>
      </c>
      <c r="S1334" t="s">
        <v>37</v>
      </c>
      <c r="T1334" s="2">
        <v>2439</v>
      </c>
      <c r="U1334" s="2">
        <v>14753</v>
      </c>
      <c r="V1334">
        <v>1</v>
      </c>
      <c r="W1334" t="s">
        <v>32</v>
      </c>
      <c r="X1334">
        <v>24</v>
      </c>
      <c r="Y1334">
        <v>4</v>
      </c>
      <c r="Z1334">
        <v>2</v>
      </c>
      <c r="AA1334">
        <v>80</v>
      </c>
      <c r="AB1334">
        <v>0</v>
      </c>
      <c r="AC1334">
        <v>1</v>
      </c>
      <c r="AD1334">
        <v>3</v>
      </c>
      <c r="AE1334">
        <v>2</v>
      </c>
      <c r="AF1334">
        <v>1</v>
      </c>
      <c r="AG1334">
        <v>0</v>
      </c>
      <c r="AH1334">
        <v>1</v>
      </c>
      <c r="AI1334">
        <v>0</v>
      </c>
    </row>
    <row r="1335" spans="1:35" x14ac:dyDescent="0.25">
      <c r="A1335">
        <v>46</v>
      </c>
      <c r="B1335" t="str">
        <f t="shared" si="40"/>
        <v>45-54</v>
      </c>
      <c r="C1335" s="1" t="s">
        <v>32</v>
      </c>
      <c r="D1335" s="17">
        <f>IF(Table1[[#This Row],[Attrition]]="Yes",1,0)</f>
        <v>1</v>
      </c>
      <c r="E1335" t="s">
        <v>57</v>
      </c>
      <c r="F1335" s="2">
        <v>1254</v>
      </c>
      <c r="G1335" t="s">
        <v>33</v>
      </c>
      <c r="H1335">
        <v>10</v>
      </c>
      <c r="I1335">
        <v>3</v>
      </c>
      <c r="J1335" t="str">
        <f t="shared" si="41"/>
        <v>Bachelor</v>
      </c>
      <c r="K1335" t="s">
        <v>34</v>
      </c>
      <c r="L1335">
        <v>3</v>
      </c>
      <c r="M1335" t="s">
        <v>35</v>
      </c>
      <c r="N1335" s="2">
        <v>64</v>
      </c>
      <c r="O1335">
        <v>3</v>
      </c>
      <c r="P1335">
        <v>3</v>
      </c>
      <c r="Q1335" t="s">
        <v>36</v>
      </c>
      <c r="R1335">
        <v>2</v>
      </c>
      <c r="S1335" t="s">
        <v>42</v>
      </c>
      <c r="T1335" s="2">
        <v>7314</v>
      </c>
      <c r="U1335" s="2">
        <v>14011</v>
      </c>
      <c r="V1335">
        <v>5</v>
      </c>
      <c r="W1335" t="s">
        <v>38</v>
      </c>
      <c r="X1335">
        <v>21</v>
      </c>
      <c r="Y1335">
        <v>4</v>
      </c>
      <c r="Z1335">
        <v>3</v>
      </c>
      <c r="AA1335">
        <v>80</v>
      </c>
      <c r="AB1335">
        <v>3</v>
      </c>
      <c r="AC1335">
        <v>14</v>
      </c>
      <c r="AD1335">
        <v>2</v>
      </c>
      <c r="AE1335">
        <v>3</v>
      </c>
      <c r="AF1335">
        <v>8</v>
      </c>
      <c r="AG1335">
        <v>7</v>
      </c>
      <c r="AH1335">
        <v>0</v>
      </c>
      <c r="AI1335">
        <v>7</v>
      </c>
    </row>
    <row r="1336" spans="1:35" x14ac:dyDescent="0.25">
      <c r="A1336">
        <v>27</v>
      </c>
      <c r="B1336" t="str">
        <f t="shared" si="40"/>
        <v>25-34</v>
      </c>
      <c r="C1336" s="1" t="s">
        <v>38</v>
      </c>
      <c r="D1336" s="17">
        <f>IF(Table1[[#This Row],[Attrition]]="Yes",1,0)</f>
        <v>0</v>
      </c>
      <c r="E1336" t="s">
        <v>58</v>
      </c>
      <c r="F1336" s="2">
        <v>1131</v>
      </c>
      <c r="G1336" t="s">
        <v>39</v>
      </c>
      <c r="H1336">
        <v>15</v>
      </c>
      <c r="I1336">
        <v>3</v>
      </c>
      <c r="J1336" t="str">
        <f t="shared" si="41"/>
        <v>Bachelor</v>
      </c>
      <c r="K1336" t="s">
        <v>34</v>
      </c>
      <c r="L1336">
        <v>4</v>
      </c>
      <c r="M1336" t="s">
        <v>35</v>
      </c>
      <c r="N1336" s="2">
        <v>77</v>
      </c>
      <c r="O1336">
        <v>2</v>
      </c>
      <c r="P1336">
        <v>1</v>
      </c>
      <c r="Q1336" t="s">
        <v>41</v>
      </c>
      <c r="R1336">
        <v>1</v>
      </c>
      <c r="S1336" t="s">
        <v>42</v>
      </c>
      <c r="T1336" s="2">
        <v>4774</v>
      </c>
      <c r="U1336" s="2">
        <v>23844</v>
      </c>
      <c r="V1336">
        <v>0</v>
      </c>
      <c r="W1336" t="s">
        <v>38</v>
      </c>
      <c r="X1336">
        <v>19</v>
      </c>
      <c r="Y1336">
        <v>3</v>
      </c>
      <c r="Z1336">
        <v>4</v>
      </c>
      <c r="AA1336">
        <v>80</v>
      </c>
      <c r="AB1336">
        <v>1</v>
      </c>
      <c r="AC1336">
        <v>8</v>
      </c>
      <c r="AD1336">
        <v>2</v>
      </c>
      <c r="AE1336">
        <v>2</v>
      </c>
      <c r="AF1336">
        <v>7</v>
      </c>
      <c r="AG1336">
        <v>6</v>
      </c>
      <c r="AH1336">
        <v>7</v>
      </c>
      <c r="AI1336">
        <v>3</v>
      </c>
    </row>
    <row r="1337" spans="1:35" x14ac:dyDescent="0.25">
      <c r="A1337">
        <v>39</v>
      </c>
      <c r="B1337" t="str">
        <f t="shared" si="40"/>
        <v>35-44</v>
      </c>
      <c r="C1337" s="1" t="s">
        <v>38</v>
      </c>
      <c r="D1337" s="17">
        <f>IF(Table1[[#This Row],[Attrition]]="Yes",1,0)</f>
        <v>0</v>
      </c>
      <c r="E1337" t="s">
        <v>57</v>
      </c>
      <c r="F1337" s="2">
        <v>835</v>
      </c>
      <c r="G1337" t="s">
        <v>39</v>
      </c>
      <c r="H1337">
        <v>19</v>
      </c>
      <c r="I1337">
        <v>4</v>
      </c>
      <c r="J1337" t="str">
        <f t="shared" si="41"/>
        <v>Master</v>
      </c>
      <c r="K1337" t="s">
        <v>43</v>
      </c>
      <c r="L1337">
        <v>4</v>
      </c>
      <c r="M1337" t="s">
        <v>40</v>
      </c>
      <c r="N1337" s="2">
        <v>41</v>
      </c>
      <c r="O1337">
        <v>3</v>
      </c>
      <c r="P1337">
        <v>2</v>
      </c>
      <c r="Q1337" t="s">
        <v>41</v>
      </c>
      <c r="R1337">
        <v>4</v>
      </c>
      <c r="S1337" t="s">
        <v>46</v>
      </c>
      <c r="T1337" s="2">
        <v>3902</v>
      </c>
      <c r="U1337" s="2">
        <v>5141</v>
      </c>
      <c r="V1337">
        <v>8</v>
      </c>
      <c r="W1337" t="s">
        <v>38</v>
      </c>
      <c r="X1337">
        <v>14</v>
      </c>
      <c r="Y1337">
        <v>3</v>
      </c>
      <c r="Z1337">
        <v>2</v>
      </c>
      <c r="AA1337">
        <v>80</v>
      </c>
      <c r="AB1337">
        <v>3</v>
      </c>
      <c r="AC1337">
        <v>7</v>
      </c>
      <c r="AD1337">
        <v>2</v>
      </c>
      <c r="AE1337">
        <v>3</v>
      </c>
      <c r="AF1337">
        <v>2</v>
      </c>
      <c r="AG1337">
        <v>2</v>
      </c>
      <c r="AH1337">
        <v>2</v>
      </c>
      <c r="AI1337">
        <v>2</v>
      </c>
    </row>
    <row r="1338" spans="1:35" x14ac:dyDescent="0.25">
      <c r="A1338">
        <v>55</v>
      </c>
      <c r="B1338" t="str">
        <f t="shared" si="40"/>
        <v>55-64</v>
      </c>
      <c r="C1338" s="1" t="s">
        <v>38</v>
      </c>
      <c r="D1338" s="17">
        <f>IF(Table1[[#This Row],[Attrition]]="Yes",1,0)</f>
        <v>0</v>
      </c>
      <c r="E1338" t="s">
        <v>57</v>
      </c>
      <c r="F1338" s="2">
        <v>836</v>
      </c>
      <c r="G1338" t="s">
        <v>39</v>
      </c>
      <c r="H1338">
        <v>2</v>
      </c>
      <c r="I1338">
        <v>4</v>
      </c>
      <c r="J1338" t="str">
        <f t="shared" si="41"/>
        <v>Master</v>
      </c>
      <c r="K1338" t="s">
        <v>54</v>
      </c>
      <c r="L1338">
        <v>2</v>
      </c>
      <c r="M1338" t="s">
        <v>40</v>
      </c>
      <c r="N1338" s="2">
        <v>98</v>
      </c>
      <c r="O1338">
        <v>2</v>
      </c>
      <c r="P1338">
        <v>1</v>
      </c>
      <c r="Q1338" t="s">
        <v>41</v>
      </c>
      <c r="R1338">
        <v>4</v>
      </c>
      <c r="S1338" t="s">
        <v>42</v>
      </c>
      <c r="T1338" s="2">
        <v>2662</v>
      </c>
      <c r="U1338" s="2">
        <v>7975</v>
      </c>
      <c r="V1338">
        <v>8</v>
      </c>
      <c r="W1338" t="s">
        <v>38</v>
      </c>
      <c r="X1338">
        <v>20</v>
      </c>
      <c r="Y1338">
        <v>4</v>
      </c>
      <c r="Z1338">
        <v>2</v>
      </c>
      <c r="AA1338">
        <v>80</v>
      </c>
      <c r="AB1338">
        <v>1</v>
      </c>
      <c r="AC1338">
        <v>19</v>
      </c>
      <c r="AD1338">
        <v>2</v>
      </c>
      <c r="AE1338">
        <v>4</v>
      </c>
      <c r="AF1338">
        <v>5</v>
      </c>
      <c r="AG1338">
        <v>2</v>
      </c>
      <c r="AH1338">
        <v>0</v>
      </c>
      <c r="AI1338">
        <v>4</v>
      </c>
    </row>
    <row r="1339" spans="1:35" x14ac:dyDescent="0.25">
      <c r="A1339">
        <v>28</v>
      </c>
      <c r="B1339" t="str">
        <f t="shared" si="40"/>
        <v>25-34</v>
      </c>
      <c r="C1339" s="1" t="s">
        <v>38</v>
      </c>
      <c r="D1339" s="17">
        <f>IF(Table1[[#This Row],[Attrition]]="Yes",1,0)</f>
        <v>0</v>
      </c>
      <c r="E1339" t="s">
        <v>57</v>
      </c>
      <c r="F1339" s="2">
        <v>1172</v>
      </c>
      <c r="G1339" t="s">
        <v>33</v>
      </c>
      <c r="H1339">
        <v>3</v>
      </c>
      <c r="I1339">
        <v>3</v>
      </c>
      <c r="J1339" t="str">
        <f t="shared" si="41"/>
        <v>Bachelor</v>
      </c>
      <c r="K1339" t="s">
        <v>45</v>
      </c>
      <c r="L1339">
        <v>2</v>
      </c>
      <c r="M1339" t="s">
        <v>35</v>
      </c>
      <c r="N1339" s="2">
        <v>78</v>
      </c>
      <c r="O1339">
        <v>3</v>
      </c>
      <c r="P1339">
        <v>1</v>
      </c>
      <c r="Q1339" t="s">
        <v>51</v>
      </c>
      <c r="R1339">
        <v>2</v>
      </c>
      <c r="S1339" t="s">
        <v>42</v>
      </c>
      <c r="T1339" s="2">
        <v>2856</v>
      </c>
      <c r="U1339" s="2">
        <v>3692</v>
      </c>
      <c r="V1339">
        <v>1</v>
      </c>
      <c r="W1339" t="s">
        <v>38</v>
      </c>
      <c r="X1339">
        <v>19</v>
      </c>
      <c r="Y1339">
        <v>3</v>
      </c>
      <c r="Z1339">
        <v>4</v>
      </c>
      <c r="AA1339">
        <v>80</v>
      </c>
      <c r="AB1339">
        <v>1</v>
      </c>
      <c r="AC1339">
        <v>1</v>
      </c>
      <c r="AD1339">
        <v>3</v>
      </c>
      <c r="AE1339">
        <v>3</v>
      </c>
      <c r="AF1339">
        <v>1</v>
      </c>
      <c r="AG1339">
        <v>0</v>
      </c>
      <c r="AH1339">
        <v>0</v>
      </c>
      <c r="AI1339">
        <v>0</v>
      </c>
    </row>
    <row r="1340" spans="1:35" x14ac:dyDescent="0.25">
      <c r="A1340">
        <v>30</v>
      </c>
      <c r="B1340" t="str">
        <f t="shared" si="40"/>
        <v>25-34</v>
      </c>
      <c r="C1340" s="1" t="s">
        <v>32</v>
      </c>
      <c r="D1340" s="17">
        <f>IF(Table1[[#This Row],[Attrition]]="Yes",1,0)</f>
        <v>1</v>
      </c>
      <c r="E1340" t="s">
        <v>57</v>
      </c>
      <c r="F1340" s="2">
        <v>945</v>
      </c>
      <c r="G1340" t="s">
        <v>33</v>
      </c>
      <c r="H1340">
        <v>9</v>
      </c>
      <c r="I1340">
        <v>3</v>
      </c>
      <c r="J1340" t="str">
        <f t="shared" si="41"/>
        <v>Bachelor</v>
      </c>
      <c r="K1340" t="s">
        <v>45</v>
      </c>
      <c r="L1340">
        <v>2</v>
      </c>
      <c r="M1340" t="s">
        <v>40</v>
      </c>
      <c r="N1340" s="2">
        <v>89</v>
      </c>
      <c r="O1340">
        <v>3</v>
      </c>
      <c r="P1340">
        <v>1</v>
      </c>
      <c r="Q1340" t="s">
        <v>51</v>
      </c>
      <c r="R1340">
        <v>4</v>
      </c>
      <c r="S1340" t="s">
        <v>37</v>
      </c>
      <c r="T1340" s="2">
        <v>1081</v>
      </c>
      <c r="U1340" s="2">
        <v>16019</v>
      </c>
      <c r="V1340">
        <v>1</v>
      </c>
      <c r="W1340" t="s">
        <v>38</v>
      </c>
      <c r="X1340">
        <v>13</v>
      </c>
      <c r="Y1340">
        <v>3</v>
      </c>
      <c r="Z1340">
        <v>3</v>
      </c>
      <c r="AA1340">
        <v>80</v>
      </c>
      <c r="AB1340">
        <v>0</v>
      </c>
      <c r="AC1340">
        <v>1</v>
      </c>
      <c r="AD1340">
        <v>3</v>
      </c>
      <c r="AE1340">
        <v>2</v>
      </c>
      <c r="AF1340">
        <v>1</v>
      </c>
      <c r="AG1340">
        <v>0</v>
      </c>
      <c r="AH1340">
        <v>0</v>
      </c>
      <c r="AI1340">
        <v>0</v>
      </c>
    </row>
    <row r="1341" spans="1:35" x14ac:dyDescent="0.25">
      <c r="A1341">
        <v>22</v>
      </c>
      <c r="B1341" t="str">
        <f t="shared" si="40"/>
        <v>18-24</v>
      </c>
      <c r="C1341" s="1" t="s">
        <v>32</v>
      </c>
      <c r="D1341" s="17">
        <f>IF(Table1[[#This Row],[Attrition]]="Yes",1,0)</f>
        <v>1</v>
      </c>
      <c r="E1341" t="s">
        <v>57</v>
      </c>
      <c r="F1341" s="2">
        <v>391</v>
      </c>
      <c r="G1341" t="s">
        <v>39</v>
      </c>
      <c r="H1341">
        <v>7</v>
      </c>
      <c r="I1341">
        <v>1</v>
      </c>
      <c r="J1341" t="str">
        <f t="shared" si="41"/>
        <v>Below College</v>
      </c>
      <c r="K1341" t="s">
        <v>34</v>
      </c>
      <c r="L1341">
        <v>4</v>
      </c>
      <c r="M1341" t="s">
        <v>40</v>
      </c>
      <c r="N1341" s="2">
        <v>75</v>
      </c>
      <c r="O1341">
        <v>3</v>
      </c>
      <c r="P1341">
        <v>1</v>
      </c>
      <c r="Q1341" t="s">
        <v>41</v>
      </c>
      <c r="R1341">
        <v>2</v>
      </c>
      <c r="S1341" t="s">
        <v>37</v>
      </c>
      <c r="T1341" s="2">
        <v>2472</v>
      </c>
      <c r="U1341" s="2">
        <v>26092</v>
      </c>
      <c r="V1341">
        <v>1</v>
      </c>
      <c r="W1341" t="s">
        <v>32</v>
      </c>
      <c r="X1341">
        <v>23</v>
      </c>
      <c r="Y1341">
        <v>4</v>
      </c>
      <c r="Z1341">
        <v>1</v>
      </c>
      <c r="AA1341">
        <v>80</v>
      </c>
      <c r="AB1341">
        <v>0</v>
      </c>
      <c r="AC1341">
        <v>1</v>
      </c>
      <c r="AD1341">
        <v>2</v>
      </c>
      <c r="AE1341">
        <v>3</v>
      </c>
      <c r="AF1341">
        <v>1</v>
      </c>
      <c r="AG1341">
        <v>0</v>
      </c>
      <c r="AH1341">
        <v>0</v>
      </c>
      <c r="AI1341">
        <v>0</v>
      </c>
    </row>
    <row r="1342" spans="1:35" x14ac:dyDescent="0.25">
      <c r="A1342">
        <v>36</v>
      </c>
      <c r="B1342" t="str">
        <f t="shared" si="40"/>
        <v>35-44</v>
      </c>
      <c r="C1342" s="1" t="s">
        <v>38</v>
      </c>
      <c r="D1342" s="17">
        <f>IF(Table1[[#This Row],[Attrition]]="Yes",1,0)</f>
        <v>0</v>
      </c>
      <c r="E1342" t="s">
        <v>57</v>
      </c>
      <c r="F1342" s="2">
        <v>1266</v>
      </c>
      <c r="G1342" t="s">
        <v>33</v>
      </c>
      <c r="H1342">
        <v>10</v>
      </c>
      <c r="I1342">
        <v>4</v>
      </c>
      <c r="J1342" t="str">
        <f t="shared" si="41"/>
        <v>Master</v>
      </c>
      <c r="K1342" t="s">
        <v>54</v>
      </c>
      <c r="L1342">
        <v>2</v>
      </c>
      <c r="M1342" t="s">
        <v>35</v>
      </c>
      <c r="N1342" s="2">
        <v>63</v>
      </c>
      <c r="O1342">
        <v>2</v>
      </c>
      <c r="P1342">
        <v>2</v>
      </c>
      <c r="Q1342" t="s">
        <v>36</v>
      </c>
      <c r="R1342">
        <v>3</v>
      </c>
      <c r="S1342" t="s">
        <v>42</v>
      </c>
      <c r="T1342" s="2">
        <v>5673</v>
      </c>
      <c r="U1342" s="2">
        <v>6060</v>
      </c>
      <c r="V1342">
        <v>1</v>
      </c>
      <c r="W1342" t="s">
        <v>32</v>
      </c>
      <c r="X1342">
        <v>13</v>
      </c>
      <c r="Y1342">
        <v>3</v>
      </c>
      <c r="Z1342">
        <v>1</v>
      </c>
      <c r="AA1342">
        <v>80</v>
      </c>
      <c r="AB1342">
        <v>1</v>
      </c>
      <c r="AC1342">
        <v>10</v>
      </c>
      <c r="AD1342">
        <v>4</v>
      </c>
      <c r="AE1342">
        <v>3</v>
      </c>
      <c r="AF1342">
        <v>10</v>
      </c>
      <c r="AG1342">
        <v>9</v>
      </c>
      <c r="AH1342">
        <v>1</v>
      </c>
      <c r="AI1342">
        <v>7</v>
      </c>
    </row>
    <row r="1343" spans="1:35" x14ac:dyDescent="0.25">
      <c r="A1343">
        <v>31</v>
      </c>
      <c r="B1343" t="str">
        <f t="shared" si="40"/>
        <v>25-34</v>
      </c>
      <c r="C1343" s="1" t="s">
        <v>38</v>
      </c>
      <c r="D1343" s="17">
        <f>IF(Table1[[#This Row],[Attrition]]="Yes",1,0)</f>
        <v>0</v>
      </c>
      <c r="E1343" t="s">
        <v>57</v>
      </c>
      <c r="F1343" s="2">
        <v>311</v>
      </c>
      <c r="G1343" t="s">
        <v>39</v>
      </c>
      <c r="H1343">
        <v>20</v>
      </c>
      <c r="I1343">
        <v>3</v>
      </c>
      <c r="J1343" t="str">
        <f t="shared" si="41"/>
        <v>Bachelor</v>
      </c>
      <c r="K1343" t="s">
        <v>34</v>
      </c>
      <c r="L1343">
        <v>2</v>
      </c>
      <c r="M1343" t="s">
        <v>40</v>
      </c>
      <c r="N1343" s="2">
        <v>89</v>
      </c>
      <c r="O1343">
        <v>3</v>
      </c>
      <c r="P1343">
        <v>2</v>
      </c>
      <c r="Q1343" t="s">
        <v>44</v>
      </c>
      <c r="R1343">
        <v>3</v>
      </c>
      <c r="S1343" t="s">
        <v>46</v>
      </c>
      <c r="T1343" s="2">
        <v>4197</v>
      </c>
      <c r="U1343" s="2">
        <v>18624</v>
      </c>
      <c r="V1343">
        <v>1</v>
      </c>
      <c r="W1343" t="s">
        <v>38</v>
      </c>
      <c r="X1343">
        <v>11</v>
      </c>
      <c r="Y1343">
        <v>3</v>
      </c>
      <c r="Z1343">
        <v>1</v>
      </c>
      <c r="AA1343">
        <v>80</v>
      </c>
      <c r="AB1343">
        <v>1</v>
      </c>
      <c r="AC1343">
        <v>10</v>
      </c>
      <c r="AD1343">
        <v>2</v>
      </c>
      <c r="AE1343">
        <v>3</v>
      </c>
      <c r="AF1343">
        <v>10</v>
      </c>
      <c r="AG1343">
        <v>8</v>
      </c>
      <c r="AH1343">
        <v>0</v>
      </c>
      <c r="AI1343">
        <v>2</v>
      </c>
    </row>
    <row r="1344" spans="1:35" x14ac:dyDescent="0.25">
      <c r="A1344">
        <v>34</v>
      </c>
      <c r="B1344" t="str">
        <f t="shared" si="40"/>
        <v>25-34</v>
      </c>
      <c r="C1344" s="1" t="s">
        <v>38</v>
      </c>
      <c r="D1344" s="17">
        <f>IF(Table1[[#This Row],[Attrition]]="Yes",1,0)</f>
        <v>0</v>
      </c>
      <c r="E1344" t="s">
        <v>57</v>
      </c>
      <c r="F1344" s="2">
        <v>1480</v>
      </c>
      <c r="G1344" t="s">
        <v>33</v>
      </c>
      <c r="H1344">
        <v>4</v>
      </c>
      <c r="I1344">
        <v>3</v>
      </c>
      <c r="J1344" t="str">
        <f t="shared" si="41"/>
        <v>Bachelor</v>
      </c>
      <c r="K1344" t="s">
        <v>34</v>
      </c>
      <c r="L1344">
        <v>3</v>
      </c>
      <c r="M1344" t="s">
        <v>40</v>
      </c>
      <c r="N1344" s="2">
        <v>64</v>
      </c>
      <c r="O1344">
        <v>3</v>
      </c>
      <c r="P1344">
        <v>3</v>
      </c>
      <c r="Q1344" t="s">
        <v>36</v>
      </c>
      <c r="R1344">
        <v>4</v>
      </c>
      <c r="S1344" t="s">
        <v>42</v>
      </c>
      <c r="T1344" s="2">
        <v>9713</v>
      </c>
      <c r="U1344" s="2">
        <v>24444</v>
      </c>
      <c r="V1344">
        <v>2</v>
      </c>
      <c r="W1344" t="s">
        <v>32</v>
      </c>
      <c r="X1344">
        <v>13</v>
      </c>
      <c r="Y1344">
        <v>3</v>
      </c>
      <c r="Z1344">
        <v>4</v>
      </c>
      <c r="AA1344">
        <v>80</v>
      </c>
      <c r="AB1344">
        <v>3</v>
      </c>
      <c r="AC1344">
        <v>9</v>
      </c>
      <c r="AD1344">
        <v>3</v>
      </c>
      <c r="AE1344">
        <v>3</v>
      </c>
      <c r="AF1344">
        <v>5</v>
      </c>
      <c r="AG1344">
        <v>3</v>
      </c>
      <c r="AH1344">
        <v>1</v>
      </c>
      <c r="AI1344">
        <v>0</v>
      </c>
    </row>
    <row r="1345" spans="1:35" x14ac:dyDescent="0.25">
      <c r="A1345">
        <v>29</v>
      </c>
      <c r="B1345" t="str">
        <f t="shared" si="40"/>
        <v>25-34</v>
      </c>
      <c r="C1345" s="1" t="s">
        <v>38</v>
      </c>
      <c r="D1345" s="17">
        <f>IF(Table1[[#This Row],[Attrition]]="Yes",1,0)</f>
        <v>0</v>
      </c>
      <c r="E1345" t="s">
        <v>57</v>
      </c>
      <c r="F1345" s="2">
        <v>592</v>
      </c>
      <c r="G1345" t="s">
        <v>39</v>
      </c>
      <c r="H1345">
        <v>7</v>
      </c>
      <c r="I1345">
        <v>3</v>
      </c>
      <c r="J1345" t="str">
        <f t="shared" si="41"/>
        <v>Bachelor</v>
      </c>
      <c r="K1345" t="s">
        <v>34</v>
      </c>
      <c r="L1345">
        <v>4</v>
      </c>
      <c r="M1345" t="s">
        <v>40</v>
      </c>
      <c r="N1345" s="2">
        <v>59</v>
      </c>
      <c r="O1345">
        <v>3</v>
      </c>
      <c r="P1345">
        <v>1</v>
      </c>
      <c r="Q1345" t="s">
        <v>44</v>
      </c>
      <c r="R1345">
        <v>1</v>
      </c>
      <c r="S1345" t="s">
        <v>37</v>
      </c>
      <c r="T1345" s="2">
        <v>2062</v>
      </c>
      <c r="U1345" s="2">
        <v>19384</v>
      </c>
      <c r="V1345">
        <v>3</v>
      </c>
      <c r="W1345" t="s">
        <v>38</v>
      </c>
      <c r="X1345">
        <v>14</v>
      </c>
      <c r="Y1345">
        <v>3</v>
      </c>
      <c r="Z1345">
        <v>2</v>
      </c>
      <c r="AA1345">
        <v>80</v>
      </c>
      <c r="AB1345">
        <v>0</v>
      </c>
      <c r="AC1345">
        <v>11</v>
      </c>
      <c r="AD1345">
        <v>2</v>
      </c>
      <c r="AE1345">
        <v>3</v>
      </c>
      <c r="AF1345">
        <v>3</v>
      </c>
      <c r="AG1345">
        <v>2</v>
      </c>
      <c r="AH1345">
        <v>1</v>
      </c>
      <c r="AI1345">
        <v>2</v>
      </c>
    </row>
    <row r="1346" spans="1:35" x14ac:dyDescent="0.25">
      <c r="A1346">
        <v>37</v>
      </c>
      <c r="B1346" t="str">
        <f t="shared" ref="B1346:B1409" si="42">IF(A1346="","",IF(A1346&lt;25,"18-24",
 IF(A1346&lt;35,"25-34",
 IF(A1346&lt;45,"35-44",
 IF(A1346&lt;55,"45-54",
 IF(A1346&lt;65,"55-64","65+"))))))</f>
        <v>35-44</v>
      </c>
      <c r="C1346" s="1" t="s">
        <v>38</v>
      </c>
      <c r="D1346" s="17">
        <f>IF(Table1[[#This Row],[Attrition]]="Yes",1,0)</f>
        <v>0</v>
      </c>
      <c r="E1346" t="s">
        <v>57</v>
      </c>
      <c r="F1346" s="2">
        <v>783</v>
      </c>
      <c r="G1346" t="s">
        <v>39</v>
      </c>
      <c r="H1346">
        <v>7</v>
      </c>
      <c r="I1346">
        <v>4</v>
      </c>
      <c r="J1346" t="str">
        <f t="shared" ref="J1346:J1409" si="43">CHOOSE(I1346,"Below College","College","Bachelor","Master","Doctor")</f>
        <v>Master</v>
      </c>
      <c r="K1346" t="s">
        <v>45</v>
      </c>
      <c r="L1346">
        <v>4</v>
      </c>
      <c r="M1346" t="s">
        <v>40</v>
      </c>
      <c r="N1346" s="2">
        <v>78</v>
      </c>
      <c r="O1346">
        <v>3</v>
      </c>
      <c r="P1346">
        <v>2</v>
      </c>
      <c r="Q1346" t="s">
        <v>41</v>
      </c>
      <c r="R1346">
        <v>1</v>
      </c>
      <c r="S1346" t="s">
        <v>42</v>
      </c>
      <c r="T1346" s="2">
        <v>4284</v>
      </c>
      <c r="U1346" s="2">
        <v>13588</v>
      </c>
      <c r="V1346">
        <v>5</v>
      </c>
      <c r="W1346" t="s">
        <v>32</v>
      </c>
      <c r="X1346">
        <v>22</v>
      </c>
      <c r="Y1346">
        <v>4</v>
      </c>
      <c r="Z1346">
        <v>3</v>
      </c>
      <c r="AA1346">
        <v>80</v>
      </c>
      <c r="AB1346">
        <v>1</v>
      </c>
      <c r="AC1346">
        <v>16</v>
      </c>
      <c r="AD1346">
        <v>2</v>
      </c>
      <c r="AE1346">
        <v>3</v>
      </c>
      <c r="AF1346">
        <v>5</v>
      </c>
      <c r="AG1346">
        <v>3</v>
      </c>
      <c r="AH1346">
        <v>0</v>
      </c>
      <c r="AI1346">
        <v>4</v>
      </c>
    </row>
    <row r="1347" spans="1:35" x14ac:dyDescent="0.25">
      <c r="A1347">
        <v>35</v>
      </c>
      <c r="B1347" t="str">
        <f t="shared" si="42"/>
        <v>35-44</v>
      </c>
      <c r="C1347" s="1" t="s">
        <v>38</v>
      </c>
      <c r="D1347" s="17">
        <f>IF(Table1[[#This Row],[Attrition]]="Yes",1,0)</f>
        <v>0</v>
      </c>
      <c r="E1347" t="s">
        <v>57</v>
      </c>
      <c r="F1347" s="2">
        <v>219</v>
      </c>
      <c r="G1347" t="s">
        <v>39</v>
      </c>
      <c r="H1347">
        <v>16</v>
      </c>
      <c r="I1347">
        <v>2</v>
      </c>
      <c r="J1347" t="str">
        <f t="shared" si="43"/>
        <v>College</v>
      </c>
      <c r="K1347" t="s">
        <v>43</v>
      </c>
      <c r="L1347">
        <v>4</v>
      </c>
      <c r="M1347" t="s">
        <v>35</v>
      </c>
      <c r="N1347" s="2">
        <v>44</v>
      </c>
      <c r="O1347">
        <v>2</v>
      </c>
      <c r="P1347">
        <v>2</v>
      </c>
      <c r="Q1347" t="s">
        <v>47</v>
      </c>
      <c r="R1347">
        <v>2</v>
      </c>
      <c r="S1347" t="s">
        <v>42</v>
      </c>
      <c r="T1347" s="2">
        <v>4788</v>
      </c>
      <c r="U1347" s="2">
        <v>25388</v>
      </c>
      <c r="V1347">
        <v>0</v>
      </c>
      <c r="W1347" t="s">
        <v>32</v>
      </c>
      <c r="X1347">
        <v>11</v>
      </c>
      <c r="Y1347">
        <v>3</v>
      </c>
      <c r="Z1347">
        <v>4</v>
      </c>
      <c r="AA1347">
        <v>80</v>
      </c>
      <c r="AB1347">
        <v>0</v>
      </c>
      <c r="AC1347">
        <v>4</v>
      </c>
      <c r="AD1347">
        <v>2</v>
      </c>
      <c r="AE1347">
        <v>3</v>
      </c>
      <c r="AF1347">
        <v>3</v>
      </c>
      <c r="AG1347">
        <v>2</v>
      </c>
      <c r="AH1347">
        <v>0</v>
      </c>
      <c r="AI1347">
        <v>2</v>
      </c>
    </row>
    <row r="1348" spans="1:35" x14ac:dyDescent="0.25">
      <c r="A1348">
        <v>45</v>
      </c>
      <c r="B1348" t="str">
        <f t="shared" si="42"/>
        <v>45-54</v>
      </c>
      <c r="C1348" s="1" t="s">
        <v>38</v>
      </c>
      <c r="D1348" s="17">
        <f>IF(Table1[[#This Row],[Attrition]]="Yes",1,0)</f>
        <v>0</v>
      </c>
      <c r="E1348" t="s">
        <v>57</v>
      </c>
      <c r="F1348" s="2">
        <v>556</v>
      </c>
      <c r="G1348" t="s">
        <v>39</v>
      </c>
      <c r="H1348">
        <v>25</v>
      </c>
      <c r="I1348">
        <v>2</v>
      </c>
      <c r="J1348" t="str">
        <f t="shared" si="43"/>
        <v>College</v>
      </c>
      <c r="K1348" t="s">
        <v>34</v>
      </c>
      <c r="L1348">
        <v>2</v>
      </c>
      <c r="M1348" t="s">
        <v>35</v>
      </c>
      <c r="N1348" s="2">
        <v>93</v>
      </c>
      <c r="O1348">
        <v>2</v>
      </c>
      <c r="P1348">
        <v>2</v>
      </c>
      <c r="Q1348" t="s">
        <v>47</v>
      </c>
      <c r="R1348">
        <v>4</v>
      </c>
      <c r="S1348" t="s">
        <v>42</v>
      </c>
      <c r="T1348" s="2">
        <v>5906</v>
      </c>
      <c r="U1348" s="2">
        <v>23888</v>
      </c>
      <c r="V1348">
        <v>0</v>
      </c>
      <c r="W1348" t="s">
        <v>38</v>
      </c>
      <c r="X1348">
        <v>13</v>
      </c>
      <c r="Y1348">
        <v>3</v>
      </c>
      <c r="Z1348">
        <v>4</v>
      </c>
      <c r="AA1348">
        <v>80</v>
      </c>
      <c r="AB1348">
        <v>2</v>
      </c>
      <c r="AC1348">
        <v>10</v>
      </c>
      <c r="AD1348">
        <v>2</v>
      </c>
      <c r="AE1348">
        <v>2</v>
      </c>
      <c r="AF1348">
        <v>9</v>
      </c>
      <c r="AG1348">
        <v>8</v>
      </c>
      <c r="AH1348">
        <v>3</v>
      </c>
      <c r="AI1348">
        <v>8</v>
      </c>
    </row>
    <row r="1349" spans="1:35" x14ac:dyDescent="0.25">
      <c r="A1349">
        <v>36</v>
      </c>
      <c r="B1349" t="str">
        <f t="shared" si="42"/>
        <v>35-44</v>
      </c>
      <c r="C1349" s="1" t="s">
        <v>38</v>
      </c>
      <c r="D1349" s="17">
        <f>IF(Table1[[#This Row],[Attrition]]="Yes",1,0)</f>
        <v>0</v>
      </c>
      <c r="E1349" t="s">
        <v>58</v>
      </c>
      <c r="F1349" s="2">
        <v>1213</v>
      </c>
      <c r="G1349" t="s">
        <v>55</v>
      </c>
      <c r="H1349">
        <v>2</v>
      </c>
      <c r="I1349">
        <v>1</v>
      </c>
      <c r="J1349" t="str">
        <f t="shared" si="43"/>
        <v>Below College</v>
      </c>
      <c r="K1349" t="s">
        <v>55</v>
      </c>
      <c r="L1349">
        <v>2</v>
      </c>
      <c r="M1349" t="s">
        <v>40</v>
      </c>
      <c r="N1349" s="2">
        <v>94</v>
      </c>
      <c r="O1349">
        <v>2</v>
      </c>
      <c r="P1349">
        <v>2</v>
      </c>
      <c r="Q1349" t="s">
        <v>55</v>
      </c>
      <c r="R1349">
        <v>4</v>
      </c>
      <c r="S1349" t="s">
        <v>37</v>
      </c>
      <c r="T1349" s="2">
        <v>3886</v>
      </c>
      <c r="U1349" s="2">
        <v>4223</v>
      </c>
      <c r="V1349">
        <v>1</v>
      </c>
      <c r="W1349" t="s">
        <v>38</v>
      </c>
      <c r="X1349">
        <v>21</v>
      </c>
      <c r="Y1349">
        <v>4</v>
      </c>
      <c r="Z1349">
        <v>4</v>
      </c>
      <c r="AA1349">
        <v>80</v>
      </c>
      <c r="AB1349">
        <v>0</v>
      </c>
      <c r="AC1349">
        <v>10</v>
      </c>
      <c r="AD1349">
        <v>2</v>
      </c>
      <c r="AE1349">
        <v>2</v>
      </c>
      <c r="AF1349">
        <v>10</v>
      </c>
      <c r="AG1349">
        <v>1</v>
      </c>
      <c r="AH1349">
        <v>0</v>
      </c>
      <c r="AI1349">
        <v>8</v>
      </c>
    </row>
    <row r="1350" spans="1:35" x14ac:dyDescent="0.25">
      <c r="A1350">
        <v>40</v>
      </c>
      <c r="B1350" t="str">
        <f t="shared" si="42"/>
        <v>35-44</v>
      </c>
      <c r="C1350" s="1" t="s">
        <v>38</v>
      </c>
      <c r="D1350" s="17">
        <f>IF(Table1[[#This Row],[Attrition]]="Yes",1,0)</f>
        <v>0</v>
      </c>
      <c r="E1350" t="s">
        <v>57</v>
      </c>
      <c r="F1350" s="2">
        <v>1137</v>
      </c>
      <c r="G1350" t="s">
        <v>39</v>
      </c>
      <c r="H1350">
        <v>1</v>
      </c>
      <c r="I1350">
        <v>4</v>
      </c>
      <c r="J1350" t="str">
        <f t="shared" si="43"/>
        <v>Master</v>
      </c>
      <c r="K1350" t="s">
        <v>34</v>
      </c>
      <c r="L1350">
        <v>1</v>
      </c>
      <c r="M1350" t="s">
        <v>40</v>
      </c>
      <c r="N1350" s="2">
        <v>98</v>
      </c>
      <c r="O1350">
        <v>3</v>
      </c>
      <c r="P1350">
        <v>4</v>
      </c>
      <c r="Q1350" t="s">
        <v>50</v>
      </c>
      <c r="R1350">
        <v>1</v>
      </c>
      <c r="S1350" t="s">
        <v>46</v>
      </c>
      <c r="T1350" s="2">
        <v>16823</v>
      </c>
      <c r="U1350" s="2">
        <v>18991</v>
      </c>
      <c r="V1350">
        <v>2</v>
      </c>
      <c r="W1350" t="s">
        <v>38</v>
      </c>
      <c r="X1350">
        <v>11</v>
      </c>
      <c r="Y1350">
        <v>3</v>
      </c>
      <c r="Z1350">
        <v>1</v>
      </c>
      <c r="AA1350">
        <v>80</v>
      </c>
      <c r="AB1350">
        <v>1</v>
      </c>
      <c r="AC1350">
        <v>22</v>
      </c>
      <c r="AD1350">
        <v>3</v>
      </c>
      <c r="AE1350">
        <v>3</v>
      </c>
      <c r="AF1350">
        <v>19</v>
      </c>
      <c r="AG1350">
        <v>7</v>
      </c>
      <c r="AH1350">
        <v>11</v>
      </c>
      <c r="AI1350">
        <v>16</v>
      </c>
    </row>
    <row r="1351" spans="1:35" x14ac:dyDescent="0.25">
      <c r="A1351">
        <v>26</v>
      </c>
      <c r="B1351" t="str">
        <f t="shared" si="42"/>
        <v>25-34</v>
      </c>
      <c r="C1351" s="1" t="s">
        <v>38</v>
      </c>
      <c r="D1351" s="17">
        <f>IF(Table1[[#This Row],[Attrition]]="Yes",1,0)</f>
        <v>0</v>
      </c>
      <c r="E1351" t="s">
        <v>57</v>
      </c>
      <c r="F1351" s="2">
        <v>482</v>
      </c>
      <c r="G1351" t="s">
        <v>39</v>
      </c>
      <c r="H1351">
        <v>1</v>
      </c>
      <c r="I1351">
        <v>2</v>
      </c>
      <c r="J1351" t="str">
        <f t="shared" si="43"/>
        <v>College</v>
      </c>
      <c r="K1351" t="s">
        <v>34</v>
      </c>
      <c r="L1351">
        <v>2</v>
      </c>
      <c r="M1351" t="s">
        <v>35</v>
      </c>
      <c r="N1351" s="2">
        <v>90</v>
      </c>
      <c r="O1351">
        <v>2</v>
      </c>
      <c r="P1351">
        <v>1</v>
      </c>
      <c r="Q1351" t="s">
        <v>41</v>
      </c>
      <c r="R1351">
        <v>3</v>
      </c>
      <c r="S1351" t="s">
        <v>42</v>
      </c>
      <c r="T1351" s="2">
        <v>2933</v>
      </c>
      <c r="U1351" s="2">
        <v>14908</v>
      </c>
      <c r="V1351">
        <v>1</v>
      </c>
      <c r="W1351" t="s">
        <v>32</v>
      </c>
      <c r="X1351">
        <v>13</v>
      </c>
      <c r="Y1351">
        <v>3</v>
      </c>
      <c r="Z1351">
        <v>3</v>
      </c>
      <c r="AA1351">
        <v>80</v>
      </c>
      <c r="AB1351">
        <v>1</v>
      </c>
      <c r="AC1351">
        <v>1</v>
      </c>
      <c r="AD1351">
        <v>3</v>
      </c>
      <c r="AE1351">
        <v>2</v>
      </c>
      <c r="AF1351">
        <v>1</v>
      </c>
      <c r="AG1351">
        <v>0</v>
      </c>
      <c r="AH1351">
        <v>1</v>
      </c>
      <c r="AI1351">
        <v>0</v>
      </c>
    </row>
    <row r="1352" spans="1:35" x14ac:dyDescent="0.25">
      <c r="A1352">
        <v>27</v>
      </c>
      <c r="B1352" t="str">
        <f t="shared" si="42"/>
        <v>25-34</v>
      </c>
      <c r="C1352" s="1" t="s">
        <v>38</v>
      </c>
      <c r="D1352" s="17">
        <f>IF(Table1[[#This Row],[Attrition]]="Yes",1,0)</f>
        <v>0</v>
      </c>
      <c r="E1352" t="s">
        <v>57</v>
      </c>
      <c r="F1352" s="2">
        <v>511</v>
      </c>
      <c r="G1352" t="s">
        <v>33</v>
      </c>
      <c r="H1352">
        <v>2</v>
      </c>
      <c r="I1352">
        <v>2</v>
      </c>
      <c r="J1352" t="str">
        <f t="shared" si="43"/>
        <v>College</v>
      </c>
      <c r="K1352" t="s">
        <v>45</v>
      </c>
      <c r="L1352">
        <v>1</v>
      </c>
      <c r="M1352" t="s">
        <v>35</v>
      </c>
      <c r="N1352" s="2">
        <v>89</v>
      </c>
      <c r="O1352">
        <v>4</v>
      </c>
      <c r="P1352">
        <v>2</v>
      </c>
      <c r="Q1352" t="s">
        <v>36</v>
      </c>
      <c r="R1352">
        <v>3</v>
      </c>
      <c r="S1352" t="s">
        <v>37</v>
      </c>
      <c r="T1352" s="2">
        <v>6500</v>
      </c>
      <c r="U1352" s="2">
        <v>26997</v>
      </c>
      <c r="V1352">
        <v>0</v>
      </c>
      <c r="W1352" t="s">
        <v>38</v>
      </c>
      <c r="X1352">
        <v>14</v>
      </c>
      <c r="Y1352">
        <v>3</v>
      </c>
      <c r="Z1352">
        <v>2</v>
      </c>
      <c r="AA1352">
        <v>80</v>
      </c>
      <c r="AB1352">
        <v>0</v>
      </c>
      <c r="AC1352">
        <v>9</v>
      </c>
      <c r="AD1352">
        <v>5</v>
      </c>
      <c r="AE1352">
        <v>2</v>
      </c>
      <c r="AF1352">
        <v>8</v>
      </c>
      <c r="AG1352">
        <v>7</v>
      </c>
      <c r="AH1352">
        <v>0</v>
      </c>
      <c r="AI1352">
        <v>7</v>
      </c>
    </row>
    <row r="1353" spans="1:35" x14ac:dyDescent="0.25">
      <c r="A1353">
        <v>48</v>
      </c>
      <c r="B1353" t="str">
        <f t="shared" si="42"/>
        <v>45-54</v>
      </c>
      <c r="C1353" s="1" t="s">
        <v>38</v>
      </c>
      <c r="D1353" s="17">
        <f>IF(Table1[[#This Row],[Attrition]]="Yes",1,0)</f>
        <v>0</v>
      </c>
      <c r="E1353" t="s">
        <v>58</v>
      </c>
      <c r="F1353" s="2">
        <v>117</v>
      </c>
      <c r="G1353" t="s">
        <v>39</v>
      </c>
      <c r="H1353">
        <v>22</v>
      </c>
      <c r="I1353">
        <v>3</v>
      </c>
      <c r="J1353" t="str">
        <f t="shared" si="43"/>
        <v>Bachelor</v>
      </c>
      <c r="K1353" t="s">
        <v>45</v>
      </c>
      <c r="L1353">
        <v>4</v>
      </c>
      <c r="M1353" t="s">
        <v>35</v>
      </c>
      <c r="N1353" s="2">
        <v>58</v>
      </c>
      <c r="O1353">
        <v>3</v>
      </c>
      <c r="P1353">
        <v>4</v>
      </c>
      <c r="Q1353" t="s">
        <v>50</v>
      </c>
      <c r="R1353">
        <v>4</v>
      </c>
      <c r="S1353" t="s">
        <v>46</v>
      </c>
      <c r="T1353" s="2">
        <v>17174</v>
      </c>
      <c r="U1353" s="2">
        <v>2437</v>
      </c>
      <c r="V1353">
        <v>3</v>
      </c>
      <c r="W1353" t="s">
        <v>38</v>
      </c>
      <c r="X1353">
        <v>11</v>
      </c>
      <c r="Y1353">
        <v>3</v>
      </c>
      <c r="Z1353">
        <v>2</v>
      </c>
      <c r="AA1353">
        <v>80</v>
      </c>
      <c r="AB1353">
        <v>1</v>
      </c>
      <c r="AC1353">
        <v>24</v>
      </c>
      <c r="AD1353">
        <v>3</v>
      </c>
      <c r="AE1353">
        <v>3</v>
      </c>
      <c r="AF1353">
        <v>22</v>
      </c>
      <c r="AG1353">
        <v>17</v>
      </c>
      <c r="AH1353">
        <v>4</v>
      </c>
      <c r="AI1353">
        <v>7</v>
      </c>
    </row>
    <row r="1354" spans="1:35" x14ac:dyDescent="0.25">
      <c r="A1354">
        <v>44</v>
      </c>
      <c r="B1354" t="str">
        <f t="shared" si="42"/>
        <v>35-44</v>
      </c>
      <c r="C1354" s="1" t="s">
        <v>38</v>
      </c>
      <c r="D1354" s="17">
        <f>IF(Table1[[#This Row],[Attrition]]="Yes",1,0)</f>
        <v>0</v>
      </c>
      <c r="E1354" t="s">
        <v>57</v>
      </c>
      <c r="F1354" s="2">
        <v>170</v>
      </c>
      <c r="G1354" t="s">
        <v>39</v>
      </c>
      <c r="H1354">
        <v>1</v>
      </c>
      <c r="I1354">
        <v>4</v>
      </c>
      <c r="J1354" t="str">
        <f t="shared" si="43"/>
        <v>Master</v>
      </c>
      <c r="K1354" t="s">
        <v>34</v>
      </c>
      <c r="L1354">
        <v>2</v>
      </c>
      <c r="M1354" t="s">
        <v>40</v>
      </c>
      <c r="N1354" s="2">
        <v>78</v>
      </c>
      <c r="O1354">
        <v>4</v>
      </c>
      <c r="P1354">
        <v>2</v>
      </c>
      <c r="Q1354" t="s">
        <v>48</v>
      </c>
      <c r="R1354">
        <v>1</v>
      </c>
      <c r="S1354" t="s">
        <v>42</v>
      </c>
      <c r="T1354" s="2">
        <v>5033</v>
      </c>
      <c r="U1354" s="2">
        <v>9364</v>
      </c>
      <c r="V1354">
        <v>2</v>
      </c>
      <c r="W1354" t="s">
        <v>38</v>
      </c>
      <c r="X1354">
        <v>15</v>
      </c>
      <c r="Y1354">
        <v>3</v>
      </c>
      <c r="Z1354">
        <v>4</v>
      </c>
      <c r="AA1354">
        <v>80</v>
      </c>
      <c r="AB1354">
        <v>1</v>
      </c>
      <c r="AC1354">
        <v>10</v>
      </c>
      <c r="AD1354">
        <v>5</v>
      </c>
      <c r="AE1354">
        <v>3</v>
      </c>
      <c r="AF1354">
        <v>2</v>
      </c>
      <c r="AG1354">
        <v>0</v>
      </c>
      <c r="AH1354">
        <v>2</v>
      </c>
      <c r="AI1354">
        <v>2</v>
      </c>
    </row>
    <row r="1355" spans="1:35" x14ac:dyDescent="0.25">
      <c r="A1355">
        <v>34</v>
      </c>
      <c r="B1355" t="str">
        <f t="shared" si="42"/>
        <v>25-34</v>
      </c>
      <c r="C1355" s="1" t="s">
        <v>32</v>
      </c>
      <c r="D1355" s="17">
        <f>IF(Table1[[#This Row],[Attrition]]="Yes",1,0)</f>
        <v>1</v>
      </c>
      <c r="E1355" t="s">
        <v>49</v>
      </c>
      <c r="F1355" s="2">
        <v>967</v>
      </c>
      <c r="G1355" t="s">
        <v>39</v>
      </c>
      <c r="H1355">
        <v>16</v>
      </c>
      <c r="I1355">
        <v>4</v>
      </c>
      <c r="J1355" t="str">
        <f t="shared" si="43"/>
        <v>Master</v>
      </c>
      <c r="K1355" t="s">
        <v>54</v>
      </c>
      <c r="L1355">
        <v>4</v>
      </c>
      <c r="M1355" t="s">
        <v>40</v>
      </c>
      <c r="N1355" s="2">
        <v>85</v>
      </c>
      <c r="O1355">
        <v>1</v>
      </c>
      <c r="P1355">
        <v>1</v>
      </c>
      <c r="Q1355" t="s">
        <v>41</v>
      </c>
      <c r="R1355">
        <v>1</v>
      </c>
      <c r="S1355" t="s">
        <v>42</v>
      </c>
      <c r="T1355" s="2">
        <v>2307</v>
      </c>
      <c r="U1355" s="2">
        <v>14460</v>
      </c>
      <c r="V1355">
        <v>1</v>
      </c>
      <c r="W1355" t="s">
        <v>32</v>
      </c>
      <c r="X1355">
        <v>23</v>
      </c>
      <c r="Y1355">
        <v>4</v>
      </c>
      <c r="Z1355">
        <v>2</v>
      </c>
      <c r="AA1355">
        <v>80</v>
      </c>
      <c r="AB1355">
        <v>1</v>
      </c>
      <c r="AC1355">
        <v>5</v>
      </c>
      <c r="AD1355">
        <v>2</v>
      </c>
      <c r="AE1355">
        <v>3</v>
      </c>
      <c r="AF1355">
        <v>5</v>
      </c>
      <c r="AG1355">
        <v>2</v>
      </c>
      <c r="AH1355">
        <v>3</v>
      </c>
      <c r="AI1355">
        <v>0</v>
      </c>
    </row>
    <row r="1356" spans="1:35" x14ac:dyDescent="0.25">
      <c r="A1356">
        <v>56</v>
      </c>
      <c r="B1356" t="str">
        <f t="shared" si="42"/>
        <v>55-64</v>
      </c>
      <c r="C1356" s="1" t="s">
        <v>32</v>
      </c>
      <c r="D1356" s="17">
        <f>IF(Table1[[#This Row],[Attrition]]="Yes",1,0)</f>
        <v>1</v>
      </c>
      <c r="E1356" t="s">
        <v>57</v>
      </c>
      <c r="F1356" s="2">
        <v>1162</v>
      </c>
      <c r="G1356" t="s">
        <v>39</v>
      </c>
      <c r="H1356">
        <v>24</v>
      </c>
      <c r="I1356">
        <v>2</v>
      </c>
      <c r="J1356" t="str">
        <f t="shared" si="43"/>
        <v>College</v>
      </c>
      <c r="K1356" t="s">
        <v>34</v>
      </c>
      <c r="L1356">
        <v>1</v>
      </c>
      <c r="M1356" t="s">
        <v>40</v>
      </c>
      <c r="N1356" s="2">
        <v>97</v>
      </c>
      <c r="O1356">
        <v>3</v>
      </c>
      <c r="P1356">
        <v>1</v>
      </c>
      <c r="Q1356" t="s">
        <v>44</v>
      </c>
      <c r="R1356">
        <v>4</v>
      </c>
      <c r="S1356" t="s">
        <v>37</v>
      </c>
      <c r="T1356" s="2">
        <v>2587</v>
      </c>
      <c r="U1356" s="2">
        <v>10261</v>
      </c>
      <c r="V1356">
        <v>1</v>
      </c>
      <c r="W1356" t="s">
        <v>38</v>
      </c>
      <c r="X1356">
        <v>16</v>
      </c>
      <c r="Y1356">
        <v>3</v>
      </c>
      <c r="Z1356">
        <v>4</v>
      </c>
      <c r="AA1356">
        <v>80</v>
      </c>
      <c r="AB1356">
        <v>0</v>
      </c>
      <c r="AC1356">
        <v>5</v>
      </c>
      <c r="AD1356">
        <v>3</v>
      </c>
      <c r="AE1356">
        <v>3</v>
      </c>
      <c r="AF1356">
        <v>4</v>
      </c>
      <c r="AG1356">
        <v>2</v>
      </c>
      <c r="AH1356">
        <v>1</v>
      </c>
      <c r="AI1356">
        <v>0</v>
      </c>
    </row>
    <row r="1357" spans="1:35" x14ac:dyDescent="0.25">
      <c r="A1357">
        <v>36</v>
      </c>
      <c r="B1357" t="str">
        <f t="shared" si="42"/>
        <v>35-44</v>
      </c>
      <c r="C1357" s="1" t="s">
        <v>38</v>
      </c>
      <c r="D1357" s="17">
        <f>IF(Table1[[#This Row],[Attrition]]="Yes",1,0)</f>
        <v>0</v>
      </c>
      <c r="E1357" t="s">
        <v>57</v>
      </c>
      <c r="F1357" s="2">
        <v>335</v>
      </c>
      <c r="G1357" t="s">
        <v>33</v>
      </c>
      <c r="H1357">
        <v>17</v>
      </c>
      <c r="I1357">
        <v>2</v>
      </c>
      <c r="J1357" t="str">
        <f t="shared" si="43"/>
        <v>College</v>
      </c>
      <c r="K1357" t="s">
        <v>53</v>
      </c>
      <c r="L1357">
        <v>3</v>
      </c>
      <c r="M1357" t="s">
        <v>40</v>
      </c>
      <c r="N1357" s="2">
        <v>33</v>
      </c>
      <c r="O1357">
        <v>2</v>
      </c>
      <c r="P1357">
        <v>2</v>
      </c>
      <c r="Q1357" t="s">
        <v>36</v>
      </c>
      <c r="R1357">
        <v>2</v>
      </c>
      <c r="S1357" t="s">
        <v>42</v>
      </c>
      <c r="T1357" s="2">
        <v>5507</v>
      </c>
      <c r="U1357" s="2">
        <v>16822</v>
      </c>
      <c r="V1357">
        <v>2</v>
      </c>
      <c r="W1357" t="s">
        <v>38</v>
      </c>
      <c r="X1357">
        <v>16</v>
      </c>
      <c r="Y1357">
        <v>3</v>
      </c>
      <c r="Z1357">
        <v>3</v>
      </c>
      <c r="AA1357">
        <v>80</v>
      </c>
      <c r="AB1357">
        <v>2</v>
      </c>
      <c r="AC1357">
        <v>12</v>
      </c>
      <c r="AD1357">
        <v>1</v>
      </c>
      <c r="AE1357">
        <v>1</v>
      </c>
      <c r="AF1357">
        <v>4</v>
      </c>
      <c r="AG1357">
        <v>2</v>
      </c>
      <c r="AH1357">
        <v>1</v>
      </c>
      <c r="AI1357">
        <v>3</v>
      </c>
    </row>
    <row r="1358" spans="1:35" x14ac:dyDescent="0.25">
      <c r="A1358">
        <v>41</v>
      </c>
      <c r="B1358" t="str">
        <f t="shared" si="42"/>
        <v>35-44</v>
      </c>
      <c r="C1358" s="1" t="s">
        <v>38</v>
      </c>
      <c r="D1358" s="17">
        <f>IF(Table1[[#This Row],[Attrition]]="Yes",1,0)</f>
        <v>0</v>
      </c>
      <c r="E1358" t="s">
        <v>57</v>
      </c>
      <c r="F1358" s="2">
        <v>337</v>
      </c>
      <c r="G1358" t="s">
        <v>33</v>
      </c>
      <c r="H1358">
        <v>8</v>
      </c>
      <c r="I1358">
        <v>3</v>
      </c>
      <c r="J1358" t="str">
        <f t="shared" si="43"/>
        <v>Bachelor</v>
      </c>
      <c r="K1358" t="s">
        <v>53</v>
      </c>
      <c r="L1358">
        <v>3</v>
      </c>
      <c r="M1358" t="s">
        <v>35</v>
      </c>
      <c r="N1358" s="2">
        <v>54</v>
      </c>
      <c r="O1358">
        <v>3</v>
      </c>
      <c r="P1358">
        <v>2</v>
      </c>
      <c r="Q1358" t="s">
        <v>36</v>
      </c>
      <c r="R1358">
        <v>2</v>
      </c>
      <c r="S1358" t="s">
        <v>42</v>
      </c>
      <c r="T1358" s="2">
        <v>4393</v>
      </c>
      <c r="U1358" s="2">
        <v>26841</v>
      </c>
      <c r="V1358">
        <v>5</v>
      </c>
      <c r="W1358" t="s">
        <v>38</v>
      </c>
      <c r="X1358">
        <v>21</v>
      </c>
      <c r="Y1358">
        <v>4</v>
      </c>
      <c r="Z1358">
        <v>3</v>
      </c>
      <c r="AA1358">
        <v>80</v>
      </c>
      <c r="AB1358">
        <v>1</v>
      </c>
      <c r="AC1358">
        <v>14</v>
      </c>
      <c r="AD1358">
        <v>3</v>
      </c>
      <c r="AE1358">
        <v>3</v>
      </c>
      <c r="AF1358">
        <v>5</v>
      </c>
      <c r="AG1358">
        <v>4</v>
      </c>
      <c r="AH1358">
        <v>1</v>
      </c>
      <c r="AI1358">
        <v>4</v>
      </c>
    </row>
    <row r="1359" spans="1:35" x14ac:dyDescent="0.25">
      <c r="A1359">
        <v>42</v>
      </c>
      <c r="B1359" t="str">
        <f t="shared" si="42"/>
        <v>35-44</v>
      </c>
      <c r="C1359" s="1" t="s">
        <v>38</v>
      </c>
      <c r="D1359" s="17">
        <f>IF(Table1[[#This Row],[Attrition]]="Yes",1,0)</f>
        <v>0</v>
      </c>
      <c r="E1359" t="s">
        <v>57</v>
      </c>
      <c r="F1359" s="2">
        <v>1396</v>
      </c>
      <c r="G1359" t="s">
        <v>39</v>
      </c>
      <c r="H1359">
        <v>6</v>
      </c>
      <c r="I1359">
        <v>3</v>
      </c>
      <c r="J1359" t="str">
        <f t="shared" si="43"/>
        <v>Bachelor</v>
      </c>
      <c r="K1359" t="s">
        <v>45</v>
      </c>
      <c r="L1359">
        <v>3</v>
      </c>
      <c r="M1359" t="s">
        <v>40</v>
      </c>
      <c r="N1359" s="2">
        <v>83</v>
      </c>
      <c r="O1359">
        <v>3</v>
      </c>
      <c r="P1359">
        <v>3</v>
      </c>
      <c r="Q1359" t="s">
        <v>52</v>
      </c>
      <c r="R1359">
        <v>1</v>
      </c>
      <c r="S1359" t="s">
        <v>42</v>
      </c>
      <c r="T1359" s="2">
        <v>13348</v>
      </c>
      <c r="U1359" s="2">
        <v>14842</v>
      </c>
      <c r="V1359">
        <v>9</v>
      </c>
      <c r="W1359" t="s">
        <v>38</v>
      </c>
      <c r="X1359">
        <v>13</v>
      </c>
      <c r="Y1359">
        <v>3</v>
      </c>
      <c r="Z1359">
        <v>2</v>
      </c>
      <c r="AA1359">
        <v>80</v>
      </c>
      <c r="AB1359">
        <v>1</v>
      </c>
      <c r="AC1359">
        <v>18</v>
      </c>
      <c r="AD1359">
        <v>3</v>
      </c>
      <c r="AE1359">
        <v>4</v>
      </c>
      <c r="AF1359">
        <v>13</v>
      </c>
      <c r="AG1359">
        <v>7</v>
      </c>
      <c r="AH1359">
        <v>5</v>
      </c>
      <c r="AI1359">
        <v>7</v>
      </c>
    </row>
    <row r="1360" spans="1:35" x14ac:dyDescent="0.25">
      <c r="A1360">
        <v>31</v>
      </c>
      <c r="B1360" t="str">
        <f t="shared" si="42"/>
        <v>25-34</v>
      </c>
      <c r="C1360" s="1" t="s">
        <v>38</v>
      </c>
      <c r="D1360" s="17">
        <f>IF(Table1[[#This Row],[Attrition]]="Yes",1,0)</f>
        <v>0</v>
      </c>
      <c r="E1360" t="s">
        <v>57</v>
      </c>
      <c r="F1360" s="2">
        <v>1079</v>
      </c>
      <c r="G1360" t="s">
        <v>33</v>
      </c>
      <c r="H1360">
        <v>10</v>
      </c>
      <c r="I1360">
        <v>2</v>
      </c>
      <c r="J1360" t="str">
        <f t="shared" si="43"/>
        <v>College</v>
      </c>
      <c r="K1360" t="s">
        <v>45</v>
      </c>
      <c r="L1360">
        <v>3</v>
      </c>
      <c r="M1360" t="s">
        <v>35</v>
      </c>
      <c r="N1360" s="2">
        <v>86</v>
      </c>
      <c r="O1360">
        <v>3</v>
      </c>
      <c r="P1360">
        <v>2</v>
      </c>
      <c r="Q1360" t="s">
        <v>36</v>
      </c>
      <c r="R1360">
        <v>4</v>
      </c>
      <c r="S1360" t="s">
        <v>46</v>
      </c>
      <c r="T1360" s="2">
        <v>6583</v>
      </c>
      <c r="U1360" s="2">
        <v>20115</v>
      </c>
      <c r="V1360">
        <v>2</v>
      </c>
      <c r="W1360" t="s">
        <v>32</v>
      </c>
      <c r="X1360">
        <v>11</v>
      </c>
      <c r="Y1360">
        <v>3</v>
      </c>
      <c r="Z1360">
        <v>4</v>
      </c>
      <c r="AA1360">
        <v>80</v>
      </c>
      <c r="AB1360">
        <v>1</v>
      </c>
      <c r="AC1360">
        <v>8</v>
      </c>
      <c r="AD1360">
        <v>2</v>
      </c>
      <c r="AE1360">
        <v>3</v>
      </c>
      <c r="AF1360">
        <v>5</v>
      </c>
      <c r="AG1360">
        <v>2</v>
      </c>
      <c r="AH1360">
        <v>1</v>
      </c>
      <c r="AI1360">
        <v>4</v>
      </c>
    </row>
    <row r="1361" spans="1:35" x14ac:dyDescent="0.25">
      <c r="A1361">
        <v>34</v>
      </c>
      <c r="B1361" t="str">
        <f t="shared" si="42"/>
        <v>25-34</v>
      </c>
      <c r="C1361" s="1" t="s">
        <v>38</v>
      </c>
      <c r="D1361" s="17">
        <f>IF(Table1[[#This Row],[Attrition]]="Yes",1,0)</f>
        <v>0</v>
      </c>
      <c r="E1361" t="s">
        <v>57</v>
      </c>
      <c r="F1361" s="2">
        <v>735</v>
      </c>
      <c r="G1361" t="s">
        <v>33</v>
      </c>
      <c r="H1361">
        <v>3</v>
      </c>
      <c r="I1361">
        <v>1</v>
      </c>
      <c r="J1361" t="str">
        <f t="shared" si="43"/>
        <v>Below College</v>
      </c>
      <c r="K1361" t="s">
        <v>45</v>
      </c>
      <c r="L1361">
        <v>4</v>
      </c>
      <c r="M1361" t="s">
        <v>35</v>
      </c>
      <c r="N1361" s="2">
        <v>75</v>
      </c>
      <c r="O1361">
        <v>2</v>
      </c>
      <c r="P1361">
        <v>2</v>
      </c>
      <c r="Q1361" t="s">
        <v>36</v>
      </c>
      <c r="R1361">
        <v>4</v>
      </c>
      <c r="S1361" t="s">
        <v>42</v>
      </c>
      <c r="T1361" s="2">
        <v>8103</v>
      </c>
      <c r="U1361" s="2">
        <v>16495</v>
      </c>
      <c r="V1361">
        <v>3</v>
      </c>
      <c r="W1361" t="s">
        <v>32</v>
      </c>
      <c r="X1361">
        <v>12</v>
      </c>
      <c r="Y1361">
        <v>3</v>
      </c>
      <c r="Z1361">
        <v>3</v>
      </c>
      <c r="AA1361">
        <v>80</v>
      </c>
      <c r="AB1361">
        <v>0</v>
      </c>
      <c r="AC1361">
        <v>9</v>
      </c>
      <c r="AD1361">
        <v>3</v>
      </c>
      <c r="AE1361">
        <v>2</v>
      </c>
      <c r="AF1361">
        <v>4</v>
      </c>
      <c r="AG1361">
        <v>2</v>
      </c>
      <c r="AH1361">
        <v>0</v>
      </c>
      <c r="AI1361">
        <v>1</v>
      </c>
    </row>
    <row r="1362" spans="1:35" x14ac:dyDescent="0.25">
      <c r="A1362">
        <v>31</v>
      </c>
      <c r="B1362" t="str">
        <f t="shared" si="42"/>
        <v>25-34</v>
      </c>
      <c r="C1362" s="1" t="s">
        <v>38</v>
      </c>
      <c r="D1362" s="17">
        <f>IF(Table1[[#This Row],[Attrition]]="Yes",1,0)</f>
        <v>0</v>
      </c>
      <c r="E1362" t="s">
        <v>57</v>
      </c>
      <c r="F1362" s="2">
        <v>471</v>
      </c>
      <c r="G1362" t="s">
        <v>39</v>
      </c>
      <c r="H1362">
        <v>4</v>
      </c>
      <c r="I1362">
        <v>3</v>
      </c>
      <c r="J1362" t="str">
        <f t="shared" si="43"/>
        <v>Bachelor</v>
      </c>
      <c r="K1362" t="s">
        <v>45</v>
      </c>
      <c r="L1362">
        <v>1</v>
      </c>
      <c r="M1362" t="s">
        <v>35</v>
      </c>
      <c r="N1362" s="2">
        <v>62</v>
      </c>
      <c r="O1362">
        <v>4</v>
      </c>
      <c r="P1362">
        <v>1</v>
      </c>
      <c r="Q1362" t="s">
        <v>44</v>
      </c>
      <c r="R1362">
        <v>3</v>
      </c>
      <c r="S1362" t="s">
        <v>46</v>
      </c>
      <c r="T1362" s="2">
        <v>3978</v>
      </c>
      <c r="U1362" s="2">
        <v>16031</v>
      </c>
      <c r="V1362">
        <v>8</v>
      </c>
      <c r="W1362" t="s">
        <v>38</v>
      </c>
      <c r="X1362">
        <v>12</v>
      </c>
      <c r="Y1362">
        <v>3</v>
      </c>
      <c r="Z1362">
        <v>2</v>
      </c>
      <c r="AA1362">
        <v>80</v>
      </c>
      <c r="AB1362">
        <v>1</v>
      </c>
      <c r="AC1362">
        <v>4</v>
      </c>
      <c r="AD1362">
        <v>0</v>
      </c>
      <c r="AE1362">
        <v>2</v>
      </c>
      <c r="AF1362">
        <v>2</v>
      </c>
      <c r="AG1362">
        <v>2</v>
      </c>
      <c r="AH1362">
        <v>2</v>
      </c>
      <c r="AI1362">
        <v>2</v>
      </c>
    </row>
    <row r="1363" spans="1:35" x14ac:dyDescent="0.25">
      <c r="A1363">
        <v>26</v>
      </c>
      <c r="B1363" t="str">
        <f t="shared" si="42"/>
        <v>25-34</v>
      </c>
      <c r="C1363" s="1" t="s">
        <v>38</v>
      </c>
      <c r="D1363" s="17">
        <f>IF(Table1[[#This Row],[Attrition]]="Yes",1,0)</f>
        <v>0</v>
      </c>
      <c r="E1363" t="s">
        <v>58</v>
      </c>
      <c r="F1363" s="2">
        <v>1096</v>
      </c>
      <c r="G1363" t="s">
        <v>39</v>
      </c>
      <c r="H1363">
        <v>6</v>
      </c>
      <c r="I1363">
        <v>3</v>
      </c>
      <c r="J1363" t="str">
        <f t="shared" si="43"/>
        <v>Bachelor</v>
      </c>
      <c r="K1363" t="s">
        <v>43</v>
      </c>
      <c r="L1363">
        <v>3</v>
      </c>
      <c r="M1363" t="s">
        <v>40</v>
      </c>
      <c r="N1363" s="2">
        <v>61</v>
      </c>
      <c r="O1363">
        <v>4</v>
      </c>
      <c r="P1363">
        <v>1</v>
      </c>
      <c r="Q1363" t="s">
        <v>44</v>
      </c>
      <c r="R1363">
        <v>4</v>
      </c>
      <c r="S1363" t="s">
        <v>42</v>
      </c>
      <c r="T1363" s="2">
        <v>2544</v>
      </c>
      <c r="U1363" s="2">
        <v>7102</v>
      </c>
      <c r="V1363">
        <v>0</v>
      </c>
      <c r="W1363" t="s">
        <v>38</v>
      </c>
      <c r="X1363">
        <v>18</v>
      </c>
      <c r="Y1363">
        <v>3</v>
      </c>
      <c r="Z1363">
        <v>1</v>
      </c>
      <c r="AA1363">
        <v>80</v>
      </c>
      <c r="AB1363">
        <v>1</v>
      </c>
      <c r="AC1363">
        <v>8</v>
      </c>
      <c r="AD1363">
        <v>3</v>
      </c>
      <c r="AE1363">
        <v>3</v>
      </c>
      <c r="AF1363">
        <v>7</v>
      </c>
      <c r="AG1363">
        <v>7</v>
      </c>
      <c r="AH1363">
        <v>7</v>
      </c>
      <c r="AI1363">
        <v>7</v>
      </c>
    </row>
    <row r="1364" spans="1:35" x14ac:dyDescent="0.25">
      <c r="A1364">
        <v>45</v>
      </c>
      <c r="B1364" t="str">
        <f t="shared" si="42"/>
        <v>45-54</v>
      </c>
      <c r="C1364" s="1" t="s">
        <v>38</v>
      </c>
      <c r="D1364" s="17">
        <f>IF(Table1[[#This Row],[Attrition]]="Yes",1,0)</f>
        <v>0</v>
      </c>
      <c r="E1364" t="s">
        <v>58</v>
      </c>
      <c r="F1364" s="2">
        <v>1297</v>
      </c>
      <c r="G1364" t="s">
        <v>39</v>
      </c>
      <c r="H1364">
        <v>1</v>
      </c>
      <c r="I1364">
        <v>4</v>
      </c>
      <c r="J1364" t="str">
        <f t="shared" si="43"/>
        <v>Master</v>
      </c>
      <c r="K1364" t="s">
        <v>45</v>
      </c>
      <c r="L1364">
        <v>2</v>
      </c>
      <c r="M1364" t="s">
        <v>40</v>
      </c>
      <c r="N1364" s="2">
        <v>44</v>
      </c>
      <c r="O1364">
        <v>3</v>
      </c>
      <c r="P1364">
        <v>2</v>
      </c>
      <c r="Q1364" t="s">
        <v>48</v>
      </c>
      <c r="R1364">
        <v>3</v>
      </c>
      <c r="S1364" t="s">
        <v>37</v>
      </c>
      <c r="T1364" s="2">
        <v>5399</v>
      </c>
      <c r="U1364" s="2">
        <v>14511</v>
      </c>
      <c r="V1364">
        <v>4</v>
      </c>
      <c r="W1364" t="s">
        <v>38</v>
      </c>
      <c r="X1364">
        <v>12</v>
      </c>
      <c r="Y1364">
        <v>3</v>
      </c>
      <c r="Z1364">
        <v>3</v>
      </c>
      <c r="AA1364">
        <v>80</v>
      </c>
      <c r="AB1364">
        <v>0</v>
      </c>
      <c r="AC1364">
        <v>12</v>
      </c>
      <c r="AD1364">
        <v>3</v>
      </c>
      <c r="AE1364">
        <v>3</v>
      </c>
      <c r="AF1364">
        <v>4</v>
      </c>
      <c r="AG1364">
        <v>2</v>
      </c>
      <c r="AH1364">
        <v>0</v>
      </c>
      <c r="AI1364">
        <v>3</v>
      </c>
    </row>
    <row r="1365" spans="1:35" x14ac:dyDescent="0.25">
      <c r="A1365">
        <v>33</v>
      </c>
      <c r="B1365" t="str">
        <f t="shared" si="42"/>
        <v>25-34</v>
      </c>
      <c r="C1365" s="1" t="s">
        <v>38</v>
      </c>
      <c r="D1365" s="17">
        <f>IF(Table1[[#This Row],[Attrition]]="Yes",1,0)</f>
        <v>0</v>
      </c>
      <c r="E1365" t="s">
        <v>57</v>
      </c>
      <c r="F1365" s="2">
        <v>217</v>
      </c>
      <c r="G1365" t="s">
        <v>33</v>
      </c>
      <c r="H1365">
        <v>10</v>
      </c>
      <c r="I1365">
        <v>4</v>
      </c>
      <c r="J1365" t="str">
        <f t="shared" si="43"/>
        <v>Master</v>
      </c>
      <c r="K1365" t="s">
        <v>53</v>
      </c>
      <c r="L1365">
        <v>2</v>
      </c>
      <c r="M1365" t="s">
        <v>40</v>
      </c>
      <c r="N1365" s="2">
        <v>43</v>
      </c>
      <c r="O1365">
        <v>3</v>
      </c>
      <c r="P1365">
        <v>2</v>
      </c>
      <c r="Q1365" t="s">
        <v>36</v>
      </c>
      <c r="R1365">
        <v>3</v>
      </c>
      <c r="S1365" t="s">
        <v>37</v>
      </c>
      <c r="T1365" s="2">
        <v>5487</v>
      </c>
      <c r="U1365" s="2">
        <v>10410</v>
      </c>
      <c r="V1365">
        <v>1</v>
      </c>
      <c r="W1365" t="s">
        <v>38</v>
      </c>
      <c r="X1365">
        <v>14</v>
      </c>
      <c r="Y1365">
        <v>3</v>
      </c>
      <c r="Z1365">
        <v>2</v>
      </c>
      <c r="AA1365">
        <v>80</v>
      </c>
      <c r="AB1365">
        <v>0</v>
      </c>
      <c r="AC1365">
        <v>10</v>
      </c>
      <c r="AD1365">
        <v>2</v>
      </c>
      <c r="AE1365">
        <v>2</v>
      </c>
      <c r="AF1365">
        <v>10</v>
      </c>
      <c r="AG1365">
        <v>4</v>
      </c>
      <c r="AH1365">
        <v>0</v>
      </c>
      <c r="AI1365">
        <v>9</v>
      </c>
    </row>
    <row r="1366" spans="1:35" x14ac:dyDescent="0.25">
      <c r="A1366">
        <v>28</v>
      </c>
      <c r="B1366" t="str">
        <f t="shared" si="42"/>
        <v>25-34</v>
      </c>
      <c r="C1366" s="1" t="s">
        <v>38</v>
      </c>
      <c r="D1366" s="17">
        <f>IF(Table1[[#This Row],[Attrition]]="Yes",1,0)</f>
        <v>0</v>
      </c>
      <c r="E1366" t="s">
        <v>58</v>
      </c>
      <c r="F1366" s="2">
        <v>783</v>
      </c>
      <c r="G1366" t="s">
        <v>33</v>
      </c>
      <c r="H1366">
        <v>1</v>
      </c>
      <c r="I1366">
        <v>2</v>
      </c>
      <c r="J1366" t="str">
        <f t="shared" si="43"/>
        <v>College</v>
      </c>
      <c r="K1366" t="s">
        <v>34</v>
      </c>
      <c r="L1366">
        <v>3</v>
      </c>
      <c r="M1366" t="s">
        <v>40</v>
      </c>
      <c r="N1366" s="2">
        <v>42</v>
      </c>
      <c r="O1366">
        <v>2</v>
      </c>
      <c r="P1366">
        <v>2</v>
      </c>
      <c r="Q1366" t="s">
        <v>36</v>
      </c>
      <c r="R1366">
        <v>4</v>
      </c>
      <c r="S1366" t="s">
        <v>42</v>
      </c>
      <c r="T1366" s="2">
        <v>6834</v>
      </c>
      <c r="U1366" s="2">
        <v>19255</v>
      </c>
      <c r="V1366">
        <v>1</v>
      </c>
      <c r="W1366" t="s">
        <v>32</v>
      </c>
      <c r="X1366">
        <v>12</v>
      </c>
      <c r="Y1366">
        <v>3</v>
      </c>
      <c r="Z1366">
        <v>3</v>
      </c>
      <c r="AA1366">
        <v>80</v>
      </c>
      <c r="AB1366">
        <v>1</v>
      </c>
      <c r="AC1366">
        <v>7</v>
      </c>
      <c r="AD1366">
        <v>2</v>
      </c>
      <c r="AE1366">
        <v>3</v>
      </c>
      <c r="AF1366">
        <v>7</v>
      </c>
      <c r="AG1366">
        <v>7</v>
      </c>
      <c r="AH1366">
        <v>0</v>
      </c>
      <c r="AI1366">
        <v>7</v>
      </c>
    </row>
    <row r="1367" spans="1:35" x14ac:dyDescent="0.25">
      <c r="A1367">
        <v>29</v>
      </c>
      <c r="B1367" t="str">
        <f t="shared" si="42"/>
        <v>25-34</v>
      </c>
      <c r="C1367" s="1" t="s">
        <v>32</v>
      </c>
      <c r="D1367" s="17">
        <f>IF(Table1[[#This Row],[Attrition]]="Yes",1,0)</f>
        <v>1</v>
      </c>
      <c r="E1367" t="s">
        <v>58</v>
      </c>
      <c r="F1367" s="2">
        <v>746</v>
      </c>
      <c r="G1367" t="s">
        <v>33</v>
      </c>
      <c r="H1367">
        <v>24</v>
      </c>
      <c r="I1367">
        <v>3</v>
      </c>
      <c r="J1367" t="str">
        <f t="shared" si="43"/>
        <v>Bachelor</v>
      </c>
      <c r="K1367" t="s">
        <v>54</v>
      </c>
      <c r="L1367">
        <v>3</v>
      </c>
      <c r="M1367" t="s">
        <v>40</v>
      </c>
      <c r="N1367" s="2">
        <v>45</v>
      </c>
      <c r="O1367">
        <v>4</v>
      </c>
      <c r="P1367">
        <v>1</v>
      </c>
      <c r="Q1367" t="s">
        <v>51</v>
      </c>
      <c r="R1367">
        <v>1</v>
      </c>
      <c r="S1367" t="s">
        <v>37</v>
      </c>
      <c r="T1367" s="2">
        <v>1091</v>
      </c>
      <c r="U1367" s="2">
        <v>10642</v>
      </c>
      <c r="V1367">
        <v>1</v>
      </c>
      <c r="W1367" t="s">
        <v>38</v>
      </c>
      <c r="X1367">
        <v>17</v>
      </c>
      <c r="Y1367">
        <v>3</v>
      </c>
      <c r="Z1367">
        <v>4</v>
      </c>
      <c r="AA1367">
        <v>80</v>
      </c>
      <c r="AB1367">
        <v>0</v>
      </c>
      <c r="AC1367">
        <v>1</v>
      </c>
      <c r="AD1367">
        <v>3</v>
      </c>
      <c r="AE1367">
        <v>3</v>
      </c>
      <c r="AF1367">
        <v>1</v>
      </c>
      <c r="AG1367">
        <v>0</v>
      </c>
      <c r="AH1367">
        <v>0</v>
      </c>
      <c r="AI1367">
        <v>0</v>
      </c>
    </row>
    <row r="1368" spans="1:35" x14ac:dyDescent="0.25">
      <c r="A1368">
        <v>39</v>
      </c>
      <c r="B1368" t="str">
        <f t="shared" si="42"/>
        <v>35-44</v>
      </c>
      <c r="C1368" s="1" t="s">
        <v>38</v>
      </c>
      <c r="D1368" s="17">
        <f>IF(Table1[[#This Row],[Attrition]]="Yes",1,0)</f>
        <v>0</v>
      </c>
      <c r="E1368" t="s">
        <v>49</v>
      </c>
      <c r="F1368" s="2">
        <v>1251</v>
      </c>
      <c r="G1368" t="s">
        <v>33</v>
      </c>
      <c r="H1368">
        <v>21</v>
      </c>
      <c r="I1368">
        <v>4</v>
      </c>
      <c r="J1368" t="str">
        <f t="shared" si="43"/>
        <v>Master</v>
      </c>
      <c r="K1368" t="s">
        <v>34</v>
      </c>
      <c r="L1368">
        <v>1</v>
      </c>
      <c r="M1368" t="s">
        <v>35</v>
      </c>
      <c r="N1368" s="2">
        <v>32</v>
      </c>
      <c r="O1368">
        <v>1</v>
      </c>
      <c r="P1368">
        <v>2</v>
      </c>
      <c r="Q1368" t="s">
        <v>36</v>
      </c>
      <c r="R1368">
        <v>3</v>
      </c>
      <c r="S1368" t="s">
        <v>42</v>
      </c>
      <c r="T1368" s="2">
        <v>5736</v>
      </c>
      <c r="U1368" s="2">
        <v>3987</v>
      </c>
      <c r="V1368">
        <v>6</v>
      </c>
      <c r="W1368" t="s">
        <v>38</v>
      </c>
      <c r="X1368">
        <v>19</v>
      </c>
      <c r="Y1368">
        <v>3</v>
      </c>
      <c r="Z1368">
        <v>3</v>
      </c>
      <c r="AA1368">
        <v>80</v>
      </c>
      <c r="AB1368">
        <v>1</v>
      </c>
      <c r="AC1368">
        <v>10</v>
      </c>
      <c r="AD1368">
        <v>1</v>
      </c>
      <c r="AE1368">
        <v>3</v>
      </c>
      <c r="AF1368">
        <v>3</v>
      </c>
      <c r="AG1368">
        <v>2</v>
      </c>
      <c r="AH1368">
        <v>1</v>
      </c>
      <c r="AI1368">
        <v>2</v>
      </c>
    </row>
    <row r="1369" spans="1:35" x14ac:dyDescent="0.25">
      <c r="A1369">
        <v>27</v>
      </c>
      <c r="B1369" t="str">
        <f t="shared" si="42"/>
        <v>25-34</v>
      </c>
      <c r="C1369" s="1" t="s">
        <v>38</v>
      </c>
      <c r="D1369" s="17">
        <f>IF(Table1[[#This Row],[Attrition]]="Yes",1,0)</f>
        <v>0</v>
      </c>
      <c r="E1369" t="s">
        <v>57</v>
      </c>
      <c r="F1369" s="2">
        <v>1354</v>
      </c>
      <c r="G1369" t="s">
        <v>39</v>
      </c>
      <c r="H1369">
        <v>2</v>
      </c>
      <c r="I1369">
        <v>4</v>
      </c>
      <c r="J1369" t="str">
        <f t="shared" si="43"/>
        <v>Master</v>
      </c>
      <c r="K1369" t="s">
        <v>54</v>
      </c>
      <c r="L1369">
        <v>2</v>
      </c>
      <c r="M1369" t="s">
        <v>40</v>
      </c>
      <c r="N1369" s="2">
        <v>41</v>
      </c>
      <c r="O1369">
        <v>3</v>
      </c>
      <c r="P1369">
        <v>1</v>
      </c>
      <c r="Q1369" t="s">
        <v>41</v>
      </c>
      <c r="R1369">
        <v>2</v>
      </c>
      <c r="S1369" t="s">
        <v>42</v>
      </c>
      <c r="T1369" s="2">
        <v>2226</v>
      </c>
      <c r="U1369" s="2">
        <v>6073</v>
      </c>
      <c r="V1369">
        <v>1</v>
      </c>
      <c r="W1369" t="s">
        <v>38</v>
      </c>
      <c r="X1369">
        <v>11</v>
      </c>
      <c r="Y1369">
        <v>3</v>
      </c>
      <c r="Z1369">
        <v>3</v>
      </c>
      <c r="AA1369">
        <v>80</v>
      </c>
      <c r="AB1369">
        <v>1</v>
      </c>
      <c r="AC1369">
        <v>6</v>
      </c>
      <c r="AD1369">
        <v>3</v>
      </c>
      <c r="AE1369">
        <v>2</v>
      </c>
      <c r="AF1369">
        <v>5</v>
      </c>
      <c r="AG1369">
        <v>3</v>
      </c>
      <c r="AH1369">
        <v>1</v>
      </c>
      <c r="AI1369">
        <v>2</v>
      </c>
    </row>
    <row r="1370" spans="1:35" x14ac:dyDescent="0.25">
      <c r="A1370">
        <v>34</v>
      </c>
      <c r="B1370" t="str">
        <f t="shared" si="42"/>
        <v>25-34</v>
      </c>
      <c r="C1370" s="1" t="s">
        <v>38</v>
      </c>
      <c r="D1370" s="17">
        <f>IF(Table1[[#This Row],[Attrition]]="Yes",1,0)</f>
        <v>0</v>
      </c>
      <c r="E1370" t="s">
        <v>58</v>
      </c>
      <c r="F1370" s="2">
        <v>735</v>
      </c>
      <c r="G1370" t="s">
        <v>39</v>
      </c>
      <c r="H1370">
        <v>22</v>
      </c>
      <c r="I1370">
        <v>4</v>
      </c>
      <c r="J1370" t="str">
        <f t="shared" si="43"/>
        <v>Master</v>
      </c>
      <c r="K1370" t="s">
        <v>43</v>
      </c>
      <c r="L1370">
        <v>3</v>
      </c>
      <c r="M1370" t="s">
        <v>40</v>
      </c>
      <c r="N1370" s="2">
        <v>86</v>
      </c>
      <c r="O1370">
        <v>2</v>
      </c>
      <c r="P1370">
        <v>2</v>
      </c>
      <c r="Q1370" t="s">
        <v>41</v>
      </c>
      <c r="R1370">
        <v>4</v>
      </c>
      <c r="S1370" t="s">
        <v>42</v>
      </c>
      <c r="T1370" s="2">
        <v>5747</v>
      </c>
      <c r="U1370" s="2">
        <v>26496</v>
      </c>
      <c r="V1370">
        <v>1</v>
      </c>
      <c r="W1370" t="s">
        <v>32</v>
      </c>
      <c r="X1370">
        <v>15</v>
      </c>
      <c r="Y1370">
        <v>3</v>
      </c>
      <c r="Z1370">
        <v>2</v>
      </c>
      <c r="AA1370">
        <v>80</v>
      </c>
      <c r="AB1370">
        <v>0</v>
      </c>
      <c r="AC1370">
        <v>16</v>
      </c>
      <c r="AD1370">
        <v>3</v>
      </c>
      <c r="AE1370">
        <v>3</v>
      </c>
      <c r="AF1370">
        <v>15</v>
      </c>
      <c r="AG1370">
        <v>10</v>
      </c>
      <c r="AH1370">
        <v>6</v>
      </c>
      <c r="AI1370">
        <v>11</v>
      </c>
    </row>
    <row r="1371" spans="1:35" x14ac:dyDescent="0.25">
      <c r="A1371">
        <v>28</v>
      </c>
      <c r="B1371" t="str">
        <f t="shared" si="42"/>
        <v>25-34</v>
      </c>
      <c r="C1371" s="1" t="s">
        <v>32</v>
      </c>
      <c r="D1371" s="17">
        <f>IF(Table1[[#This Row],[Attrition]]="Yes",1,0)</f>
        <v>1</v>
      </c>
      <c r="E1371" t="s">
        <v>57</v>
      </c>
      <c r="F1371" s="2">
        <v>1475</v>
      </c>
      <c r="G1371" t="s">
        <v>33</v>
      </c>
      <c r="H1371">
        <v>13</v>
      </c>
      <c r="I1371">
        <v>2</v>
      </c>
      <c r="J1371" t="str">
        <f t="shared" si="43"/>
        <v>College</v>
      </c>
      <c r="K1371" t="s">
        <v>53</v>
      </c>
      <c r="L1371">
        <v>4</v>
      </c>
      <c r="M1371" t="s">
        <v>35</v>
      </c>
      <c r="N1371" s="2">
        <v>84</v>
      </c>
      <c r="O1371">
        <v>3</v>
      </c>
      <c r="P1371">
        <v>2</v>
      </c>
      <c r="Q1371" t="s">
        <v>36</v>
      </c>
      <c r="R1371">
        <v>3</v>
      </c>
      <c r="S1371" t="s">
        <v>37</v>
      </c>
      <c r="T1371" s="2">
        <v>9854</v>
      </c>
      <c r="U1371" s="2">
        <v>23352</v>
      </c>
      <c r="V1371">
        <v>3</v>
      </c>
      <c r="W1371" t="s">
        <v>32</v>
      </c>
      <c r="X1371">
        <v>11</v>
      </c>
      <c r="Y1371">
        <v>3</v>
      </c>
      <c r="Z1371">
        <v>4</v>
      </c>
      <c r="AA1371">
        <v>80</v>
      </c>
      <c r="AB1371">
        <v>0</v>
      </c>
      <c r="AC1371">
        <v>6</v>
      </c>
      <c r="AD1371">
        <v>0</v>
      </c>
      <c r="AE1371">
        <v>3</v>
      </c>
      <c r="AF1371">
        <v>2</v>
      </c>
      <c r="AG1371">
        <v>0</v>
      </c>
      <c r="AH1371">
        <v>2</v>
      </c>
      <c r="AI1371">
        <v>2</v>
      </c>
    </row>
    <row r="1372" spans="1:35" x14ac:dyDescent="0.25">
      <c r="A1372">
        <v>47</v>
      </c>
      <c r="B1372" t="str">
        <f t="shared" si="42"/>
        <v>45-54</v>
      </c>
      <c r="C1372" s="1" t="s">
        <v>38</v>
      </c>
      <c r="D1372" s="17">
        <f>IF(Table1[[#This Row],[Attrition]]="Yes",1,0)</f>
        <v>0</v>
      </c>
      <c r="E1372" t="s">
        <v>49</v>
      </c>
      <c r="F1372" s="2">
        <v>1169</v>
      </c>
      <c r="G1372" t="s">
        <v>39</v>
      </c>
      <c r="H1372">
        <v>14</v>
      </c>
      <c r="I1372">
        <v>4</v>
      </c>
      <c r="J1372" t="str">
        <f t="shared" si="43"/>
        <v>Master</v>
      </c>
      <c r="K1372" t="s">
        <v>54</v>
      </c>
      <c r="L1372">
        <v>3</v>
      </c>
      <c r="M1372" t="s">
        <v>40</v>
      </c>
      <c r="N1372" s="2">
        <v>64</v>
      </c>
      <c r="O1372">
        <v>3</v>
      </c>
      <c r="P1372">
        <v>2</v>
      </c>
      <c r="Q1372" t="s">
        <v>41</v>
      </c>
      <c r="R1372">
        <v>2</v>
      </c>
      <c r="S1372" t="s">
        <v>42</v>
      </c>
      <c r="T1372" s="2">
        <v>5467</v>
      </c>
      <c r="U1372" s="2">
        <v>2125</v>
      </c>
      <c r="V1372">
        <v>8</v>
      </c>
      <c r="W1372" t="s">
        <v>38</v>
      </c>
      <c r="X1372">
        <v>18</v>
      </c>
      <c r="Y1372">
        <v>3</v>
      </c>
      <c r="Z1372">
        <v>3</v>
      </c>
      <c r="AA1372">
        <v>80</v>
      </c>
      <c r="AB1372">
        <v>1</v>
      </c>
      <c r="AC1372">
        <v>16</v>
      </c>
      <c r="AD1372">
        <v>4</v>
      </c>
      <c r="AE1372">
        <v>4</v>
      </c>
      <c r="AF1372">
        <v>8</v>
      </c>
      <c r="AG1372">
        <v>7</v>
      </c>
      <c r="AH1372">
        <v>1</v>
      </c>
      <c r="AI1372">
        <v>7</v>
      </c>
    </row>
    <row r="1373" spans="1:35" x14ac:dyDescent="0.25">
      <c r="A1373">
        <v>56</v>
      </c>
      <c r="B1373" t="str">
        <f t="shared" si="42"/>
        <v>55-64</v>
      </c>
      <c r="C1373" s="1" t="s">
        <v>38</v>
      </c>
      <c r="D1373" s="17">
        <f>IF(Table1[[#This Row],[Attrition]]="Yes",1,0)</f>
        <v>0</v>
      </c>
      <c r="E1373" t="s">
        <v>57</v>
      </c>
      <c r="F1373" s="2">
        <v>1443</v>
      </c>
      <c r="G1373" t="s">
        <v>33</v>
      </c>
      <c r="H1373">
        <v>11</v>
      </c>
      <c r="I1373">
        <v>5</v>
      </c>
      <c r="J1373" t="str">
        <f t="shared" si="43"/>
        <v>Doctor</v>
      </c>
      <c r="K1373" t="s">
        <v>53</v>
      </c>
      <c r="L1373">
        <v>4</v>
      </c>
      <c r="M1373" t="s">
        <v>35</v>
      </c>
      <c r="N1373" s="2">
        <v>89</v>
      </c>
      <c r="O1373">
        <v>2</v>
      </c>
      <c r="P1373">
        <v>2</v>
      </c>
      <c r="Q1373" t="s">
        <v>36</v>
      </c>
      <c r="R1373">
        <v>1</v>
      </c>
      <c r="S1373" t="s">
        <v>42</v>
      </c>
      <c r="T1373" s="2">
        <v>5380</v>
      </c>
      <c r="U1373" s="2">
        <v>20328</v>
      </c>
      <c r="V1373">
        <v>4</v>
      </c>
      <c r="W1373" t="s">
        <v>38</v>
      </c>
      <c r="X1373">
        <v>16</v>
      </c>
      <c r="Y1373">
        <v>3</v>
      </c>
      <c r="Z1373">
        <v>3</v>
      </c>
      <c r="AA1373">
        <v>80</v>
      </c>
      <c r="AB1373">
        <v>1</v>
      </c>
      <c r="AC1373">
        <v>6</v>
      </c>
      <c r="AD1373">
        <v>3</v>
      </c>
      <c r="AE1373">
        <v>3</v>
      </c>
      <c r="AF1373">
        <v>0</v>
      </c>
      <c r="AG1373">
        <v>0</v>
      </c>
      <c r="AH1373">
        <v>0</v>
      </c>
      <c r="AI1373">
        <v>0</v>
      </c>
    </row>
    <row r="1374" spans="1:35" x14ac:dyDescent="0.25">
      <c r="A1374">
        <v>39</v>
      </c>
      <c r="B1374" t="str">
        <f t="shared" si="42"/>
        <v>35-44</v>
      </c>
      <c r="C1374" s="1" t="s">
        <v>38</v>
      </c>
      <c r="D1374" s="17">
        <f>IF(Table1[[#This Row],[Attrition]]="Yes",1,0)</f>
        <v>0</v>
      </c>
      <c r="E1374" t="s">
        <v>57</v>
      </c>
      <c r="F1374" s="2">
        <v>867</v>
      </c>
      <c r="G1374" t="s">
        <v>39</v>
      </c>
      <c r="H1374">
        <v>9</v>
      </c>
      <c r="I1374">
        <v>2</v>
      </c>
      <c r="J1374" t="str">
        <f t="shared" si="43"/>
        <v>College</v>
      </c>
      <c r="K1374" t="s">
        <v>45</v>
      </c>
      <c r="L1374">
        <v>1</v>
      </c>
      <c r="M1374" t="s">
        <v>40</v>
      </c>
      <c r="N1374" s="2">
        <v>87</v>
      </c>
      <c r="O1374">
        <v>3</v>
      </c>
      <c r="P1374">
        <v>2</v>
      </c>
      <c r="Q1374" t="s">
        <v>47</v>
      </c>
      <c r="R1374">
        <v>1</v>
      </c>
      <c r="S1374" t="s">
        <v>42</v>
      </c>
      <c r="T1374" s="2">
        <v>5151</v>
      </c>
      <c r="U1374" s="2">
        <v>12315</v>
      </c>
      <c r="V1374">
        <v>1</v>
      </c>
      <c r="W1374" t="s">
        <v>38</v>
      </c>
      <c r="X1374">
        <v>25</v>
      </c>
      <c r="Y1374">
        <v>4</v>
      </c>
      <c r="Z1374">
        <v>4</v>
      </c>
      <c r="AA1374">
        <v>80</v>
      </c>
      <c r="AB1374">
        <v>1</v>
      </c>
      <c r="AC1374">
        <v>10</v>
      </c>
      <c r="AD1374">
        <v>3</v>
      </c>
      <c r="AE1374">
        <v>3</v>
      </c>
      <c r="AF1374">
        <v>10</v>
      </c>
      <c r="AG1374">
        <v>0</v>
      </c>
      <c r="AH1374">
        <v>7</v>
      </c>
      <c r="AI1374">
        <v>9</v>
      </c>
    </row>
    <row r="1375" spans="1:35" x14ac:dyDescent="0.25">
      <c r="A1375">
        <v>38</v>
      </c>
      <c r="B1375" t="str">
        <f t="shared" si="42"/>
        <v>35-44</v>
      </c>
      <c r="C1375" s="1" t="s">
        <v>38</v>
      </c>
      <c r="D1375" s="17">
        <f>IF(Table1[[#This Row],[Attrition]]="Yes",1,0)</f>
        <v>0</v>
      </c>
      <c r="E1375" t="s">
        <v>58</v>
      </c>
      <c r="F1375" s="2">
        <v>1394</v>
      </c>
      <c r="G1375" t="s">
        <v>39</v>
      </c>
      <c r="H1375">
        <v>8</v>
      </c>
      <c r="I1375">
        <v>3</v>
      </c>
      <c r="J1375" t="str">
        <f t="shared" si="43"/>
        <v>Bachelor</v>
      </c>
      <c r="K1375" t="s">
        <v>45</v>
      </c>
      <c r="L1375">
        <v>4</v>
      </c>
      <c r="M1375" t="s">
        <v>35</v>
      </c>
      <c r="N1375" s="2">
        <v>58</v>
      </c>
      <c r="O1375">
        <v>2</v>
      </c>
      <c r="P1375">
        <v>2</v>
      </c>
      <c r="Q1375" t="s">
        <v>41</v>
      </c>
      <c r="R1375">
        <v>2</v>
      </c>
      <c r="S1375" t="s">
        <v>46</v>
      </c>
      <c r="T1375" s="2">
        <v>2133</v>
      </c>
      <c r="U1375" s="2">
        <v>18115</v>
      </c>
      <c r="V1375">
        <v>1</v>
      </c>
      <c r="W1375" t="s">
        <v>32</v>
      </c>
      <c r="X1375">
        <v>16</v>
      </c>
      <c r="Y1375">
        <v>3</v>
      </c>
      <c r="Z1375">
        <v>3</v>
      </c>
      <c r="AA1375">
        <v>80</v>
      </c>
      <c r="AB1375">
        <v>1</v>
      </c>
      <c r="AC1375">
        <v>20</v>
      </c>
      <c r="AD1375">
        <v>3</v>
      </c>
      <c r="AE1375">
        <v>3</v>
      </c>
      <c r="AF1375">
        <v>20</v>
      </c>
      <c r="AG1375">
        <v>11</v>
      </c>
      <c r="AH1375">
        <v>0</v>
      </c>
      <c r="AI1375">
        <v>7</v>
      </c>
    </row>
    <row r="1376" spans="1:35" x14ac:dyDescent="0.25">
      <c r="A1376">
        <v>58</v>
      </c>
      <c r="B1376" t="str">
        <f t="shared" si="42"/>
        <v>55-64</v>
      </c>
      <c r="C1376" s="1" t="s">
        <v>38</v>
      </c>
      <c r="D1376" s="17">
        <f>IF(Table1[[#This Row],[Attrition]]="Yes",1,0)</f>
        <v>0</v>
      </c>
      <c r="E1376" t="s">
        <v>57</v>
      </c>
      <c r="F1376" s="2">
        <v>605</v>
      </c>
      <c r="G1376" t="s">
        <v>33</v>
      </c>
      <c r="H1376">
        <v>21</v>
      </c>
      <c r="I1376">
        <v>3</v>
      </c>
      <c r="J1376" t="str">
        <f t="shared" si="43"/>
        <v>Bachelor</v>
      </c>
      <c r="K1376" t="s">
        <v>34</v>
      </c>
      <c r="L1376">
        <v>4</v>
      </c>
      <c r="M1376" t="s">
        <v>35</v>
      </c>
      <c r="N1376" s="2">
        <v>72</v>
      </c>
      <c r="O1376">
        <v>3</v>
      </c>
      <c r="P1376">
        <v>4</v>
      </c>
      <c r="Q1376" t="s">
        <v>50</v>
      </c>
      <c r="R1376">
        <v>4</v>
      </c>
      <c r="S1376" t="s">
        <v>42</v>
      </c>
      <c r="T1376" s="2">
        <v>17875</v>
      </c>
      <c r="U1376" s="2">
        <v>11761</v>
      </c>
      <c r="V1376">
        <v>4</v>
      </c>
      <c r="W1376" t="s">
        <v>32</v>
      </c>
      <c r="X1376">
        <v>13</v>
      </c>
      <c r="Y1376">
        <v>3</v>
      </c>
      <c r="Z1376">
        <v>3</v>
      </c>
      <c r="AA1376">
        <v>80</v>
      </c>
      <c r="AB1376">
        <v>1</v>
      </c>
      <c r="AC1376">
        <v>29</v>
      </c>
      <c r="AD1376">
        <v>2</v>
      </c>
      <c r="AE1376">
        <v>2</v>
      </c>
      <c r="AF1376">
        <v>1</v>
      </c>
      <c r="AG1376">
        <v>0</v>
      </c>
      <c r="AH1376">
        <v>0</v>
      </c>
      <c r="AI1376">
        <v>0</v>
      </c>
    </row>
    <row r="1377" spans="1:35" x14ac:dyDescent="0.25">
      <c r="A1377">
        <v>32</v>
      </c>
      <c r="B1377" t="str">
        <f t="shared" si="42"/>
        <v>25-34</v>
      </c>
      <c r="C1377" s="1" t="s">
        <v>32</v>
      </c>
      <c r="D1377" s="17">
        <f>IF(Table1[[#This Row],[Attrition]]="Yes",1,0)</f>
        <v>1</v>
      </c>
      <c r="E1377" t="s">
        <v>58</v>
      </c>
      <c r="F1377" s="2">
        <v>238</v>
      </c>
      <c r="G1377" t="s">
        <v>39</v>
      </c>
      <c r="H1377">
        <v>5</v>
      </c>
      <c r="I1377">
        <v>2</v>
      </c>
      <c r="J1377" t="str">
        <f t="shared" si="43"/>
        <v>College</v>
      </c>
      <c r="K1377" t="s">
        <v>34</v>
      </c>
      <c r="L1377">
        <v>1</v>
      </c>
      <c r="M1377" t="s">
        <v>35</v>
      </c>
      <c r="N1377" s="2">
        <v>47</v>
      </c>
      <c r="O1377">
        <v>4</v>
      </c>
      <c r="P1377">
        <v>1</v>
      </c>
      <c r="Q1377" t="s">
        <v>41</v>
      </c>
      <c r="R1377">
        <v>3</v>
      </c>
      <c r="S1377" t="s">
        <v>37</v>
      </c>
      <c r="T1377" s="2">
        <v>2432</v>
      </c>
      <c r="U1377" s="2">
        <v>15318</v>
      </c>
      <c r="V1377">
        <v>3</v>
      </c>
      <c r="W1377" t="s">
        <v>32</v>
      </c>
      <c r="X1377">
        <v>14</v>
      </c>
      <c r="Y1377">
        <v>3</v>
      </c>
      <c r="Z1377">
        <v>1</v>
      </c>
      <c r="AA1377">
        <v>80</v>
      </c>
      <c r="AB1377">
        <v>0</v>
      </c>
      <c r="AC1377">
        <v>8</v>
      </c>
      <c r="AD1377">
        <v>2</v>
      </c>
      <c r="AE1377">
        <v>3</v>
      </c>
      <c r="AF1377">
        <v>4</v>
      </c>
      <c r="AG1377">
        <v>1</v>
      </c>
      <c r="AH1377">
        <v>0</v>
      </c>
      <c r="AI1377">
        <v>3</v>
      </c>
    </row>
    <row r="1378" spans="1:35" x14ac:dyDescent="0.25">
      <c r="A1378">
        <v>38</v>
      </c>
      <c r="B1378" t="str">
        <f t="shared" si="42"/>
        <v>35-44</v>
      </c>
      <c r="C1378" s="1" t="s">
        <v>38</v>
      </c>
      <c r="D1378" s="17">
        <f>IF(Table1[[#This Row],[Attrition]]="Yes",1,0)</f>
        <v>0</v>
      </c>
      <c r="E1378" t="s">
        <v>57</v>
      </c>
      <c r="F1378" s="2">
        <v>1206</v>
      </c>
      <c r="G1378" t="s">
        <v>39</v>
      </c>
      <c r="H1378">
        <v>9</v>
      </c>
      <c r="I1378">
        <v>2</v>
      </c>
      <c r="J1378" t="str">
        <f t="shared" si="43"/>
        <v>College</v>
      </c>
      <c r="K1378" t="s">
        <v>34</v>
      </c>
      <c r="L1378">
        <v>2</v>
      </c>
      <c r="M1378" t="s">
        <v>40</v>
      </c>
      <c r="N1378" s="2">
        <v>71</v>
      </c>
      <c r="O1378">
        <v>3</v>
      </c>
      <c r="P1378">
        <v>1</v>
      </c>
      <c r="Q1378" t="s">
        <v>41</v>
      </c>
      <c r="R1378">
        <v>4</v>
      </c>
      <c r="S1378" t="s">
        <v>46</v>
      </c>
      <c r="T1378" s="2">
        <v>4771</v>
      </c>
      <c r="U1378" s="2">
        <v>14293</v>
      </c>
      <c r="V1378">
        <v>2</v>
      </c>
      <c r="W1378" t="s">
        <v>38</v>
      </c>
      <c r="X1378">
        <v>19</v>
      </c>
      <c r="Y1378">
        <v>3</v>
      </c>
      <c r="Z1378">
        <v>4</v>
      </c>
      <c r="AA1378">
        <v>80</v>
      </c>
      <c r="AB1378">
        <v>2</v>
      </c>
      <c r="AC1378">
        <v>10</v>
      </c>
      <c r="AD1378">
        <v>0</v>
      </c>
      <c r="AE1378">
        <v>4</v>
      </c>
      <c r="AF1378">
        <v>5</v>
      </c>
      <c r="AG1378">
        <v>2</v>
      </c>
      <c r="AH1378">
        <v>0</v>
      </c>
      <c r="AI1378">
        <v>3</v>
      </c>
    </row>
    <row r="1379" spans="1:35" x14ac:dyDescent="0.25">
      <c r="A1379">
        <v>49</v>
      </c>
      <c r="B1379" t="str">
        <f t="shared" si="42"/>
        <v>45-54</v>
      </c>
      <c r="C1379" s="1" t="s">
        <v>38</v>
      </c>
      <c r="D1379" s="17">
        <f>IF(Table1[[#This Row],[Attrition]]="Yes",1,0)</f>
        <v>0</v>
      </c>
      <c r="E1379" t="s">
        <v>58</v>
      </c>
      <c r="F1379" s="2">
        <v>1064</v>
      </c>
      <c r="G1379" t="s">
        <v>39</v>
      </c>
      <c r="H1379">
        <v>2</v>
      </c>
      <c r="I1379">
        <v>1</v>
      </c>
      <c r="J1379" t="str">
        <f t="shared" si="43"/>
        <v>Below College</v>
      </c>
      <c r="K1379" t="s">
        <v>34</v>
      </c>
      <c r="L1379">
        <v>2</v>
      </c>
      <c r="M1379" t="s">
        <v>40</v>
      </c>
      <c r="N1379" s="2">
        <v>42</v>
      </c>
      <c r="O1379">
        <v>3</v>
      </c>
      <c r="P1379">
        <v>5</v>
      </c>
      <c r="Q1379" t="s">
        <v>52</v>
      </c>
      <c r="R1379">
        <v>4</v>
      </c>
      <c r="S1379" t="s">
        <v>42</v>
      </c>
      <c r="T1379" s="2">
        <v>19161</v>
      </c>
      <c r="U1379" s="2">
        <v>13738</v>
      </c>
      <c r="V1379">
        <v>3</v>
      </c>
      <c r="W1379" t="s">
        <v>38</v>
      </c>
      <c r="X1379">
        <v>15</v>
      </c>
      <c r="Y1379">
        <v>3</v>
      </c>
      <c r="Z1379">
        <v>4</v>
      </c>
      <c r="AA1379">
        <v>80</v>
      </c>
      <c r="AB1379">
        <v>0</v>
      </c>
      <c r="AC1379">
        <v>28</v>
      </c>
      <c r="AD1379">
        <v>3</v>
      </c>
      <c r="AE1379">
        <v>3</v>
      </c>
      <c r="AF1379">
        <v>5</v>
      </c>
      <c r="AG1379">
        <v>4</v>
      </c>
      <c r="AH1379">
        <v>4</v>
      </c>
      <c r="AI1379">
        <v>3</v>
      </c>
    </row>
    <row r="1380" spans="1:35" x14ac:dyDescent="0.25">
      <c r="A1380">
        <v>42</v>
      </c>
      <c r="B1380" t="str">
        <f t="shared" si="42"/>
        <v>35-44</v>
      </c>
      <c r="C1380" s="1" t="s">
        <v>38</v>
      </c>
      <c r="D1380" s="17">
        <f>IF(Table1[[#This Row],[Attrition]]="Yes",1,0)</f>
        <v>0</v>
      </c>
      <c r="E1380" t="s">
        <v>57</v>
      </c>
      <c r="F1380" s="2">
        <v>419</v>
      </c>
      <c r="G1380" t="s">
        <v>33</v>
      </c>
      <c r="H1380">
        <v>12</v>
      </c>
      <c r="I1380">
        <v>4</v>
      </c>
      <c r="J1380" t="str">
        <f t="shared" si="43"/>
        <v>Master</v>
      </c>
      <c r="K1380" t="s">
        <v>53</v>
      </c>
      <c r="L1380">
        <v>2</v>
      </c>
      <c r="M1380" t="s">
        <v>40</v>
      </c>
      <c r="N1380" s="2">
        <v>77</v>
      </c>
      <c r="O1380">
        <v>3</v>
      </c>
      <c r="P1380">
        <v>2</v>
      </c>
      <c r="Q1380" t="s">
        <v>36</v>
      </c>
      <c r="R1380">
        <v>4</v>
      </c>
      <c r="S1380" t="s">
        <v>46</v>
      </c>
      <c r="T1380" s="2">
        <v>5087</v>
      </c>
      <c r="U1380" s="2">
        <v>2900</v>
      </c>
      <c r="V1380">
        <v>3</v>
      </c>
      <c r="W1380" t="s">
        <v>32</v>
      </c>
      <c r="X1380">
        <v>12</v>
      </c>
      <c r="Y1380">
        <v>3</v>
      </c>
      <c r="Z1380">
        <v>3</v>
      </c>
      <c r="AA1380">
        <v>80</v>
      </c>
      <c r="AB1380">
        <v>2</v>
      </c>
      <c r="AC1380">
        <v>14</v>
      </c>
      <c r="AD1380">
        <v>4</v>
      </c>
      <c r="AE1380">
        <v>3</v>
      </c>
      <c r="AF1380">
        <v>0</v>
      </c>
      <c r="AG1380">
        <v>0</v>
      </c>
      <c r="AH1380">
        <v>0</v>
      </c>
      <c r="AI1380">
        <v>0</v>
      </c>
    </row>
    <row r="1381" spans="1:35" x14ac:dyDescent="0.25">
      <c r="A1381">
        <v>27</v>
      </c>
      <c r="B1381" t="str">
        <f t="shared" si="42"/>
        <v>25-34</v>
      </c>
      <c r="C1381" s="1" t="s">
        <v>32</v>
      </c>
      <c r="D1381" s="17">
        <f>IF(Table1[[#This Row],[Attrition]]="Yes",1,0)</f>
        <v>1</v>
      </c>
      <c r="E1381" t="s">
        <v>58</v>
      </c>
      <c r="F1381" s="2">
        <v>1337</v>
      </c>
      <c r="G1381" t="s">
        <v>55</v>
      </c>
      <c r="H1381">
        <v>22</v>
      </c>
      <c r="I1381">
        <v>3</v>
      </c>
      <c r="J1381" t="str">
        <f t="shared" si="43"/>
        <v>Bachelor</v>
      </c>
      <c r="K1381" t="s">
        <v>55</v>
      </c>
      <c r="L1381">
        <v>1</v>
      </c>
      <c r="M1381" t="s">
        <v>35</v>
      </c>
      <c r="N1381" s="2">
        <v>58</v>
      </c>
      <c r="O1381">
        <v>2</v>
      </c>
      <c r="P1381">
        <v>1</v>
      </c>
      <c r="Q1381" t="s">
        <v>55</v>
      </c>
      <c r="R1381">
        <v>2</v>
      </c>
      <c r="S1381" t="s">
        <v>42</v>
      </c>
      <c r="T1381" s="2">
        <v>2863</v>
      </c>
      <c r="U1381" s="2">
        <v>19555</v>
      </c>
      <c r="V1381">
        <v>1</v>
      </c>
      <c r="W1381" t="s">
        <v>38</v>
      </c>
      <c r="X1381">
        <v>12</v>
      </c>
      <c r="Y1381">
        <v>3</v>
      </c>
      <c r="Z1381">
        <v>1</v>
      </c>
      <c r="AA1381">
        <v>80</v>
      </c>
      <c r="AB1381">
        <v>0</v>
      </c>
      <c r="AC1381">
        <v>1</v>
      </c>
      <c r="AD1381">
        <v>2</v>
      </c>
      <c r="AE1381">
        <v>3</v>
      </c>
      <c r="AF1381">
        <v>1</v>
      </c>
      <c r="AG1381">
        <v>0</v>
      </c>
      <c r="AH1381">
        <v>0</v>
      </c>
      <c r="AI1381">
        <v>0</v>
      </c>
    </row>
    <row r="1382" spans="1:35" x14ac:dyDescent="0.25">
      <c r="A1382">
        <v>35</v>
      </c>
      <c r="B1382" t="str">
        <f t="shared" si="42"/>
        <v>35-44</v>
      </c>
      <c r="C1382" s="1" t="s">
        <v>38</v>
      </c>
      <c r="D1382" s="17">
        <f>IF(Table1[[#This Row],[Attrition]]="Yes",1,0)</f>
        <v>0</v>
      </c>
      <c r="E1382" t="s">
        <v>57</v>
      </c>
      <c r="F1382" s="2">
        <v>682</v>
      </c>
      <c r="G1382" t="s">
        <v>33</v>
      </c>
      <c r="H1382">
        <v>18</v>
      </c>
      <c r="I1382">
        <v>4</v>
      </c>
      <c r="J1382" t="str">
        <f t="shared" si="43"/>
        <v>Master</v>
      </c>
      <c r="K1382" t="s">
        <v>45</v>
      </c>
      <c r="L1382">
        <v>2</v>
      </c>
      <c r="M1382" t="s">
        <v>40</v>
      </c>
      <c r="N1382" s="2">
        <v>71</v>
      </c>
      <c r="O1382">
        <v>3</v>
      </c>
      <c r="P1382">
        <v>2</v>
      </c>
      <c r="Q1382" t="s">
        <v>36</v>
      </c>
      <c r="R1382">
        <v>1</v>
      </c>
      <c r="S1382" t="s">
        <v>42</v>
      </c>
      <c r="T1382" s="2">
        <v>5561</v>
      </c>
      <c r="U1382" s="2">
        <v>15975</v>
      </c>
      <c r="V1382">
        <v>0</v>
      </c>
      <c r="W1382" t="s">
        <v>38</v>
      </c>
      <c r="X1382">
        <v>16</v>
      </c>
      <c r="Y1382">
        <v>3</v>
      </c>
      <c r="Z1382">
        <v>4</v>
      </c>
      <c r="AA1382">
        <v>80</v>
      </c>
      <c r="AB1382">
        <v>1</v>
      </c>
      <c r="AC1382">
        <v>6</v>
      </c>
      <c r="AD1382">
        <v>2</v>
      </c>
      <c r="AE1382">
        <v>1</v>
      </c>
      <c r="AF1382">
        <v>5</v>
      </c>
      <c r="AG1382">
        <v>3</v>
      </c>
      <c r="AH1382">
        <v>0</v>
      </c>
      <c r="AI1382">
        <v>4</v>
      </c>
    </row>
    <row r="1383" spans="1:35" x14ac:dyDescent="0.25">
      <c r="A1383">
        <v>28</v>
      </c>
      <c r="B1383" t="str">
        <f t="shared" si="42"/>
        <v>25-34</v>
      </c>
      <c r="C1383" s="1" t="s">
        <v>38</v>
      </c>
      <c r="D1383" s="17">
        <f>IF(Table1[[#This Row],[Attrition]]="Yes",1,0)</f>
        <v>0</v>
      </c>
      <c r="E1383" t="s">
        <v>49</v>
      </c>
      <c r="F1383" s="2">
        <v>1103</v>
      </c>
      <c r="G1383" t="s">
        <v>39</v>
      </c>
      <c r="H1383">
        <v>16</v>
      </c>
      <c r="I1383">
        <v>3</v>
      </c>
      <c r="J1383" t="str">
        <f t="shared" si="43"/>
        <v>Bachelor</v>
      </c>
      <c r="K1383" t="s">
        <v>45</v>
      </c>
      <c r="L1383">
        <v>3</v>
      </c>
      <c r="M1383" t="s">
        <v>40</v>
      </c>
      <c r="N1383" s="2">
        <v>49</v>
      </c>
      <c r="O1383">
        <v>3</v>
      </c>
      <c r="P1383">
        <v>1</v>
      </c>
      <c r="Q1383" t="s">
        <v>41</v>
      </c>
      <c r="R1383">
        <v>3</v>
      </c>
      <c r="S1383" t="s">
        <v>37</v>
      </c>
      <c r="T1383" s="2">
        <v>2144</v>
      </c>
      <c r="U1383" s="2">
        <v>2122</v>
      </c>
      <c r="V1383">
        <v>1</v>
      </c>
      <c r="W1383" t="s">
        <v>38</v>
      </c>
      <c r="X1383">
        <v>14</v>
      </c>
      <c r="Y1383">
        <v>3</v>
      </c>
      <c r="Z1383">
        <v>3</v>
      </c>
      <c r="AA1383">
        <v>80</v>
      </c>
      <c r="AB1383">
        <v>0</v>
      </c>
      <c r="AC1383">
        <v>5</v>
      </c>
      <c r="AD1383">
        <v>3</v>
      </c>
      <c r="AE1383">
        <v>2</v>
      </c>
      <c r="AF1383">
        <v>5</v>
      </c>
      <c r="AG1383">
        <v>3</v>
      </c>
      <c r="AH1383">
        <v>1</v>
      </c>
      <c r="AI1383">
        <v>4</v>
      </c>
    </row>
    <row r="1384" spans="1:35" x14ac:dyDescent="0.25">
      <c r="A1384">
        <v>31</v>
      </c>
      <c r="B1384" t="str">
        <f t="shared" si="42"/>
        <v>25-34</v>
      </c>
      <c r="C1384" s="1" t="s">
        <v>38</v>
      </c>
      <c r="D1384" s="17">
        <f>IF(Table1[[#This Row],[Attrition]]="Yes",1,0)</f>
        <v>0</v>
      </c>
      <c r="E1384" t="s">
        <v>49</v>
      </c>
      <c r="F1384" s="2">
        <v>976</v>
      </c>
      <c r="G1384" t="s">
        <v>39</v>
      </c>
      <c r="H1384">
        <v>3</v>
      </c>
      <c r="I1384">
        <v>2</v>
      </c>
      <c r="J1384" t="str">
        <f t="shared" si="43"/>
        <v>College</v>
      </c>
      <c r="K1384" t="s">
        <v>45</v>
      </c>
      <c r="L1384">
        <v>3</v>
      </c>
      <c r="M1384" t="s">
        <v>40</v>
      </c>
      <c r="N1384" s="2">
        <v>48</v>
      </c>
      <c r="O1384">
        <v>3</v>
      </c>
      <c r="P1384">
        <v>1</v>
      </c>
      <c r="Q1384" t="s">
        <v>41</v>
      </c>
      <c r="R1384">
        <v>1</v>
      </c>
      <c r="S1384" t="s">
        <v>46</v>
      </c>
      <c r="T1384" s="2">
        <v>3065</v>
      </c>
      <c r="U1384" s="2">
        <v>3995</v>
      </c>
      <c r="V1384">
        <v>1</v>
      </c>
      <c r="W1384" t="s">
        <v>32</v>
      </c>
      <c r="X1384">
        <v>13</v>
      </c>
      <c r="Y1384">
        <v>3</v>
      </c>
      <c r="Z1384">
        <v>4</v>
      </c>
      <c r="AA1384">
        <v>80</v>
      </c>
      <c r="AB1384">
        <v>1</v>
      </c>
      <c r="AC1384">
        <v>4</v>
      </c>
      <c r="AD1384">
        <v>3</v>
      </c>
      <c r="AE1384">
        <v>4</v>
      </c>
      <c r="AF1384">
        <v>4</v>
      </c>
      <c r="AG1384">
        <v>2</v>
      </c>
      <c r="AH1384">
        <v>2</v>
      </c>
      <c r="AI1384">
        <v>3</v>
      </c>
    </row>
    <row r="1385" spans="1:35" x14ac:dyDescent="0.25">
      <c r="A1385">
        <v>36</v>
      </c>
      <c r="B1385" t="str">
        <f t="shared" si="42"/>
        <v>35-44</v>
      </c>
      <c r="C1385" s="1" t="s">
        <v>38</v>
      </c>
      <c r="D1385" s="17">
        <f>IF(Table1[[#This Row],[Attrition]]="Yes",1,0)</f>
        <v>0</v>
      </c>
      <c r="E1385" t="s">
        <v>49</v>
      </c>
      <c r="F1385" s="2">
        <v>1351</v>
      </c>
      <c r="G1385" t="s">
        <v>39</v>
      </c>
      <c r="H1385">
        <v>9</v>
      </c>
      <c r="I1385">
        <v>4</v>
      </c>
      <c r="J1385" t="str">
        <f t="shared" si="43"/>
        <v>Master</v>
      </c>
      <c r="K1385" t="s">
        <v>34</v>
      </c>
      <c r="L1385">
        <v>1</v>
      </c>
      <c r="M1385" t="s">
        <v>40</v>
      </c>
      <c r="N1385" s="2">
        <v>66</v>
      </c>
      <c r="O1385">
        <v>4</v>
      </c>
      <c r="P1385">
        <v>1</v>
      </c>
      <c r="Q1385" t="s">
        <v>44</v>
      </c>
      <c r="R1385">
        <v>2</v>
      </c>
      <c r="S1385" t="s">
        <v>42</v>
      </c>
      <c r="T1385" s="2">
        <v>2810</v>
      </c>
      <c r="U1385" s="2">
        <v>9238</v>
      </c>
      <c r="V1385">
        <v>1</v>
      </c>
      <c r="W1385" t="s">
        <v>38</v>
      </c>
      <c r="X1385">
        <v>22</v>
      </c>
      <c r="Y1385">
        <v>4</v>
      </c>
      <c r="Z1385">
        <v>2</v>
      </c>
      <c r="AA1385">
        <v>80</v>
      </c>
      <c r="AB1385">
        <v>0</v>
      </c>
      <c r="AC1385">
        <v>5</v>
      </c>
      <c r="AD1385">
        <v>3</v>
      </c>
      <c r="AE1385">
        <v>3</v>
      </c>
      <c r="AF1385">
        <v>5</v>
      </c>
      <c r="AG1385">
        <v>4</v>
      </c>
      <c r="AH1385">
        <v>0</v>
      </c>
      <c r="AI1385">
        <v>2</v>
      </c>
    </row>
    <row r="1386" spans="1:35" x14ac:dyDescent="0.25">
      <c r="A1386">
        <v>34</v>
      </c>
      <c r="B1386" t="str">
        <f t="shared" si="42"/>
        <v>25-34</v>
      </c>
      <c r="C1386" s="1" t="s">
        <v>38</v>
      </c>
      <c r="D1386" s="17">
        <f>IF(Table1[[#This Row],[Attrition]]="Yes",1,0)</f>
        <v>0</v>
      </c>
      <c r="E1386" t="s">
        <v>57</v>
      </c>
      <c r="F1386" s="2">
        <v>937</v>
      </c>
      <c r="G1386" t="s">
        <v>33</v>
      </c>
      <c r="H1386">
        <v>1</v>
      </c>
      <c r="I1386">
        <v>3</v>
      </c>
      <c r="J1386" t="str">
        <f t="shared" si="43"/>
        <v>Bachelor</v>
      </c>
      <c r="K1386" t="s">
        <v>53</v>
      </c>
      <c r="L1386">
        <v>1</v>
      </c>
      <c r="M1386" t="s">
        <v>40</v>
      </c>
      <c r="N1386" s="2">
        <v>32</v>
      </c>
      <c r="O1386">
        <v>3</v>
      </c>
      <c r="P1386">
        <v>3</v>
      </c>
      <c r="Q1386" t="s">
        <v>36</v>
      </c>
      <c r="R1386">
        <v>4</v>
      </c>
      <c r="S1386" t="s">
        <v>37</v>
      </c>
      <c r="T1386" s="2">
        <v>9888</v>
      </c>
      <c r="U1386" s="2">
        <v>6770</v>
      </c>
      <c r="V1386">
        <v>1</v>
      </c>
      <c r="W1386" t="s">
        <v>38</v>
      </c>
      <c r="X1386">
        <v>21</v>
      </c>
      <c r="Y1386">
        <v>4</v>
      </c>
      <c r="Z1386">
        <v>1</v>
      </c>
      <c r="AA1386">
        <v>80</v>
      </c>
      <c r="AB1386">
        <v>0</v>
      </c>
      <c r="AC1386">
        <v>14</v>
      </c>
      <c r="AD1386">
        <v>3</v>
      </c>
      <c r="AE1386">
        <v>2</v>
      </c>
      <c r="AF1386">
        <v>14</v>
      </c>
      <c r="AG1386">
        <v>8</v>
      </c>
      <c r="AH1386">
        <v>2</v>
      </c>
      <c r="AI1386">
        <v>1</v>
      </c>
    </row>
    <row r="1387" spans="1:35" x14ac:dyDescent="0.25">
      <c r="A1387">
        <v>34</v>
      </c>
      <c r="B1387" t="str">
        <f t="shared" si="42"/>
        <v>25-34</v>
      </c>
      <c r="C1387" s="1" t="s">
        <v>38</v>
      </c>
      <c r="D1387" s="17">
        <f>IF(Table1[[#This Row],[Attrition]]="Yes",1,0)</f>
        <v>0</v>
      </c>
      <c r="E1387" t="s">
        <v>57</v>
      </c>
      <c r="F1387" s="2">
        <v>1239</v>
      </c>
      <c r="G1387" t="s">
        <v>33</v>
      </c>
      <c r="H1387">
        <v>13</v>
      </c>
      <c r="I1387">
        <v>4</v>
      </c>
      <c r="J1387" t="str">
        <f t="shared" si="43"/>
        <v>Master</v>
      </c>
      <c r="K1387" t="s">
        <v>45</v>
      </c>
      <c r="L1387">
        <v>4</v>
      </c>
      <c r="M1387" t="s">
        <v>40</v>
      </c>
      <c r="N1387" s="2">
        <v>39</v>
      </c>
      <c r="O1387">
        <v>3</v>
      </c>
      <c r="P1387">
        <v>3</v>
      </c>
      <c r="Q1387" t="s">
        <v>36</v>
      </c>
      <c r="R1387">
        <v>3</v>
      </c>
      <c r="S1387" t="s">
        <v>46</v>
      </c>
      <c r="T1387" s="2">
        <v>8628</v>
      </c>
      <c r="U1387" s="2">
        <v>22914</v>
      </c>
      <c r="V1387">
        <v>1</v>
      </c>
      <c r="W1387" t="s">
        <v>38</v>
      </c>
      <c r="X1387">
        <v>18</v>
      </c>
      <c r="Y1387">
        <v>3</v>
      </c>
      <c r="Z1387">
        <v>3</v>
      </c>
      <c r="AA1387">
        <v>80</v>
      </c>
      <c r="AB1387">
        <v>1</v>
      </c>
      <c r="AC1387">
        <v>9</v>
      </c>
      <c r="AD1387">
        <v>2</v>
      </c>
      <c r="AE1387">
        <v>2</v>
      </c>
      <c r="AF1387">
        <v>8</v>
      </c>
      <c r="AG1387">
        <v>7</v>
      </c>
      <c r="AH1387">
        <v>1</v>
      </c>
      <c r="AI1387">
        <v>1</v>
      </c>
    </row>
    <row r="1388" spans="1:35" x14ac:dyDescent="0.25">
      <c r="A1388">
        <v>26</v>
      </c>
      <c r="B1388" t="str">
        <f t="shared" si="42"/>
        <v>25-34</v>
      </c>
      <c r="C1388" s="1" t="s">
        <v>38</v>
      </c>
      <c r="D1388" s="17">
        <f>IF(Table1[[#This Row],[Attrition]]="Yes",1,0)</f>
        <v>0</v>
      </c>
      <c r="E1388" t="s">
        <v>57</v>
      </c>
      <c r="F1388" s="2">
        <v>157</v>
      </c>
      <c r="G1388" t="s">
        <v>39</v>
      </c>
      <c r="H1388">
        <v>1</v>
      </c>
      <c r="I1388">
        <v>3</v>
      </c>
      <c r="J1388" t="str">
        <f t="shared" si="43"/>
        <v>Bachelor</v>
      </c>
      <c r="K1388" t="s">
        <v>45</v>
      </c>
      <c r="L1388">
        <v>3</v>
      </c>
      <c r="M1388" t="s">
        <v>40</v>
      </c>
      <c r="N1388" s="2">
        <v>95</v>
      </c>
      <c r="O1388">
        <v>3</v>
      </c>
      <c r="P1388">
        <v>1</v>
      </c>
      <c r="Q1388" t="s">
        <v>44</v>
      </c>
      <c r="R1388">
        <v>1</v>
      </c>
      <c r="S1388" t="s">
        <v>37</v>
      </c>
      <c r="T1388" s="2">
        <v>2867</v>
      </c>
      <c r="U1388" s="2">
        <v>20006</v>
      </c>
      <c r="V1388">
        <v>0</v>
      </c>
      <c r="W1388" t="s">
        <v>38</v>
      </c>
      <c r="X1388">
        <v>13</v>
      </c>
      <c r="Y1388">
        <v>3</v>
      </c>
      <c r="Z1388">
        <v>4</v>
      </c>
      <c r="AA1388">
        <v>80</v>
      </c>
      <c r="AB1388">
        <v>0</v>
      </c>
      <c r="AC1388">
        <v>8</v>
      </c>
      <c r="AD1388">
        <v>6</v>
      </c>
      <c r="AE1388">
        <v>2</v>
      </c>
      <c r="AF1388">
        <v>7</v>
      </c>
      <c r="AG1388">
        <v>7</v>
      </c>
      <c r="AH1388">
        <v>7</v>
      </c>
      <c r="AI1388">
        <v>6</v>
      </c>
    </row>
    <row r="1389" spans="1:35" x14ac:dyDescent="0.25">
      <c r="A1389">
        <v>29</v>
      </c>
      <c r="B1389" t="str">
        <f t="shared" si="42"/>
        <v>25-34</v>
      </c>
      <c r="C1389" s="1" t="s">
        <v>38</v>
      </c>
      <c r="D1389" s="17">
        <f>IF(Table1[[#This Row],[Attrition]]="Yes",1,0)</f>
        <v>0</v>
      </c>
      <c r="E1389" t="s">
        <v>57</v>
      </c>
      <c r="F1389" s="2">
        <v>136</v>
      </c>
      <c r="G1389" t="s">
        <v>39</v>
      </c>
      <c r="H1389">
        <v>1</v>
      </c>
      <c r="I1389">
        <v>3</v>
      </c>
      <c r="J1389" t="str">
        <f t="shared" si="43"/>
        <v>Bachelor</v>
      </c>
      <c r="K1389" t="s">
        <v>34</v>
      </c>
      <c r="L1389">
        <v>1</v>
      </c>
      <c r="M1389" t="s">
        <v>40</v>
      </c>
      <c r="N1389" s="2">
        <v>89</v>
      </c>
      <c r="O1389">
        <v>3</v>
      </c>
      <c r="P1389">
        <v>2</v>
      </c>
      <c r="Q1389" t="s">
        <v>48</v>
      </c>
      <c r="R1389">
        <v>1</v>
      </c>
      <c r="S1389" t="s">
        <v>42</v>
      </c>
      <c r="T1389" s="2">
        <v>5373</v>
      </c>
      <c r="U1389" s="2">
        <v>6225</v>
      </c>
      <c r="V1389">
        <v>0</v>
      </c>
      <c r="W1389" t="s">
        <v>38</v>
      </c>
      <c r="X1389">
        <v>12</v>
      </c>
      <c r="Y1389">
        <v>3</v>
      </c>
      <c r="Z1389">
        <v>1</v>
      </c>
      <c r="AA1389">
        <v>80</v>
      </c>
      <c r="AB1389">
        <v>1</v>
      </c>
      <c r="AC1389">
        <v>6</v>
      </c>
      <c r="AD1389">
        <v>5</v>
      </c>
      <c r="AE1389">
        <v>2</v>
      </c>
      <c r="AF1389">
        <v>5</v>
      </c>
      <c r="AG1389">
        <v>3</v>
      </c>
      <c r="AH1389">
        <v>0</v>
      </c>
      <c r="AI1389">
        <v>2</v>
      </c>
    </row>
    <row r="1390" spans="1:35" x14ac:dyDescent="0.25">
      <c r="A1390">
        <v>32</v>
      </c>
      <c r="B1390" t="str">
        <f t="shared" si="42"/>
        <v>25-34</v>
      </c>
      <c r="C1390" s="1" t="s">
        <v>38</v>
      </c>
      <c r="D1390" s="17">
        <f>IF(Table1[[#This Row],[Attrition]]="Yes",1,0)</f>
        <v>0</v>
      </c>
      <c r="E1390" t="s">
        <v>49</v>
      </c>
      <c r="F1390" s="2">
        <v>1146</v>
      </c>
      <c r="G1390" t="s">
        <v>39</v>
      </c>
      <c r="H1390">
        <v>15</v>
      </c>
      <c r="I1390">
        <v>4</v>
      </c>
      <c r="J1390" t="str">
        <f t="shared" si="43"/>
        <v>Master</v>
      </c>
      <c r="K1390" t="s">
        <v>45</v>
      </c>
      <c r="L1390">
        <v>3</v>
      </c>
      <c r="M1390" t="s">
        <v>35</v>
      </c>
      <c r="N1390" s="2">
        <v>34</v>
      </c>
      <c r="O1390">
        <v>3</v>
      </c>
      <c r="P1390">
        <v>2</v>
      </c>
      <c r="Q1390" t="s">
        <v>48</v>
      </c>
      <c r="R1390">
        <v>4</v>
      </c>
      <c r="S1390" t="s">
        <v>46</v>
      </c>
      <c r="T1390" s="2">
        <v>6667</v>
      </c>
      <c r="U1390" s="2">
        <v>16542</v>
      </c>
      <c r="V1390">
        <v>5</v>
      </c>
      <c r="W1390" t="s">
        <v>38</v>
      </c>
      <c r="X1390">
        <v>18</v>
      </c>
      <c r="Y1390">
        <v>3</v>
      </c>
      <c r="Z1390">
        <v>2</v>
      </c>
      <c r="AA1390">
        <v>80</v>
      </c>
      <c r="AB1390">
        <v>1</v>
      </c>
      <c r="AC1390">
        <v>9</v>
      </c>
      <c r="AD1390">
        <v>6</v>
      </c>
      <c r="AE1390">
        <v>3</v>
      </c>
      <c r="AF1390">
        <v>5</v>
      </c>
      <c r="AG1390">
        <v>1</v>
      </c>
      <c r="AH1390">
        <v>1</v>
      </c>
      <c r="AI1390">
        <v>2</v>
      </c>
    </row>
    <row r="1391" spans="1:35" x14ac:dyDescent="0.25">
      <c r="A1391">
        <v>31</v>
      </c>
      <c r="B1391" t="str">
        <f t="shared" si="42"/>
        <v>25-34</v>
      </c>
      <c r="C1391" s="1" t="s">
        <v>38</v>
      </c>
      <c r="D1391" s="17">
        <f>IF(Table1[[#This Row],[Attrition]]="Yes",1,0)</f>
        <v>0</v>
      </c>
      <c r="E1391" t="s">
        <v>58</v>
      </c>
      <c r="F1391" s="2">
        <v>1125</v>
      </c>
      <c r="G1391" t="s">
        <v>39</v>
      </c>
      <c r="H1391">
        <v>1</v>
      </c>
      <c r="I1391">
        <v>3</v>
      </c>
      <c r="J1391" t="str">
        <f t="shared" si="43"/>
        <v>Bachelor</v>
      </c>
      <c r="K1391" t="s">
        <v>34</v>
      </c>
      <c r="L1391">
        <v>4</v>
      </c>
      <c r="M1391" t="s">
        <v>40</v>
      </c>
      <c r="N1391" s="2">
        <v>48</v>
      </c>
      <c r="O1391">
        <v>1</v>
      </c>
      <c r="P1391">
        <v>2</v>
      </c>
      <c r="Q1391" t="s">
        <v>41</v>
      </c>
      <c r="R1391">
        <v>1</v>
      </c>
      <c r="S1391" t="s">
        <v>42</v>
      </c>
      <c r="T1391" s="2">
        <v>5003</v>
      </c>
      <c r="U1391" s="2">
        <v>5771</v>
      </c>
      <c r="V1391">
        <v>1</v>
      </c>
      <c r="W1391" t="s">
        <v>38</v>
      </c>
      <c r="X1391">
        <v>21</v>
      </c>
      <c r="Y1391">
        <v>4</v>
      </c>
      <c r="Z1391">
        <v>2</v>
      </c>
      <c r="AA1391">
        <v>80</v>
      </c>
      <c r="AB1391">
        <v>0</v>
      </c>
      <c r="AC1391">
        <v>10</v>
      </c>
      <c r="AD1391">
        <v>6</v>
      </c>
      <c r="AE1391">
        <v>3</v>
      </c>
      <c r="AF1391">
        <v>10</v>
      </c>
      <c r="AG1391">
        <v>8</v>
      </c>
      <c r="AH1391">
        <v>8</v>
      </c>
      <c r="AI1391">
        <v>7</v>
      </c>
    </row>
    <row r="1392" spans="1:35" x14ac:dyDescent="0.25">
      <c r="A1392">
        <v>28</v>
      </c>
      <c r="B1392" t="str">
        <f t="shared" si="42"/>
        <v>25-34</v>
      </c>
      <c r="C1392" s="1" t="s">
        <v>32</v>
      </c>
      <c r="D1392" s="17">
        <f>IF(Table1[[#This Row],[Attrition]]="Yes",1,0)</f>
        <v>1</v>
      </c>
      <c r="E1392" t="s">
        <v>57</v>
      </c>
      <c r="F1392" s="2">
        <v>1404</v>
      </c>
      <c r="G1392" t="s">
        <v>39</v>
      </c>
      <c r="H1392">
        <v>17</v>
      </c>
      <c r="I1392">
        <v>3</v>
      </c>
      <c r="J1392" t="str">
        <f t="shared" si="43"/>
        <v>Bachelor</v>
      </c>
      <c r="K1392" t="s">
        <v>54</v>
      </c>
      <c r="L1392">
        <v>3</v>
      </c>
      <c r="M1392" t="s">
        <v>40</v>
      </c>
      <c r="N1392" s="2">
        <v>32</v>
      </c>
      <c r="O1392">
        <v>2</v>
      </c>
      <c r="P1392">
        <v>1</v>
      </c>
      <c r="Q1392" t="s">
        <v>44</v>
      </c>
      <c r="R1392">
        <v>4</v>
      </c>
      <c r="S1392" t="s">
        <v>46</v>
      </c>
      <c r="T1392" s="2">
        <v>2367</v>
      </c>
      <c r="U1392" s="2">
        <v>18779</v>
      </c>
      <c r="V1392">
        <v>5</v>
      </c>
      <c r="W1392" t="s">
        <v>38</v>
      </c>
      <c r="X1392">
        <v>12</v>
      </c>
      <c r="Y1392">
        <v>3</v>
      </c>
      <c r="Z1392">
        <v>1</v>
      </c>
      <c r="AA1392">
        <v>80</v>
      </c>
      <c r="AB1392">
        <v>1</v>
      </c>
      <c r="AC1392">
        <v>6</v>
      </c>
      <c r="AD1392">
        <v>2</v>
      </c>
      <c r="AE1392">
        <v>2</v>
      </c>
      <c r="AF1392">
        <v>4</v>
      </c>
      <c r="AG1392">
        <v>1</v>
      </c>
      <c r="AH1392">
        <v>0</v>
      </c>
      <c r="AI1392">
        <v>3</v>
      </c>
    </row>
    <row r="1393" spans="1:35" x14ac:dyDescent="0.25">
      <c r="A1393">
        <v>38</v>
      </c>
      <c r="B1393" t="str">
        <f t="shared" si="42"/>
        <v>35-44</v>
      </c>
      <c r="C1393" s="1" t="s">
        <v>38</v>
      </c>
      <c r="D1393" s="17">
        <f>IF(Table1[[#This Row],[Attrition]]="Yes",1,0)</f>
        <v>0</v>
      </c>
      <c r="E1393" t="s">
        <v>57</v>
      </c>
      <c r="F1393" s="2">
        <v>1404</v>
      </c>
      <c r="G1393" t="s">
        <v>33</v>
      </c>
      <c r="H1393">
        <v>1</v>
      </c>
      <c r="I1393">
        <v>3</v>
      </c>
      <c r="J1393" t="str">
        <f t="shared" si="43"/>
        <v>Bachelor</v>
      </c>
      <c r="K1393" t="s">
        <v>34</v>
      </c>
      <c r="L1393">
        <v>1</v>
      </c>
      <c r="M1393" t="s">
        <v>40</v>
      </c>
      <c r="N1393" s="2">
        <v>59</v>
      </c>
      <c r="O1393">
        <v>2</v>
      </c>
      <c r="P1393">
        <v>1</v>
      </c>
      <c r="Q1393" t="s">
        <v>51</v>
      </c>
      <c r="R1393">
        <v>1</v>
      </c>
      <c r="S1393" t="s">
        <v>37</v>
      </c>
      <c r="T1393" s="2">
        <v>2858</v>
      </c>
      <c r="U1393" s="2">
        <v>11473</v>
      </c>
      <c r="V1393">
        <v>4</v>
      </c>
      <c r="W1393" t="s">
        <v>38</v>
      </c>
      <c r="X1393">
        <v>14</v>
      </c>
      <c r="Y1393">
        <v>3</v>
      </c>
      <c r="Z1393">
        <v>1</v>
      </c>
      <c r="AA1393">
        <v>80</v>
      </c>
      <c r="AB1393">
        <v>0</v>
      </c>
      <c r="AC1393">
        <v>20</v>
      </c>
      <c r="AD1393">
        <v>3</v>
      </c>
      <c r="AE1393">
        <v>2</v>
      </c>
      <c r="AF1393">
        <v>1</v>
      </c>
      <c r="AG1393">
        <v>0</v>
      </c>
      <c r="AH1393">
        <v>0</v>
      </c>
      <c r="AI1393">
        <v>0</v>
      </c>
    </row>
    <row r="1394" spans="1:35" x14ac:dyDescent="0.25">
      <c r="A1394">
        <v>35</v>
      </c>
      <c r="B1394" t="str">
        <f t="shared" si="42"/>
        <v>35-44</v>
      </c>
      <c r="C1394" s="1" t="s">
        <v>38</v>
      </c>
      <c r="D1394" s="17">
        <f>IF(Table1[[#This Row],[Attrition]]="Yes",1,0)</f>
        <v>0</v>
      </c>
      <c r="E1394" t="s">
        <v>57</v>
      </c>
      <c r="F1394" s="2">
        <v>1224</v>
      </c>
      <c r="G1394" t="s">
        <v>33</v>
      </c>
      <c r="H1394">
        <v>7</v>
      </c>
      <c r="I1394">
        <v>4</v>
      </c>
      <c r="J1394" t="str">
        <f t="shared" si="43"/>
        <v>Master</v>
      </c>
      <c r="K1394" t="s">
        <v>34</v>
      </c>
      <c r="L1394">
        <v>3</v>
      </c>
      <c r="M1394" t="s">
        <v>35</v>
      </c>
      <c r="N1394" s="2">
        <v>55</v>
      </c>
      <c r="O1394">
        <v>3</v>
      </c>
      <c r="P1394">
        <v>2</v>
      </c>
      <c r="Q1394" t="s">
        <v>36</v>
      </c>
      <c r="R1394">
        <v>4</v>
      </c>
      <c r="S1394" t="s">
        <v>42</v>
      </c>
      <c r="T1394" s="2">
        <v>5204</v>
      </c>
      <c r="U1394" s="2">
        <v>13586</v>
      </c>
      <c r="V1394">
        <v>1</v>
      </c>
      <c r="W1394" t="s">
        <v>32</v>
      </c>
      <c r="X1394">
        <v>11</v>
      </c>
      <c r="Y1394">
        <v>3</v>
      </c>
      <c r="Z1394">
        <v>4</v>
      </c>
      <c r="AA1394">
        <v>80</v>
      </c>
      <c r="AB1394">
        <v>0</v>
      </c>
      <c r="AC1394">
        <v>10</v>
      </c>
      <c r="AD1394">
        <v>2</v>
      </c>
      <c r="AE1394">
        <v>3</v>
      </c>
      <c r="AF1394">
        <v>10</v>
      </c>
      <c r="AG1394">
        <v>8</v>
      </c>
      <c r="AH1394">
        <v>0</v>
      </c>
      <c r="AI1394">
        <v>9</v>
      </c>
    </row>
    <row r="1395" spans="1:35" x14ac:dyDescent="0.25">
      <c r="A1395">
        <v>27</v>
      </c>
      <c r="B1395" t="str">
        <f t="shared" si="42"/>
        <v>25-34</v>
      </c>
      <c r="C1395" s="1" t="s">
        <v>38</v>
      </c>
      <c r="D1395" s="17">
        <f>IF(Table1[[#This Row],[Attrition]]="Yes",1,0)</f>
        <v>0</v>
      </c>
      <c r="E1395" t="s">
        <v>57</v>
      </c>
      <c r="F1395" s="2">
        <v>954</v>
      </c>
      <c r="G1395" t="s">
        <v>33</v>
      </c>
      <c r="H1395">
        <v>9</v>
      </c>
      <c r="I1395">
        <v>3</v>
      </c>
      <c r="J1395" t="str">
        <f t="shared" si="43"/>
        <v>Bachelor</v>
      </c>
      <c r="K1395" t="s">
        <v>53</v>
      </c>
      <c r="L1395">
        <v>4</v>
      </c>
      <c r="M1395" t="s">
        <v>40</v>
      </c>
      <c r="N1395" s="2">
        <v>44</v>
      </c>
      <c r="O1395">
        <v>3</v>
      </c>
      <c r="P1395">
        <v>2</v>
      </c>
      <c r="Q1395" t="s">
        <v>36</v>
      </c>
      <c r="R1395">
        <v>4</v>
      </c>
      <c r="S1395" t="s">
        <v>37</v>
      </c>
      <c r="T1395" s="2">
        <v>4105</v>
      </c>
      <c r="U1395" s="2">
        <v>5099</v>
      </c>
      <c r="V1395">
        <v>1</v>
      </c>
      <c r="W1395" t="s">
        <v>38</v>
      </c>
      <c r="X1395">
        <v>14</v>
      </c>
      <c r="Y1395">
        <v>3</v>
      </c>
      <c r="Z1395">
        <v>1</v>
      </c>
      <c r="AA1395">
        <v>80</v>
      </c>
      <c r="AB1395">
        <v>0</v>
      </c>
      <c r="AC1395">
        <v>7</v>
      </c>
      <c r="AD1395">
        <v>5</v>
      </c>
      <c r="AE1395">
        <v>3</v>
      </c>
      <c r="AF1395">
        <v>7</v>
      </c>
      <c r="AG1395">
        <v>7</v>
      </c>
      <c r="AH1395">
        <v>0</v>
      </c>
      <c r="AI1395">
        <v>7</v>
      </c>
    </row>
    <row r="1396" spans="1:35" x14ac:dyDescent="0.25">
      <c r="A1396">
        <v>32</v>
      </c>
      <c r="B1396" t="str">
        <f t="shared" si="42"/>
        <v>25-34</v>
      </c>
      <c r="C1396" s="1" t="s">
        <v>38</v>
      </c>
      <c r="D1396" s="17">
        <f>IF(Table1[[#This Row],[Attrition]]="Yes",1,0)</f>
        <v>0</v>
      </c>
      <c r="E1396" t="s">
        <v>57</v>
      </c>
      <c r="F1396" s="2">
        <v>1373</v>
      </c>
      <c r="G1396" t="s">
        <v>39</v>
      </c>
      <c r="H1396">
        <v>5</v>
      </c>
      <c r="I1396">
        <v>4</v>
      </c>
      <c r="J1396" t="str">
        <f t="shared" si="43"/>
        <v>Master</v>
      </c>
      <c r="K1396" t="s">
        <v>34</v>
      </c>
      <c r="L1396">
        <v>4</v>
      </c>
      <c r="M1396" t="s">
        <v>40</v>
      </c>
      <c r="N1396" s="2">
        <v>56</v>
      </c>
      <c r="O1396">
        <v>2</v>
      </c>
      <c r="P1396">
        <v>2</v>
      </c>
      <c r="Q1396" t="s">
        <v>47</v>
      </c>
      <c r="R1396">
        <v>4</v>
      </c>
      <c r="S1396" t="s">
        <v>37</v>
      </c>
      <c r="T1396" s="2">
        <v>9679</v>
      </c>
      <c r="U1396" s="2">
        <v>10138</v>
      </c>
      <c r="V1396">
        <v>8</v>
      </c>
      <c r="W1396" t="s">
        <v>38</v>
      </c>
      <c r="X1396">
        <v>24</v>
      </c>
      <c r="Y1396">
        <v>4</v>
      </c>
      <c r="Z1396">
        <v>2</v>
      </c>
      <c r="AA1396">
        <v>80</v>
      </c>
      <c r="AB1396">
        <v>0</v>
      </c>
      <c r="AC1396">
        <v>8</v>
      </c>
      <c r="AD1396">
        <v>1</v>
      </c>
      <c r="AE1396">
        <v>3</v>
      </c>
      <c r="AF1396">
        <v>1</v>
      </c>
      <c r="AG1396">
        <v>0</v>
      </c>
      <c r="AH1396">
        <v>0</v>
      </c>
      <c r="AI1396">
        <v>0</v>
      </c>
    </row>
    <row r="1397" spans="1:35" x14ac:dyDescent="0.25">
      <c r="A1397">
        <v>31</v>
      </c>
      <c r="B1397" t="str">
        <f t="shared" si="42"/>
        <v>25-34</v>
      </c>
      <c r="C1397" s="1" t="s">
        <v>32</v>
      </c>
      <c r="D1397" s="17">
        <f>IF(Table1[[#This Row],[Attrition]]="Yes",1,0)</f>
        <v>1</v>
      </c>
      <c r="E1397" t="s">
        <v>58</v>
      </c>
      <c r="F1397" s="2">
        <v>754</v>
      </c>
      <c r="G1397" t="s">
        <v>33</v>
      </c>
      <c r="H1397">
        <v>26</v>
      </c>
      <c r="I1397">
        <v>4</v>
      </c>
      <c r="J1397" t="str">
        <f t="shared" si="43"/>
        <v>Master</v>
      </c>
      <c r="K1397" t="s">
        <v>53</v>
      </c>
      <c r="L1397">
        <v>1</v>
      </c>
      <c r="M1397" t="s">
        <v>40</v>
      </c>
      <c r="N1397" s="2">
        <v>63</v>
      </c>
      <c r="O1397">
        <v>3</v>
      </c>
      <c r="P1397">
        <v>2</v>
      </c>
      <c r="Q1397" t="s">
        <v>36</v>
      </c>
      <c r="R1397">
        <v>4</v>
      </c>
      <c r="S1397" t="s">
        <v>42</v>
      </c>
      <c r="T1397" s="2">
        <v>5617</v>
      </c>
      <c r="U1397" s="2">
        <v>21075</v>
      </c>
      <c r="V1397">
        <v>1</v>
      </c>
      <c r="W1397" t="s">
        <v>32</v>
      </c>
      <c r="X1397">
        <v>11</v>
      </c>
      <c r="Y1397">
        <v>3</v>
      </c>
      <c r="Z1397">
        <v>3</v>
      </c>
      <c r="AA1397">
        <v>80</v>
      </c>
      <c r="AB1397">
        <v>0</v>
      </c>
      <c r="AC1397">
        <v>10</v>
      </c>
      <c r="AD1397">
        <v>4</v>
      </c>
      <c r="AE1397">
        <v>3</v>
      </c>
      <c r="AF1397">
        <v>10</v>
      </c>
      <c r="AG1397">
        <v>7</v>
      </c>
      <c r="AH1397">
        <v>0</v>
      </c>
      <c r="AI1397">
        <v>8</v>
      </c>
    </row>
    <row r="1398" spans="1:35" x14ac:dyDescent="0.25">
      <c r="A1398">
        <v>53</v>
      </c>
      <c r="B1398" t="str">
        <f t="shared" si="42"/>
        <v>45-54</v>
      </c>
      <c r="C1398" s="1" t="s">
        <v>32</v>
      </c>
      <c r="D1398" s="17">
        <f>IF(Table1[[#This Row],[Attrition]]="Yes",1,0)</f>
        <v>1</v>
      </c>
      <c r="E1398" t="s">
        <v>57</v>
      </c>
      <c r="F1398" s="2">
        <v>1168</v>
      </c>
      <c r="G1398" t="s">
        <v>33</v>
      </c>
      <c r="H1398">
        <v>24</v>
      </c>
      <c r="I1398">
        <v>4</v>
      </c>
      <c r="J1398" t="str">
        <f t="shared" si="43"/>
        <v>Master</v>
      </c>
      <c r="K1398" t="s">
        <v>34</v>
      </c>
      <c r="L1398">
        <v>1</v>
      </c>
      <c r="M1398" t="s">
        <v>40</v>
      </c>
      <c r="N1398" s="2">
        <v>66</v>
      </c>
      <c r="O1398">
        <v>3</v>
      </c>
      <c r="P1398">
        <v>3</v>
      </c>
      <c r="Q1398" t="s">
        <v>36</v>
      </c>
      <c r="R1398">
        <v>1</v>
      </c>
      <c r="S1398" t="s">
        <v>37</v>
      </c>
      <c r="T1398" s="2">
        <v>10448</v>
      </c>
      <c r="U1398" s="2">
        <v>5843</v>
      </c>
      <c r="V1398">
        <v>6</v>
      </c>
      <c r="W1398" t="s">
        <v>32</v>
      </c>
      <c r="X1398">
        <v>13</v>
      </c>
      <c r="Y1398">
        <v>3</v>
      </c>
      <c r="Z1398">
        <v>2</v>
      </c>
      <c r="AA1398">
        <v>80</v>
      </c>
      <c r="AB1398">
        <v>0</v>
      </c>
      <c r="AC1398">
        <v>15</v>
      </c>
      <c r="AD1398">
        <v>2</v>
      </c>
      <c r="AE1398">
        <v>2</v>
      </c>
      <c r="AF1398">
        <v>2</v>
      </c>
      <c r="AG1398">
        <v>2</v>
      </c>
      <c r="AH1398">
        <v>2</v>
      </c>
      <c r="AI1398">
        <v>2</v>
      </c>
    </row>
    <row r="1399" spans="1:35" x14ac:dyDescent="0.25">
      <c r="A1399">
        <v>54</v>
      </c>
      <c r="B1399" t="str">
        <f t="shared" si="42"/>
        <v>45-54</v>
      </c>
      <c r="C1399" s="1" t="s">
        <v>38</v>
      </c>
      <c r="D1399" s="17">
        <f>IF(Table1[[#This Row],[Attrition]]="Yes",1,0)</f>
        <v>0</v>
      </c>
      <c r="E1399" t="s">
        <v>57</v>
      </c>
      <c r="F1399" s="2">
        <v>155</v>
      </c>
      <c r="G1399" t="s">
        <v>39</v>
      </c>
      <c r="H1399">
        <v>9</v>
      </c>
      <c r="I1399">
        <v>2</v>
      </c>
      <c r="J1399" t="str">
        <f t="shared" si="43"/>
        <v>College</v>
      </c>
      <c r="K1399" t="s">
        <v>34</v>
      </c>
      <c r="L1399">
        <v>1</v>
      </c>
      <c r="M1399" t="s">
        <v>35</v>
      </c>
      <c r="N1399" s="2">
        <v>67</v>
      </c>
      <c r="O1399">
        <v>3</v>
      </c>
      <c r="P1399">
        <v>2</v>
      </c>
      <c r="Q1399" t="s">
        <v>41</v>
      </c>
      <c r="R1399">
        <v>3</v>
      </c>
      <c r="S1399" t="s">
        <v>42</v>
      </c>
      <c r="T1399" s="2">
        <v>2897</v>
      </c>
      <c r="U1399" s="2">
        <v>22474</v>
      </c>
      <c r="V1399">
        <v>3</v>
      </c>
      <c r="W1399" t="s">
        <v>38</v>
      </c>
      <c r="X1399">
        <v>11</v>
      </c>
      <c r="Y1399">
        <v>3</v>
      </c>
      <c r="Z1399">
        <v>3</v>
      </c>
      <c r="AA1399">
        <v>80</v>
      </c>
      <c r="AB1399">
        <v>2</v>
      </c>
      <c r="AC1399">
        <v>9</v>
      </c>
      <c r="AD1399">
        <v>6</v>
      </c>
      <c r="AE1399">
        <v>2</v>
      </c>
      <c r="AF1399">
        <v>4</v>
      </c>
      <c r="AG1399">
        <v>3</v>
      </c>
      <c r="AH1399">
        <v>2</v>
      </c>
      <c r="AI1399">
        <v>3</v>
      </c>
    </row>
    <row r="1400" spans="1:35" x14ac:dyDescent="0.25">
      <c r="A1400">
        <v>33</v>
      </c>
      <c r="B1400" t="str">
        <f t="shared" si="42"/>
        <v>25-34</v>
      </c>
      <c r="C1400" s="1" t="s">
        <v>38</v>
      </c>
      <c r="D1400" s="17">
        <f>IF(Table1[[#This Row],[Attrition]]="Yes",1,0)</f>
        <v>0</v>
      </c>
      <c r="E1400" t="s">
        <v>58</v>
      </c>
      <c r="F1400" s="2">
        <v>1303</v>
      </c>
      <c r="G1400" t="s">
        <v>39</v>
      </c>
      <c r="H1400">
        <v>7</v>
      </c>
      <c r="I1400">
        <v>2</v>
      </c>
      <c r="J1400" t="str">
        <f t="shared" si="43"/>
        <v>College</v>
      </c>
      <c r="K1400" t="s">
        <v>34</v>
      </c>
      <c r="L1400">
        <v>4</v>
      </c>
      <c r="M1400" t="s">
        <v>40</v>
      </c>
      <c r="N1400" s="2">
        <v>36</v>
      </c>
      <c r="O1400">
        <v>3</v>
      </c>
      <c r="P1400">
        <v>2</v>
      </c>
      <c r="Q1400" t="s">
        <v>48</v>
      </c>
      <c r="R1400">
        <v>3</v>
      </c>
      <c r="S1400" t="s">
        <v>46</v>
      </c>
      <c r="T1400" s="2">
        <v>5968</v>
      </c>
      <c r="U1400" s="2">
        <v>18079</v>
      </c>
      <c r="V1400">
        <v>1</v>
      </c>
      <c r="W1400" t="s">
        <v>38</v>
      </c>
      <c r="X1400">
        <v>20</v>
      </c>
      <c r="Y1400">
        <v>4</v>
      </c>
      <c r="Z1400">
        <v>3</v>
      </c>
      <c r="AA1400">
        <v>80</v>
      </c>
      <c r="AB1400">
        <v>3</v>
      </c>
      <c r="AC1400">
        <v>9</v>
      </c>
      <c r="AD1400">
        <v>2</v>
      </c>
      <c r="AE1400">
        <v>3</v>
      </c>
      <c r="AF1400">
        <v>9</v>
      </c>
      <c r="AG1400">
        <v>7</v>
      </c>
      <c r="AH1400">
        <v>2</v>
      </c>
      <c r="AI1400">
        <v>8</v>
      </c>
    </row>
    <row r="1401" spans="1:35" x14ac:dyDescent="0.25">
      <c r="A1401">
        <v>43</v>
      </c>
      <c r="B1401" t="str">
        <f t="shared" si="42"/>
        <v>35-44</v>
      </c>
      <c r="C1401" s="1" t="s">
        <v>38</v>
      </c>
      <c r="D1401" s="17">
        <f>IF(Table1[[#This Row],[Attrition]]="Yes",1,0)</f>
        <v>0</v>
      </c>
      <c r="E1401" t="s">
        <v>57</v>
      </c>
      <c r="F1401" s="2">
        <v>574</v>
      </c>
      <c r="G1401" t="s">
        <v>39</v>
      </c>
      <c r="H1401">
        <v>11</v>
      </c>
      <c r="I1401">
        <v>3</v>
      </c>
      <c r="J1401" t="str">
        <f t="shared" si="43"/>
        <v>Bachelor</v>
      </c>
      <c r="K1401" t="s">
        <v>34</v>
      </c>
      <c r="L1401">
        <v>1</v>
      </c>
      <c r="M1401" t="s">
        <v>40</v>
      </c>
      <c r="N1401" s="2">
        <v>30</v>
      </c>
      <c r="O1401">
        <v>3</v>
      </c>
      <c r="P1401">
        <v>3</v>
      </c>
      <c r="Q1401" t="s">
        <v>48</v>
      </c>
      <c r="R1401">
        <v>3</v>
      </c>
      <c r="S1401" t="s">
        <v>42</v>
      </c>
      <c r="T1401" s="2">
        <v>7510</v>
      </c>
      <c r="U1401" s="2">
        <v>16873</v>
      </c>
      <c r="V1401">
        <v>1</v>
      </c>
      <c r="W1401" t="s">
        <v>38</v>
      </c>
      <c r="X1401">
        <v>17</v>
      </c>
      <c r="Y1401">
        <v>3</v>
      </c>
      <c r="Z1401">
        <v>2</v>
      </c>
      <c r="AA1401">
        <v>80</v>
      </c>
      <c r="AB1401">
        <v>1</v>
      </c>
      <c r="AC1401">
        <v>10</v>
      </c>
      <c r="AD1401">
        <v>1</v>
      </c>
      <c r="AE1401">
        <v>3</v>
      </c>
      <c r="AF1401">
        <v>10</v>
      </c>
      <c r="AG1401">
        <v>9</v>
      </c>
      <c r="AH1401">
        <v>0</v>
      </c>
      <c r="AI1401">
        <v>9</v>
      </c>
    </row>
    <row r="1402" spans="1:35" x14ac:dyDescent="0.25">
      <c r="A1402">
        <v>38</v>
      </c>
      <c r="B1402" t="str">
        <f t="shared" si="42"/>
        <v>35-44</v>
      </c>
      <c r="C1402" s="1" t="s">
        <v>38</v>
      </c>
      <c r="D1402" s="17">
        <f>IF(Table1[[#This Row],[Attrition]]="Yes",1,0)</f>
        <v>0</v>
      </c>
      <c r="E1402" t="s">
        <v>58</v>
      </c>
      <c r="F1402" s="2">
        <v>1444</v>
      </c>
      <c r="G1402" t="s">
        <v>55</v>
      </c>
      <c r="H1402">
        <v>1</v>
      </c>
      <c r="I1402">
        <v>4</v>
      </c>
      <c r="J1402" t="str">
        <f t="shared" si="43"/>
        <v>Master</v>
      </c>
      <c r="K1402" t="s">
        <v>43</v>
      </c>
      <c r="L1402">
        <v>4</v>
      </c>
      <c r="M1402" t="s">
        <v>40</v>
      </c>
      <c r="N1402" s="2">
        <v>88</v>
      </c>
      <c r="O1402">
        <v>3</v>
      </c>
      <c r="P1402">
        <v>1</v>
      </c>
      <c r="Q1402" t="s">
        <v>55</v>
      </c>
      <c r="R1402">
        <v>2</v>
      </c>
      <c r="S1402" t="s">
        <v>42</v>
      </c>
      <c r="T1402" s="2">
        <v>2991</v>
      </c>
      <c r="U1402" s="2">
        <v>5224</v>
      </c>
      <c r="V1402">
        <v>0</v>
      </c>
      <c r="W1402" t="s">
        <v>32</v>
      </c>
      <c r="X1402">
        <v>11</v>
      </c>
      <c r="Y1402">
        <v>3</v>
      </c>
      <c r="Z1402">
        <v>2</v>
      </c>
      <c r="AA1402">
        <v>80</v>
      </c>
      <c r="AB1402">
        <v>1</v>
      </c>
      <c r="AC1402">
        <v>7</v>
      </c>
      <c r="AD1402">
        <v>2</v>
      </c>
      <c r="AE1402">
        <v>3</v>
      </c>
      <c r="AF1402">
        <v>6</v>
      </c>
      <c r="AG1402">
        <v>2</v>
      </c>
      <c r="AH1402">
        <v>1</v>
      </c>
      <c r="AI1402">
        <v>2</v>
      </c>
    </row>
    <row r="1403" spans="1:35" x14ac:dyDescent="0.25">
      <c r="A1403">
        <v>55</v>
      </c>
      <c r="B1403" t="str">
        <f t="shared" si="42"/>
        <v>55-64</v>
      </c>
      <c r="C1403" s="1" t="s">
        <v>38</v>
      </c>
      <c r="D1403" s="17">
        <f>IF(Table1[[#This Row],[Attrition]]="Yes",1,0)</f>
        <v>0</v>
      </c>
      <c r="E1403" t="s">
        <v>57</v>
      </c>
      <c r="F1403" s="2">
        <v>189</v>
      </c>
      <c r="G1403" t="s">
        <v>55</v>
      </c>
      <c r="H1403">
        <v>26</v>
      </c>
      <c r="I1403">
        <v>4</v>
      </c>
      <c r="J1403" t="str">
        <f t="shared" si="43"/>
        <v>Master</v>
      </c>
      <c r="K1403" t="s">
        <v>55</v>
      </c>
      <c r="L1403">
        <v>3</v>
      </c>
      <c r="M1403" t="s">
        <v>40</v>
      </c>
      <c r="N1403" s="2">
        <v>71</v>
      </c>
      <c r="O1403">
        <v>4</v>
      </c>
      <c r="P1403">
        <v>5</v>
      </c>
      <c r="Q1403" t="s">
        <v>50</v>
      </c>
      <c r="R1403">
        <v>2</v>
      </c>
      <c r="S1403" t="s">
        <v>42</v>
      </c>
      <c r="T1403" s="2">
        <v>19636</v>
      </c>
      <c r="U1403" s="2">
        <v>25811</v>
      </c>
      <c r="V1403">
        <v>4</v>
      </c>
      <c r="W1403" t="s">
        <v>32</v>
      </c>
      <c r="X1403">
        <v>18</v>
      </c>
      <c r="Y1403">
        <v>3</v>
      </c>
      <c r="Z1403">
        <v>1</v>
      </c>
      <c r="AA1403">
        <v>80</v>
      </c>
      <c r="AB1403">
        <v>1</v>
      </c>
      <c r="AC1403">
        <v>35</v>
      </c>
      <c r="AD1403">
        <v>0</v>
      </c>
      <c r="AE1403">
        <v>3</v>
      </c>
      <c r="AF1403">
        <v>10</v>
      </c>
      <c r="AG1403">
        <v>9</v>
      </c>
      <c r="AH1403">
        <v>1</v>
      </c>
      <c r="AI1403">
        <v>4</v>
      </c>
    </row>
    <row r="1404" spans="1:35" x14ac:dyDescent="0.25">
      <c r="A1404">
        <v>31</v>
      </c>
      <c r="B1404" t="str">
        <f t="shared" si="42"/>
        <v>25-34</v>
      </c>
      <c r="C1404" s="1" t="s">
        <v>38</v>
      </c>
      <c r="D1404" s="17">
        <f>IF(Table1[[#This Row],[Attrition]]="Yes",1,0)</f>
        <v>0</v>
      </c>
      <c r="E1404" t="s">
        <v>57</v>
      </c>
      <c r="F1404" s="2">
        <v>1276</v>
      </c>
      <c r="G1404" t="s">
        <v>39</v>
      </c>
      <c r="H1404">
        <v>2</v>
      </c>
      <c r="I1404">
        <v>1</v>
      </c>
      <c r="J1404" t="str">
        <f t="shared" si="43"/>
        <v>Below College</v>
      </c>
      <c r="K1404" t="s">
        <v>45</v>
      </c>
      <c r="L1404">
        <v>4</v>
      </c>
      <c r="M1404" t="s">
        <v>35</v>
      </c>
      <c r="N1404" s="2">
        <v>59</v>
      </c>
      <c r="O1404">
        <v>1</v>
      </c>
      <c r="P1404">
        <v>1</v>
      </c>
      <c r="Q1404" t="s">
        <v>44</v>
      </c>
      <c r="R1404">
        <v>4</v>
      </c>
      <c r="S1404" t="s">
        <v>46</v>
      </c>
      <c r="T1404" s="2">
        <v>1129</v>
      </c>
      <c r="U1404" s="2">
        <v>17536</v>
      </c>
      <c r="V1404">
        <v>1</v>
      </c>
      <c r="W1404" t="s">
        <v>32</v>
      </c>
      <c r="X1404">
        <v>11</v>
      </c>
      <c r="Y1404">
        <v>3</v>
      </c>
      <c r="Z1404">
        <v>3</v>
      </c>
      <c r="AA1404">
        <v>80</v>
      </c>
      <c r="AB1404">
        <v>3</v>
      </c>
      <c r="AC1404">
        <v>1</v>
      </c>
      <c r="AD1404">
        <v>4</v>
      </c>
      <c r="AE1404">
        <v>3</v>
      </c>
      <c r="AF1404">
        <v>1</v>
      </c>
      <c r="AG1404">
        <v>0</v>
      </c>
      <c r="AH1404">
        <v>0</v>
      </c>
      <c r="AI1404">
        <v>0</v>
      </c>
    </row>
    <row r="1405" spans="1:35" x14ac:dyDescent="0.25">
      <c r="A1405">
        <v>39</v>
      </c>
      <c r="B1405" t="str">
        <f t="shared" si="42"/>
        <v>35-44</v>
      </c>
      <c r="C1405" s="1" t="s">
        <v>38</v>
      </c>
      <c r="D1405" s="17">
        <f>IF(Table1[[#This Row],[Attrition]]="Yes",1,0)</f>
        <v>0</v>
      </c>
      <c r="E1405" t="s">
        <v>57</v>
      </c>
      <c r="F1405" s="2">
        <v>119</v>
      </c>
      <c r="G1405" t="s">
        <v>33</v>
      </c>
      <c r="H1405">
        <v>15</v>
      </c>
      <c r="I1405">
        <v>4</v>
      </c>
      <c r="J1405" t="str">
        <f t="shared" si="43"/>
        <v>Master</v>
      </c>
      <c r="K1405" t="s">
        <v>53</v>
      </c>
      <c r="L1405">
        <v>2</v>
      </c>
      <c r="M1405" t="s">
        <v>40</v>
      </c>
      <c r="N1405" s="2">
        <v>77</v>
      </c>
      <c r="O1405">
        <v>3</v>
      </c>
      <c r="P1405">
        <v>4</v>
      </c>
      <c r="Q1405" t="s">
        <v>36</v>
      </c>
      <c r="R1405">
        <v>1</v>
      </c>
      <c r="S1405" t="s">
        <v>37</v>
      </c>
      <c r="T1405" s="2">
        <v>13341</v>
      </c>
      <c r="U1405" s="2">
        <v>25098</v>
      </c>
      <c r="V1405">
        <v>0</v>
      </c>
      <c r="W1405" t="s">
        <v>38</v>
      </c>
      <c r="X1405">
        <v>12</v>
      </c>
      <c r="Y1405">
        <v>3</v>
      </c>
      <c r="Z1405">
        <v>1</v>
      </c>
      <c r="AA1405">
        <v>80</v>
      </c>
      <c r="AB1405">
        <v>0</v>
      </c>
      <c r="AC1405">
        <v>21</v>
      </c>
      <c r="AD1405">
        <v>3</v>
      </c>
      <c r="AE1405">
        <v>3</v>
      </c>
      <c r="AF1405">
        <v>20</v>
      </c>
      <c r="AG1405">
        <v>8</v>
      </c>
      <c r="AH1405">
        <v>11</v>
      </c>
      <c r="AI1405">
        <v>10</v>
      </c>
    </row>
    <row r="1406" spans="1:35" x14ac:dyDescent="0.25">
      <c r="A1406">
        <v>42</v>
      </c>
      <c r="B1406" t="str">
        <f t="shared" si="42"/>
        <v>35-44</v>
      </c>
      <c r="C1406" s="1" t="s">
        <v>38</v>
      </c>
      <c r="D1406" s="17">
        <f>IF(Table1[[#This Row],[Attrition]]="Yes",1,0)</f>
        <v>0</v>
      </c>
      <c r="E1406" t="s">
        <v>49</v>
      </c>
      <c r="F1406" s="2">
        <v>335</v>
      </c>
      <c r="G1406" t="s">
        <v>39</v>
      </c>
      <c r="H1406">
        <v>23</v>
      </c>
      <c r="I1406">
        <v>2</v>
      </c>
      <c r="J1406" t="str">
        <f t="shared" si="43"/>
        <v>College</v>
      </c>
      <c r="K1406" t="s">
        <v>34</v>
      </c>
      <c r="L1406">
        <v>4</v>
      </c>
      <c r="M1406" t="s">
        <v>40</v>
      </c>
      <c r="N1406" s="2">
        <v>37</v>
      </c>
      <c r="O1406">
        <v>2</v>
      </c>
      <c r="P1406">
        <v>2</v>
      </c>
      <c r="Q1406" t="s">
        <v>41</v>
      </c>
      <c r="R1406">
        <v>3</v>
      </c>
      <c r="S1406" t="s">
        <v>37</v>
      </c>
      <c r="T1406" s="2">
        <v>4332</v>
      </c>
      <c r="U1406" s="2">
        <v>14811</v>
      </c>
      <c r="V1406">
        <v>1</v>
      </c>
      <c r="W1406" t="s">
        <v>38</v>
      </c>
      <c r="X1406">
        <v>12</v>
      </c>
      <c r="Y1406">
        <v>3</v>
      </c>
      <c r="Z1406">
        <v>4</v>
      </c>
      <c r="AA1406">
        <v>80</v>
      </c>
      <c r="AB1406">
        <v>0</v>
      </c>
      <c r="AC1406">
        <v>20</v>
      </c>
      <c r="AD1406">
        <v>2</v>
      </c>
      <c r="AE1406">
        <v>3</v>
      </c>
      <c r="AF1406">
        <v>20</v>
      </c>
      <c r="AG1406">
        <v>9</v>
      </c>
      <c r="AH1406">
        <v>3</v>
      </c>
      <c r="AI1406">
        <v>7</v>
      </c>
    </row>
    <row r="1407" spans="1:35" x14ac:dyDescent="0.25">
      <c r="A1407">
        <v>31</v>
      </c>
      <c r="B1407" t="str">
        <f t="shared" si="42"/>
        <v>25-34</v>
      </c>
      <c r="C1407" s="1" t="s">
        <v>38</v>
      </c>
      <c r="D1407" s="17">
        <f>IF(Table1[[#This Row],[Attrition]]="Yes",1,0)</f>
        <v>0</v>
      </c>
      <c r="E1407" t="s">
        <v>49</v>
      </c>
      <c r="F1407" s="2">
        <v>697</v>
      </c>
      <c r="G1407" t="s">
        <v>39</v>
      </c>
      <c r="H1407">
        <v>10</v>
      </c>
      <c r="I1407">
        <v>3</v>
      </c>
      <c r="J1407" t="str">
        <f t="shared" si="43"/>
        <v>Bachelor</v>
      </c>
      <c r="K1407" t="s">
        <v>45</v>
      </c>
      <c r="L1407">
        <v>3</v>
      </c>
      <c r="M1407" t="s">
        <v>35</v>
      </c>
      <c r="N1407" s="2">
        <v>40</v>
      </c>
      <c r="O1407">
        <v>3</v>
      </c>
      <c r="P1407">
        <v>3</v>
      </c>
      <c r="Q1407" t="s">
        <v>52</v>
      </c>
      <c r="R1407">
        <v>3</v>
      </c>
      <c r="S1407" t="s">
        <v>42</v>
      </c>
      <c r="T1407" s="2">
        <v>11031</v>
      </c>
      <c r="U1407" s="2">
        <v>26862</v>
      </c>
      <c r="V1407">
        <v>4</v>
      </c>
      <c r="W1407" t="s">
        <v>38</v>
      </c>
      <c r="X1407">
        <v>20</v>
      </c>
      <c r="Y1407">
        <v>4</v>
      </c>
      <c r="Z1407">
        <v>3</v>
      </c>
      <c r="AA1407">
        <v>80</v>
      </c>
      <c r="AB1407">
        <v>1</v>
      </c>
      <c r="AC1407">
        <v>13</v>
      </c>
      <c r="AD1407">
        <v>2</v>
      </c>
      <c r="AE1407">
        <v>4</v>
      </c>
      <c r="AF1407">
        <v>11</v>
      </c>
      <c r="AG1407">
        <v>7</v>
      </c>
      <c r="AH1407">
        <v>4</v>
      </c>
      <c r="AI1407">
        <v>8</v>
      </c>
    </row>
    <row r="1408" spans="1:35" x14ac:dyDescent="0.25">
      <c r="A1408">
        <v>54</v>
      </c>
      <c r="B1408" t="str">
        <f t="shared" si="42"/>
        <v>45-54</v>
      </c>
      <c r="C1408" s="1" t="s">
        <v>38</v>
      </c>
      <c r="D1408" s="17">
        <f>IF(Table1[[#This Row],[Attrition]]="Yes",1,0)</f>
        <v>0</v>
      </c>
      <c r="E1408" t="s">
        <v>57</v>
      </c>
      <c r="F1408" s="2">
        <v>157</v>
      </c>
      <c r="G1408" t="s">
        <v>39</v>
      </c>
      <c r="H1408">
        <v>10</v>
      </c>
      <c r="I1408">
        <v>3</v>
      </c>
      <c r="J1408" t="str">
        <f t="shared" si="43"/>
        <v>Bachelor</v>
      </c>
      <c r="K1408" t="s">
        <v>45</v>
      </c>
      <c r="L1408">
        <v>3</v>
      </c>
      <c r="M1408" t="s">
        <v>35</v>
      </c>
      <c r="N1408" s="2">
        <v>77</v>
      </c>
      <c r="O1408">
        <v>3</v>
      </c>
      <c r="P1408">
        <v>2</v>
      </c>
      <c r="Q1408" t="s">
        <v>47</v>
      </c>
      <c r="R1408">
        <v>1</v>
      </c>
      <c r="S1408" t="s">
        <v>37</v>
      </c>
      <c r="T1408" s="2">
        <v>4440</v>
      </c>
      <c r="U1408" s="2">
        <v>25198</v>
      </c>
      <c r="V1408">
        <v>6</v>
      </c>
      <c r="W1408" t="s">
        <v>32</v>
      </c>
      <c r="X1408">
        <v>19</v>
      </c>
      <c r="Y1408">
        <v>3</v>
      </c>
      <c r="Z1408">
        <v>4</v>
      </c>
      <c r="AA1408">
        <v>80</v>
      </c>
      <c r="AB1408">
        <v>0</v>
      </c>
      <c r="AC1408">
        <v>9</v>
      </c>
      <c r="AD1408">
        <v>3</v>
      </c>
      <c r="AE1408">
        <v>3</v>
      </c>
      <c r="AF1408">
        <v>5</v>
      </c>
      <c r="AG1408">
        <v>2</v>
      </c>
      <c r="AH1408">
        <v>1</v>
      </c>
      <c r="AI1408">
        <v>4</v>
      </c>
    </row>
    <row r="1409" spans="1:35" x14ac:dyDescent="0.25">
      <c r="A1409">
        <v>24</v>
      </c>
      <c r="B1409" t="str">
        <f t="shared" si="42"/>
        <v>18-24</v>
      </c>
      <c r="C1409" s="1" t="s">
        <v>38</v>
      </c>
      <c r="D1409" s="17">
        <f>IF(Table1[[#This Row],[Attrition]]="Yes",1,0)</f>
        <v>0</v>
      </c>
      <c r="E1409" t="s">
        <v>57</v>
      </c>
      <c r="F1409" s="2">
        <v>771</v>
      </c>
      <c r="G1409" t="s">
        <v>39</v>
      </c>
      <c r="H1409">
        <v>1</v>
      </c>
      <c r="I1409">
        <v>2</v>
      </c>
      <c r="J1409" t="str">
        <f t="shared" si="43"/>
        <v>College</v>
      </c>
      <c r="K1409" t="s">
        <v>34</v>
      </c>
      <c r="L1409">
        <v>2</v>
      </c>
      <c r="M1409" t="s">
        <v>40</v>
      </c>
      <c r="N1409" s="2">
        <v>45</v>
      </c>
      <c r="O1409">
        <v>2</v>
      </c>
      <c r="P1409">
        <v>2</v>
      </c>
      <c r="Q1409" t="s">
        <v>48</v>
      </c>
      <c r="R1409">
        <v>3</v>
      </c>
      <c r="S1409" t="s">
        <v>37</v>
      </c>
      <c r="T1409" s="2">
        <v>4617</v>
      </c>
      <c r="U1409" s="2">
        <v>14120</v>
      </c>
      <c r="V1409">
        <v>1</v>
      </c>
      <c r="W1409" t="s">
        <v>38</v>
      </c>
      <c r="X1409">
        <v>12</v>
      </c>
      <c r="Y1409">
        <v>3</v>
      </c>
      <c r="Z1409">
        <v>2</v>
      </c>
      <c r="AA1409">
        <v>80</v>
      </c>
      <c r="AB1409">
        <v>0</v>
      </c>
      <c r="AC1409">
        <v>4</v>
      </c>
      <c r="AD1409">
        <v>2</v>
      </c>
      <c r="AE1409">
        <v>2</v>
      </c>
      <c r="AF1409">
        <v>4</v>
      </c>
      <c r="AG1409">
        <v>3</v>
      </c>
      <c r="AH1409">
        <v>1</v>
      </c>
      <c r="AI1409">
        <v>2</v>
      </c>
    </row>
    <row r="1410" spans="1:35" x14ac:dyDescent="0.25">
      <c r="A1410">
        <v>23</v>
      </c>
      <c r="B1410" t="str">
        <f t="shared" ref="B1410:B1471" si="44">IF(A1410="","",IF(A1410&lt;25,"18-24",
 IF(A1410&lt;35,"25-34",
 IF(A1410&lt;45,"35-44",
 IF(A1410&lt;55,"45-54",
 IF(A1410&lt;65,"55-64","65+"))))))</f>
        <v>18-24</v>
      </c>
      <c r="C1410" s="1" t="s">
        <v>38</v>
      </c>
      <c r="D1410" s="17">
        <f>IF(Table1[[#This Row],[Attrition]]="Yes",1,0)</f>
        <v>0</v>
      </c>
      <c r="E1410" t="s">
        <v>57</v>
      </c>
      <c r="F1410" s="2">
        <v>571</v>
      </c>
      <c r="G1410" t="s">
        <v>39</v>
      </c>
      <c r="H1410">
        <v>12</v>
      </c>
      <c r="I1410">
        <v>2</v>
      </c>
      <c r="J1410" t="str">
        <f t="shared" ref="J1410:J1471" si="45">CHOOSE(I1410,"Below College","College","Bachelor","Master","Doctor")</f>
        <v>College</v>
      </c>
      <c r="K1410" t="s">
        <v>43</v>
      </c>
      <c r="L1410">
        <v>4</v>
      </c>
      <c r="M1410" t="s">
        <v>40</v>
      </c>
      <c r="N1410" s="2">
        <v>78</v>
      </c>
      <c r="O1410">
        <v>3</v>
      </c>
      <c r="P1410">
        <v>1</v>
      </c>
      <c r="Q1410" t="s">
        <v>44</v>
      </c>
      <c r="R1410">
        <v>4</v>
      </c>
      <c r="S1410" t="s">
        <v>37</v>
      </c>
      <c r="T1410" s="2">
        <v>2647</v>
      </c>
      <c r="U1410" s="2">
        <v>13672</v>
      </c>
      <c r="V1410">
        <v>1</v>
      </c>
      <c r="W1410" t="s">
        <v>38</v>
      </c>
      <c r="X1410">
        <v>13</v>
      </c>
      <c r="Y1410">
        <v>3</v>
      </c>
      <c r="Z1410">
        <v>3</v>
      </c>
      <c r="AA1410">
        <v>80</v>
      </c>
      <c r="AB1410">
        <v>0</v>
      </c>
      <c r="AC1410">
        <v>5</v>
      </c>
      <c r="AD1410">
        <v>6</v>
      </c>
      <c r="AE1410">
        <v>4</v>
      </c>
      <c r="AF1410">
        <v>5</v>
      </c>
      <c r="AG1410">
        <v>2</v>
      </c>
      <c r="AH1410">
        <v>1</v>
      </c>
      <c r="AI1410">
        <v>4</v>
      </c>
    </row>
    <row r="1411" spans="1:35" x14ac:dyDescent="0.25">
      <c r="A1411">
        <v>40</v>
      </c>
      <c r="B1411" t="str">
        <f t="shared" si="44"/>
        <v>35-44</v>
      </c>
      <c r="C1411" s="1" t="s">
        <v>38</v>
      </c>
      <c r="D1411" s="17">
        <f>IF(Table1[[#This Row],[Attrition]]="Yes",1,0)</f>
        <v>0</v>
      </c>
      <c r="E1411" t="s">
        <v>58</v>
      </c>
      <c r="F1411" s="2">
        <v>692</v>
      </c>
      <c r="G1411" t="s">
        <v>39</v>
      </c>
      <c r="H1411">
        <v>11</v>
      </c>
      <c r="I1411">
        <v>3</v>
      </c>
      <c r="J1411" t="str">
        <f t="shared" si="45"/>
        <v>Bachelor</v>
      </c>
      <c r="K1411" t="s">
        <v>54</v>
      </c>
      <c r="L1411">
        <v>4</v>
      </c>
      <c r="M1411" t="s">
        <v>35</v>
      </c>
      <c r="N1411" s="2">
        <v>73</v>
      </c>
      <c r="O1411">
        <v>3</v>
      </c>
      <c r="P1411">
        <v>2</v>
      </c>
      <c r="Q1411" t="s">
        <v>44</v>
      </c>
      <c r="R1411">
        <v>3</v>
      </c>
      <c r="S1411" t="s">
        <v>42</v>
      </c>
      <c r="T1411" s="2">
        <v>6323</v>
      </c>
      <c r="U1411" s="2">
        <v>26849</v>
      </c>
      <c r="V1411">
        <v>1</v>
      </c>
      <c r="W1411" t="s">
        <v>38</v>
      </c>
      <c r="X1411">
        <v>11</v>
      </c>
      <c r="Y1411">
        <v>3</v>
      </c>
      <c r="Z1411">
        <v>1</v>
      </c>
      <c r="AA1411">
        <v>80</v>
      </c>
      <c r="AB1411">
        <v>1</v>
      </c>
      <c r="AC1411">
        <v>10</v>
      </c>
      <c r="AD1411">
        <v>2</v>
      </c>
      <c r="AE1411">
        <v>4</v>
      </c>
      <c r="AF1411">
        <v>10</v>
      </c>
      <c r="AG1411">
        <v>9</v>
      </c>
      <c r="AH1411">
        <v>9</v>
      </c>
      <c r="AI1411">
        <v>4</v>
      </c>
    </row>
    <row r="1412" spans="1:35" x14ac:dyDescent="0.25">
      <c r="A1412">
        <v>40</v>
      </c>
      <c r="B1412" t="str">
        <f t="shared" si="44"/>
        <v>35-44</v>
      </c>
      <c r="C1412" s="1" t="s">
        <v>38</v>
      </c>
      <c r="D1412" s="17">
        <f>IF(Table1[[#This Row],[Attrition]]="Yes",1,0)</f>
        <v>0</v>
      </c>
      <c r="E1412" t="s">
        <v>57</v>
      </c>
      <c r="F1412" s="2">
        <v>444</v>
      </c>
      <c r="G1412" t="s">
        <v>33</v>
      </c>
      <c r="H1412">
        <v>2</v>
      </c>
      <c r="I1412">
        <v>2</v>
      </c>
      <c r="J1412" t="str">
        <f t="shared" si="45"/>
        <v>College</v>
      </c>
      <c r="K1412" t="s">
        <v>53</v>
      </c>
      <c r="L1412">
        <v>2</v>
      </c>
      <c r="M1412" t="s">
        <v>35</v>
      </c>
      <c r="N1412" s="2">
        <v>92</v>
      </c>
      <c r="O1412">
        <v>3</v>
      </c>
      <c r="P1412">
        <v>2</v>
      </c>
      <c r="Q1412" t="s">
        <v>36</v>
      </c>
      <c r="R1412">
        <v>2</v>
      </c>
      <c r="S1412" t="s">
        <v>42</v>
      </c>
      <c r="T1412" s="2">
        <v>5677</v>
      </c>
      <c r="U1412" s="2">
        <v>4258</v>
      </c>
      <c r="V1412">
        <v>3</v>
      </c>
      <c r="W1412" t="s">
        <v>38</v>
      </c>
      <c r="X1412">
        <v>14</v>
      </c>
      <c r="Y1412">
        <v>3</v>
      </c>
      <c r="Z1412">
        <v>3</v>
      </c>
      <c r="AA1412">
        <v>80</v>
      </c>
      <c r="AB1412">
        <v>1</v>
      </c>
      <c r="AC1412">
        <v>15</v>
      </c>
      <c r="AD1412">
        <v>4</v>
      </c>
      <c r="AE1412">
        <v>3</v>
      </c>
      <c r="AF1412">
        <v>11</v>
      </c>
      <c r="AG1412">
        <v>8</v>
      </c>
      <c r="AH1412">
        <v>5</v>
      </c>
      <c r="AI1412">
        <v>10</v>
      </c>
    </row>
    <row r="1413" spans="1:35" x14ac:dyDescent="0.25">
      <c r="A1413">
        <v>25</v>
      </c>
      <c r="B1413" t="str">
        <f t="shared" si="44"/>
        <v>25-34</v>
      </c>
      <c r="C1413" s="1" t="s">
        <v>38</v>
      </c>
      <c r="D1413" s="17">
        <f>IF(Table1[[#This Row],[Attrition]]="Yes",1,0)</f>
        <v>0</v>
      </c>
      <c r="E1413" t="s">
        <v>57</v>
      </c>
      <c r="F1413" s="2">
        <v>309</v>
      </c>
      <c r="G1413" t="s">
        <v>55</v>
      </c>
      <c r="H1413">
        <v>2</v>
      </c>
      <c r="I1413">
        <v>3</v>
      </c>
      <c r="J1413" t="str">
        <f t="shared" si="45"/>
        <v>Bachelor</v>
      </c>
      <c r="K1413" t="s">
        <v>55</v>
      </c>
      <c r="L1413">
        <v>3</v>
      </c>
      <c r="M1413" t="s">
        <v>35</v>
      </c>
      <c r="N1413" s="2">
        <v>82</v>
      </c>
      <c r="O1413">
        <v>3</v>
      </c>
      <c r="P1413">
        <v>1</v>
      </c>
      <c r="Q1413" t="s">
        <v>55</v>
      </c>
      <c r="R1413">
        <v>2</v>
      </c>
      <c r="S1413" t="s">
        <v>42</v>
      </c>
      <c r="T1413" s="2">
        <v>2187</v>
      </c>
      <c r="U1413" s="2">
        <v>19655</v>
      </c>
      <c r="V1413">
        <v>4</v>
      </c>
      <c r="W1413" t="s">
        <v>38</v>
      </c>
      <c r="X1413">
        <v>14</v>
      </c>
      <c r="Y1413">
        <v>3</v>
      </c>
      <c r="Z1413">
        <v>3</v>
      </c>
      <c r="AA1413">
        <v>80</v>
      </c>
      <c r="AB1413">
        <v>0</v>
      </c>
      <c r="AC1413">
        <v>6</v>
      </c>
      <c r="AD1413">
        <v>3</v>
      </c>
      <c r="AE1413">
        <v>3</v>
      </c>
      <c r="AF1413">
        <v>2</v>
      </c>
      <c r="AG1413">
        <v>0</v>
      </c>
      <c r="AH1413">
        <v>1</v>
      </c>
      <c r="AI1413">
        <v>2</v>
      </c>
    </row>
    <row r="1414" spans="1:35" x14ac:dyDescent="0.25">
      <c r="A1414">
        <v>30</v>
      </c>
      <c r="B1414" t="str">
        <f t="shared" si="44"/>
        <v>25-34</v>
      </c>
      <c r="C1414" s="1" t="s">
        <v>38</v>
      </c>
      <c r="D1414" s="17">
        <f>IF(Table1[[#This Row],[Attrition]]="Yes",1,0)</f>
        <v>0</v>
      </c>
      <c r="E1414" t="s">
        <v>57</v>
      </c>
      <c r="F1414" s="2">
        <v>911</v>
      </c>
      <c r="G1414" t="s">
        <v>39</v>
      </c>
      <c r="H1414">
        <v>1</v>
      </c>
      <c r="I1414">
        <v>2</v>
      </c>
      <c r="J1414" t="str">
        <f t="shared" si="45"/>
        <v>College</v>
      </c>
      <c r="K1414" t="s">
        <v>45</v>
      </c>
      <c r="L1414">
        <v>4</v>
      </c>
      <c r="M1414" t="s">
        <v>40</v>
      </c>
      <c r="N1414" s="2">
        <v>76</v>
      </c>
      <c r="O1414">
        <v>3</v>
      </c>
      <c r="P1414">
        <v>1</v>
      </c>
      <c r="Q1414" t="s">
        <v>44</v>
      </c>
      <c r="R1414">
        <v>2</v>
      </c>
      <c r="S1414" t="s">
        <v>42</v>
      </c>
      <c r="T1414" s="2">
        <v>3748</v>
      </c>
      <c r="U1414" s="2">
        <v>4077</v>
      </c>
      <c r="V1414">
        <v>1</v>
      </c>
      <c r="W1414" t="s">
        <v>38</v>
      </c>
      <c r="X1414">
        <v>13</v>
      </c>
      <c r="Y1414">
        <v>3</v>
      </c>
      <c r="Z1414">
        <v>3</v>
      </c>
      <c r="AA1414">
        <v>80</v>
      </c>
      <c r="AB1414">
        <v>0</v>
      </c>
      <c r="AC1414">
        <v>12</v>
      </c>
      <c r="AD1414">
        <v>6</v>
      </c>
      <c r="AE1414">
        <v>2</v>
      </c>
      <c r="AF1414">
        <v>12</v>
      </c>
      <c r="AG1414">
        <v>8</v>
      </c>
      <c r="AH1414">
        <v>1</v>
      </c>
      <c r="AI1414">
        <v>7</v>
      </c>
    </row>
    <row r="1415" spans="1:35" x14ac:dyDescent="0.25">
      <c r="A1415">
        <v>25</v>
      </c>
      <c r="B1415" t="str">
        <f t="shared" si="44"/>
        <v>25-34</v>
      </c>
      <c r="C1415" s="1" t="s">
        <v>38</v>
      </c>
      <c r="D1415" s="17">
        <f>IF(Table1[[#This Row],[Attrition]]="Yes",1,0)</f>
        <v>0</v>
      </c>
      <c r="E1415" t="s">
        <v>57</v>
      </c>
      <c r="F1415" s="2">
        <v>977</v>
      </c>
      <c r="G1415" t="s">
        <v>39</v>
      </c>
      <c r="H1415">
        <v>2</v>
      </c>
      <c r="I1415">
        <v>1</v>
      </c>
      <c r="J1415" t="str">
        <f t="shared" si="45"/>
        <v>Below College</v>
      </c>
      <c r="K1415" t="s">
        <v>43</v>
      </c>
      <c r="L1415">
        <v>4</v>
      </c>
      <c r="M1415" t="s">
        <v>40</v>
      </c>
      <c r="N1415" s="2">
        <v>57</v>
      </c>
      <c r="O1415">
        <v>3</v>
      </c>
      <c r="P1415">
        <v>1</v>
      </c>
      <c r="Q1415" t="s">
        <v>44</v>
      </c>
      <c r="R1415">
        <v>3</v>
      </c>
      <c r="S1415" t="s">
        <v>46</v>
      </c>
      <c r="T1415" s="2">
        <v>3977</v>
      </c>
      <c r="U1415" s="2">
        <v>7298</v>
      </c>
      <c r="V1415">
        <v>6</v>
      </c>
      <c r="W1415" t="s">
        <v>32</v>
      </c>
      <c r="X1415">
        <v>19</v>
      </c>
      <c r="Y1415">
        <v>3</v>
      </c>
      <c r="Z1415">
        <v>3</v>
      </c>
      <c r="AA1415">
        <v>80</v>
      </c>
      <c r="AB1415">
        <v>1</v>
      </c>
      <c r="AC1415">
        <v>7</v>
      </c>
      <c r="AD1415">
        <v>2</v>
      </c>
      <c r="AE1415">
        <v>2</v>
      </c>
      <c r="AF1415">
        <v>2</v>
      </c>
      <c r="AG1415">
        <v>2</v>
      </c>
      <c r="AH1415">
        <v>0</v>
      </c>
      <c r="AI1415">
        <v>2</v>
      </c>
    </row>
    <row r="1416" spans="1:35" x14ac:dyDescent="0.25">
      <c r="A1416">
        <v>47</v>
      </c>
      <c r="B1416" t="str">
        <f t="shared" si="44"/>
        <v>45-54</v>
      </c>
      <c r="C1416" s="1" t="s">
        <v>38</v>
      </c>
      <c r="D1416" s="17">
        <f>IF(Table1[[#This Row],[Attrition]]="Yes",1,0)</f>
        <v>0</v>
      </c>
      <c r="E1416" t="s">
        <v>57</v>
      </c>
      <c r="F1416" s="2">
        <v>1180</v>
      </c>
      <c r="G1416" t="s">
        <v>39</v>
      </c>
      <c r="H1416">
        <v>25</v>
      </c>
      <c r="I1416">
        <v>3</v>
      </c>
      <c r="J1416" t="str">
        <f t="shared" si="45"/>
        <v>Bachelor</v>
      </c>
      <c r="K1416" t="s">
        <v>45</v>
      </c>
      <c r="L1416">
        <v>1</v>
      </c>
      <c r="M1416" t="s">
        <v>40</v>
      </c>
      <c r="N1416" s="2">
        <v>84</v>
      </c>
      <c r="O1416">
        <v>3</v>
      </c>
      <c r="P1416">
        <v>3</v>
      </c>
      <c r="Q1416" t="s">
        <v>48</v>
      </c>
      <c r="R1416">
        <v>3</v>
      </c>
      <c r="S1416" t="s">
        <v>37</v>
      </c>
      <c r="T1416" s="2">
        <v>8633</v>
      </c>
      <c r="U1416" s="2">
        <v>13084</v>
      </c>
      <c r="V1416">
        <v>2</v>
      </c>
      <c r="W1416" t="s">
        <v>38</v>
      </c>
      <c r="X1416">
        <v>23</v>
      </c>
      <c r="Y1416">
        <v>4</v>
      </c>
      <c r="Z1416">
        <v>2</v>
      </c>
      <c r="AA1416">
        <v>80</v>
      </c>
      <c r="AB1416">
        <v>0</v>
      </c>
      <c r="AC1416">
        <v>25</v>
      </c>
      <c r="AD1416">
        <v>3</v>
      </c>
      <c r="AE1416">
        <v>3</v>
      </c>
      <c r="AF1416">
        <v>17</v>
      </c>
      <c r="AG1416">
        <v>14</v>
      </c>
      <c r="AH1416">
        <v>12</v>
      </c>
      <c r="AI1416">
        <v>11</v>
      </c>
    </row>
    <row r="1417" spans="1:35" x14ac:dyDescent="0.25">
      <c r="A1417">
        <v>33</v>
      </c>
      <c r="B1417" t="str">
        <f t="shared" si="44"/>
        <v>25-34</v>
      </c>
      <c r="C1417" s="1" t="s">
        <v>38</v>
      </c>
      <c r="D1417" s="17">
        <f>IF(Table1[[#This Row],[Attrition]]="Yes",1,0)</f>
        <v>0</v>
      </c>
      <c r="E1417" t="s">
        <v>49</v>
      </c>
      <c r="F1417" s="2">
        <v>1313</v>
      </c>
      <c r="G1417" t="s">
        <v>39</v>
      </c>
      <c r="H1417">
        <v>1</v>
      </c>
      <c r="I1417">
        <v>2</v>
      </c>
      <c r="J1417" t="str">
        <f t="shared" si="45"/>
        <v>College</v>
      </c>
      <c r="K1417" t="s">
        <v>45</v>
      </c>
      <c r="L1417">
        <v>2</v>
      </c>
      <c r="M1417" t="s">
        <v>40</v>
      </c>
      <c r="N1417" s="2">
        <v>59</v>
      </c>
      <c r="O1417">
        <v>2</v>
      </c>
      <c r="P1417">
        <v>1</v>
      </c>
      <c r="Q1417" t="s">
        <v>44</v>
      </c>
      <c r="R1417">
        <v>3</v>
      </c>
      <c r="S1417" t="s">
        <v>46</v>
      </c>
      <c r="T1417" s="2">
        <v>2008</v>
      </c>
      <c r="U1417" s="2">
        <v>20439</v>
      </c>
      <c r="V1417">
        <v>1</v>
      </c>
      <c r="W1417" t="s">
        <v>38</v>
      </c>
      <c r="X1417">
        <v>12</v>
      </c>
      <c r="Y1417">
        <v>3</v>
      </c>
      <c r="Z1417">
        <v>3</v>
      </c>
      <c r="AA1417">
        <v>80</v>
      </c>
      <c r="AB1417">
        <v>3</v>
      </c>
      <c r="AC1417">
        <v>1</v>
      </c>
      <c r="AD1417">
        <v>2</v>
      </c>
      <c r="AE1417">
        <v>2</v>
      </c>
      <c r="AF1417">
        <v>1</v>
      </c>
      <c r="AG1417">
        <v>1</v>
      </c>
      <c r="AH1417">
        <v>0</v>
      </c>
      <c r="AI1417">
        <v>0</v>
      </c>
    </row>
    <row r="1418" spans="1:35" x14ac:dyDescent="0.25">
      <c r="A1418">
        <v>38</v>
      </c>
      <c r="B1418" t="str">
        <f t="shared" si="44"/>
        <v>35-44</v>
      </c>
      <c r="C1418" s="1" t="s">
        <v>38</v>
      </c>
      <c r="D1418" s="17">
        <f>IF(Table1[[#This Row],[Attrition]]="Yes",1,0)</f>
        <v>0</v>
      </c>
      <c r="E1418" t="s">
        <v>57</v>
      </c>
      <c r="F1418" s="2">
        <v>1321</v>
      </c>
      <c r="G1418" t="s">
        <v>33</v>
      </c>
      <c r="H1418">
        <v>1</v>
      </c>
      <c r="I1418">
        <v>4</v>
      </c>
      <c r="J1418" t="str">
        <f t="shared" si="45"/>
        <v>Master</v>
      </c>
      <c r="K1418" t="s">
        <v>34</v>
      </c>
      <c r="L1418">
        <v>4</v>
      </c>
      <c r="M1418" t="s">
        <v>40</v>
      </c>
      <c r="N1418" s="2">
        <v>86</v>
      </c>
      <c r="O1418">
        <v>3</v>
      </c>
      <c r="P1418">
        <v>2</v>
      </c>
      <c r="Q1418" t="s">
        <v>36</v>
      </c>
      <c r="R1418">
        <v>2</v>
      </c>
      <c r="S1418" t="s">
        <v>42</v>
      </c>
      <c r="T1418" s="2">
        <v>4440</v>
      </c>
      <c r="U1418" s="2">
        <v>7636</v>
      </c>
      <c r="V1418">
        <v>0</v>
      </c>
      <c r="W1418" t="s">
        <v>38</v>
      </c>
      <c r="X1418">
        <v>15</v>
      </c>
      <c r="Y1418">
        <v>3</v>
      </c>
      <c r="Z1418">
        <v>1</v>
      </c>
      <c r="AA1418">
        <v>80</v>
      </c>
      <c r="AB1418">
        <v>2</v>
      </c>
      <c r="AC1418">
        <v>16</v>
      </c>
      <c r="AD1418">
        <v>3</v>
      </c>
      <c r="AE1418">
        <v>3</v>
      </c>
      <c r="AF1418">
        <v>15</v>
      </c>
      <c r="AG1418">
        <v>13</v>
      </c>
      <c r="AH1418">
        <v>5</v>
      </c>
      <c r="AI1418">
        <v>8</v>
      </c>
    </row>
    <row r="1419" spans="1:35" x14ac:dyDescent="0.25">
      <c r="A1419">
        <v>31</v>
      </c>
      <c r="B1419" t="str">
        <f t="shared" si="44"/>
        <v>25-34</v>
      </c>
      <c r="C1419" s="1" t="s">
        <v>38</v>
      </c>
      <c r="D1419" s="17">
        <f>IF(Table1[[#This Row],[Attrition]]="Yes",1,0)</f>
        <v>0</v>
      </c>
      <c r="E1419" t="s">
        <v>57</v>
      </c>
      <c r="F1419" s="2">
        <v>1154</v>
      </c>
      <c r="G1419" t="s">
        <v>33</v>
      </c>
      <c r="H1419">
        <v>2</v>
      </c>
      <c r="I1419">
        <v>2</v>
      </c>
      <c r="J1419" t="str">
        <f t="shared" si="45"/>
        <v>College</v>
      </c>
      <c r="K1419" t="s">
        <v>34</v>
      </c>
      <c r="L1419">
        <v>1</v>
      </c>
      <c r="M1419" t="s">
        <v>40</v>
      </c>
      <c r="N1419" s="2">
        <v>54</v>
      </c>
      <c r="O1419">
        <v>3</v>
      </c>
      <c r="P1419">
        <v>1</v>
      </c>
      <c r="Q1419" t="s">
        <v>51</v>
      </c>
      <c r="R1419">
        <v>3</v>
      </c>
      <c r="S1419" t="s">
        <v>42</v>
      </c>
      <c r="T1419" s="2">
        <v>3067</v>
      </c>
      <c r="U1419" s="2">
        <v>6393</v>
      </c>
      <c r="V1419">
        <v>0</v>
      </c>
      <c r="W1419" t="s">
        <v>38</v>
      </c>
      <c r="X1419">
        <v>19</v>
      </c>
      <c r="Y1419">
        <v>3</v>
      </c>
      <c r="Z1419">
        <v>3</v>
      </c>
      <c r="AA1419">
        <v>80</v>
      </c>
      <c r="AB1419">
        <v>1</v>
      </c>
      <c r="AC1419">
        <v>3</v>
      </c>
      <c r="AD1419">
        <v>1</v>
      </c>
      <c r="AE1419">
        <v>3</v>
      </c>
      <c r="AF1419">
        <v>2</v>
      </c>
      <c r="AG1419">
        <v>2</v>
      </c>
      <c r="AH1419">
        <v>1</v>
      </c>
      <c r="AI1419">
        <v>2</v>
      </c>
    </row>
    <row r="1420" spans="1:35" x14ac:dyDescent="0.25">
      <c r="A1420">
        <v>38</v>
      </c>
      <c r="B1420" t="str">
        <f t="shared" si="44"/>
        <v>35-44</v>
      </c>
      <c r="C1420" s="1" t="s">
        <v>38</v>
      </c>
      <c r="D1420" s="17">
        <f>IF(Table1[[#This Row],[Attrition]]="Yes",1,0)</f>
        <v>0</v>
      </c>
      <c r="E1420" t="s">
        <v>58</v>
      </c>
      <c r="F1420" s="2">
        <v>508</v>
      </c>
      <c r="G1420" t="s">
        <v>39</v>
      </c>
      <c r="H1420">
        <v>6</v>
      </c>
      <c r="I1420">
        <v>4</v>
      </c>
      <c r="J1420" t="str">
        <f t="shared" si="45"/>
        <v>Master</v>
      </c>
      <c r="K1420" t="s">
        <v>34</v>
      </c>
      <c r="L1420">
        <v>1</v>
      </c>
      <c r="M1420" t="s">
        <v>40</v>
      </c>
      <c r="N1420" s="2">
        <v>72</v>
      </c>
      <c r="O1420">
        <v>2</v>
      </c>
      <c r="P1420">
        <v>2</v>
      </c>
      <c r="Q1420" t="s">
        <v>47</v>
      </c>
      <c r="R1420">
        <v>3</v>
      </c>
      <c r="S1420" t="s">
        <v>42</v>
      </c>
      <c r="T1420" s="2">
        <v>5321</v>
      </c>
      <c r="U1420" s="2">
        <v>14284</v>
      </c>
      <c r="V1420">
        <v>2</v>
      </c>
      <c r="W1420" t="s">
        <v>38</v>
      </c>
      <c r="X1420">
        <v>11</v>
      </c>
      <c r="Y1420">
        <v>3</v>
      </c>
      <c r="Z1420">
        <v>4</v>
      </c>
      <c r="AA1420">
        <v>80</v>
      </c>
      <c r="AB1420">
        <v>1</v>
      </c>
      <c r="AC1420">
        <v>10</v>
      </c>
      <c r="AD1420">
        <v>1</v>
      </c>
      <c r="AE1420">
        <v>3</v>
      </c>
      <c r="AF1420">
        <v>8</v>
      </c>
      <c r="AG1420">
        <v>3</v>
      </c>
      <c r="AH1420">
        <v>7</v>
      </c>
      <c r="AI1420">
        <v>7</v>
      </c>
    </row>
    <row r="1421" spans="1:35" x14ac:dyDescent="0.25">
      <c r="A1421">
        <v>42</v>
      </c>
      <c r="B1421" t="str">
        <f t="shared" si="44"/>
        <v>35-44</v>
      </c>
      <c r="C1421" s="1" t="s">
        <v>38</v>
      </c>
      <c r="D1421" s="17">
        <f>IF(Table1[[#This Row],[Attrition]]="Yes",1,0)</f>
        <v>0</v>
      </c>
      <c r="E1421" t="s">
        <v>57</v>
      </c>
      <c r="F1421" s="2">
        <v>557</v>
      </c>
      <c r="G1421" t="s">
        <v>39</v>
      </c>
      <c r="H1421">
        <v>18</v>
      </c>
      <c r="I1421">
        <v>4</v>
      </c>
      <c r="J1421" t="str">
        <f t="shared" si="45"/>
        <v>Master</v>
      </c>
      <c r="K1421" t="s">
        <v>34</v>
      </c>
      <c r="L1421">
        <v>4</v>
      </c>
      <c r="M1421" t="s">
        <v>40</v>
      </c>
      <c r="N1421" s="2">
        <v>35</v>
      </c>
      <c r="O1421">
        <v>3</v>
      </c>
      <c r="P1421">
        <v>2</v>
      </c>
      <c r="Q1421" t="s">
        <v>41</v>
      </c>
      <c r="R1421">
        <v>1</v>
      </c>
      <c r="S1421" t="s">
        <v>46</v>
      </c>
      <c r="T1421" s="2">
        <v>5410</v>
      </c>
      <c r="U1421" s="2">
        <v>11189</v>
      </c>
      <c r="V1421">
        <v>6</v>
      </c>
      <c r="W1421" t="s">
        <v>32</v>
      </c>
      <c r="X1421">
        <v>17</v>
      </c>
      <c r="Y1421">
        <v>3</v>
      </c>
      <c r="Z1421">
        <v>3</v>
      </c>
      <c r="AA1421">
        <v>80</v>
      </c>
      <c r="AB1421">
        <v>1</v>
      </c>
      <c r="AC1421">
        <v>9</v>
      </c>
      <c r="AD1421">
        <v>3</v>
      </c>
      <c r="AE1421">
        <v>2</v>
      </c>
      <c r="AF1421">
        <v>4</v>
      </c>
      <c r="AG1421">
        <v>3</v>
      </c>
      <c r="AH1421">
        <v>1</v>
      </c>
      <c r="AI1421">
        <v>2</v>
      </c>
    </row>
    <row r="1422" spans="1:35" x14ac:dyDescent="0.25">
      <c r="A1422">
        <v>41</v>
      </c>
      <c r="B1422" t="str">
        <f t="shared" si="44"/>
        <v>35-44</v>
      </c>
      <c r="C1422" s="1" t="s">
        <v>38</v>
      </c>
      <c r="D1422" s="17">
        <f>IF(Table1[[#This Row],[Attrition]]="Yes",1,0)</f>
        <v>0</v>
      </c>
      <c r="E1422" t="s">
        <v>57</v>
      </c>
      <c r="F1422" s="2">
        <v>642</v>
      </c>
      <c r="G1422" t="s">
        <v>39</v>
      </c>
      <c r="H1422">
        <v>1</v>
      </c>
      <c r="I1422">
        <v>3</v>
      </c>
      <c r="J1422" t="str">
        <f t="shared" si="45"/>
        <v>Bachelor</v>
      </c>
      <c r="K1422" t="s">
        <v>34</v>
      </c>
      <c r="L1422">
        <v>4</v>
      </c>
      <c r="M1422" t="s">
        <v>40</v>
      </c>
      <c r="N1422" s="2">
        <v>76</v>
      </c>
      <c r="O1422">
        <v>3</v>
      </c>
      <c r="P1422">
        <v>1</v>
      </c>
      <c r="Q1422" t="s">
        <v>41</v>
      </c>
      <c r="R1422">
        <v>4</v>
      </c>
      <c r="S1422" t="s">
        <v>42</v>
      </c>
      <c r="T1422" s="2">
        <v>2782</v>
      </c>
      <c r="U1422" s="2">
        <v>21412</v>
      </c>
      <c r="V1422">
        <v>3</v>
      </c>
      <c r="W1422" t="s">
        <v>38</v>
      </c>
      <c r="X1422">
        <v>22</v>
      </c>
      <c r="Y1422">
        <v>4</v>
      </c>
      <c r="Z1422">
        <v>1</v>
      </c>
      <c r="AA1422">
        <v>80</v>
      </c>
      <c r="AB1422">
        <v>1</v>
      </c>
      <c r="AC1422">
        <v>12</v>
      </c>
      <c r="AD1422">
        <v>3</v>
      </c>
      <c r="AE1422">
        <v>3</v>
      </c>
      <c r="AF1422">
        <v>5</v>
      </c>
      <c r="AG1422">
        <v>3</v>
      </c>
      <c r="AH1422">
        <v>1</v>
      </c>
      <c r="AI1422">
        <v>0</v>
      </c>
    </row>
    <row r="1423" spans="1:35" x14ac:dyDescent="0.25">
      <c r="A1423">
        <v>47</v>
      </c>
      <c r="B1423" t="str">
        <f t="shared" si="44"/>
        <v>45-54</v>
      </c>
      <c r="C1423" s="1" t="s">
        <v>38</v>
      </c>
      <c r="D1423" s="17">
        <f>IF(Table1[[#This Row],[Attrition]]="Yes",1,0)</f>
        <v>0</v>
      </c>
      <c r="E1423" t="s">
        <v>49</v>
      </c>
      <c r="F1423" s="2">
        <v>1162</v>
      </c>
      <c r="G1423" t="s">
        <v>39</v>
      </c>
      <c r="H1423">
        <v>1</v>
      </c>
      <c r="I1423">
        <v>1</v>
      </c>
      <c r="J1423" t="str">
        <f t="shared" si="45"/>
        <v>Below College</v>
      </c>
      <c r="K1423" t="s">
        <v>45</v>
      </c>
      <c r="L1423">
        <v>3</v>
      </c>
      <c r="M1423" t="s">
        <v>35</v>
      </c>
      <c r="N1423" s="2">
        <v>98</v>
      </c>
      <c r="O1423">
        <v>3</v>
      </c>
      <c r="P1423">
        <v>3</v>
      </c>
      <c r="Q1423" t="s">
        <v>52</v>
      </c>
      <c r="R1423">
        <v>2</v>
      </c>
      <c r="S1423" t="s">
        <v>42</v>
      </c>
      <c r="T1423" s="2">
        <v>11957</v>
      </c>
      <c r="U1423" s="2">
        <v>17231</v>
      </c>
      <c r="V1423">
        <v>0</v>
      </c>
      <c r="W1423" t="s">
        <v>38</v>
      </c>
      <c r="X1423">
        <v>18</v>
      </c>
      <c r="Y1423">
        <v>3</v>
      </c>
      <c r="Z1423">
        <v>1</v>
      </c>
      <c r="AA1423">
        <v>80</v>
      </c>
      <c r="AB1423">
        <v>2</v>
      </c>
      <c r="AC1423">
        <v>14</v>
      </c>
      <c r="AD1423">
        <v>3</v>
      </c>
      <c r="AE1423">
        <v>1</v>
      </c>
      <c r="AF1423">
        <v>13</v>
      </c>
      <c r="AG1423">
        <v>8</v>
      </c>
      <c r="AH1423">
        <v>5</v>
      </c>
      <c r="AI1423">
        <v>12</v>
      </c>
    </row>
    <row r="1424" spans="1:35" x14ac:dyDescent="0.25">
      <c r="A1424">
        <v>35</v>
      </c>
      <c r="B1424" t="str">
        <f t="shared" si="44"/>
        <v>35-44</v>
      </c>
      <c r="C1424" s="1" t="s">
        <v>38</v>
      </c>
      <c r="D1424" s="17">
        <f>IF(Table1[[#This Row],[Attrition]]="Yes",1,0)</f>
        <v>0</v>
      </c>
      <c r="E1424" t="s">
        <v>57</v>
      </c>
      <c r="F1424" s="2">
        <v>1490</v>
      </c>
      <c r="G1424" t="s">
        <v>39</v>
      </c>
      <c r="H1424">
        <v>11</v>
      </c>
      <c r="I1424">
        <v>4</v>
      </c>
      <c r="J1424" t="str">
        <f t="shared" si="45"/>
        <v>Master</v>
      </c>
      <c r="K1424" t="s">
        <v>45</v>
      </c>
      <c r="L1424">
        <v>4</v>
      </c>
      <c r="M1424" t="s">
        <v>40</v>
      </c>
      <c r="N1424" s="2">
        <v>43</v>
      </c>
      <c r="O1424">
        <v>3</v>
      </c>
      <c r="P1424">
        <v>1</v>
      </c>
      <c r="Q1424" t="s">
        <v>44</v>
      </c>
      <c r="R1424">
        <v>3</v>
      </c>
      <c r="S1424" t="s">
        <v>42</v>
      </c>
      <c r="T1424" s="2">
        <v>2660</v>
      </c>
      <c r="U1424" s="2">
        <v>20232</v>
      </c>
      <c r="V1424">
        <v>7</v>
      </c>
      <c r="W1424" t="s">
        <v>32</v>
      </c>
      <c r="X1424">
        <v>11</v>
      </c>
      <c r="Y1424">
        <v>3</v>
      </c>
      <c r="Z1424">
        <v>3</v>
      </c>
      <c r="AA1424">
        <v>80</v>
      </c>
      <c r="AB1424">
        <v>1</v>
      </c>
      <c r="AC1424">
        <v>5</v>
      </c>
      <c r="AD1424">
        <v>3</v>
      </c>
      <c r="AE1424">
        <v>3</v>
      </c>
      <c r="AF1424">
        <v>2</v>
      </c>
      <c r="AG1424">
        <v>2</v>
      </c>
      <c r="AH1424">
        <v>2</v>
      </c>
      <c r="AI1424">
        <v>2</v>
      </c>
    </row>
    <row r="1425" spans="1:35" x14ac:dyDescent="0.25">
      <c r="A1425">
        <v>22</v>
      </c>
      <c r="B1425" t="str">
        <f t="shared" si="44"/>
        <v>18-24</v>
      </c>
      <c r="C1425" s="1" t="s">
        <v>38</v>
      </c>
      <c r="D1425" s="17">
        <f>IF(Table1[[#This Row],[Attrition]]="Yes",1,0)</f>
        <v>0</v>
      </c>
      <c r="E1425" t="s">
        <v>57</v>
      </c>
      <c r="F1425" s="2">
        <v>581</v>
      </c>
      <c r="G1425" t="s">
        <v>39</v>
      </c>
      <c r="H1425">
        <v>1</v>
      </c>
      <c r="I1425">
        <v>2</v>
      </c>
      <c r="J1425" t="str">
        <f t="shared" si="45"/>
        <v>College</v>
      </c>
      <c r="K1425" t="s">
        <v>34</v>
      </c>
      <c r="L1425">
        <v>4</v>
      </c>
      <c r="M1425" t="s">
        <v>40</v>
      </c>
      <c r="N1425" s="2">
        <v>63</v>
      </c>
      <c r="O1425">
        <v>3</v>
      </c>
      <c r="P1425">
        <v>1</v>
      </c>
      <c r="Q1425" t="s">
        <v>41</v>
      </c>
      <c r="R1425">
        <v>3</v>
      </c>
      <c r="S1425" t="s">
        <v>37</v>
      </c>
      <c r="T1425" s="2">
        <v>3375</v>
      </c>
      <c r="U1425" s="2">
        <v>17624</v>
      </c>
      <c r="V1425">
        <v>0</v>
      </c>
      <c r="W1425" t="s">
        <v>38</v>
      </c>
      <c r="X1425">
        <v>12</v>
      </c>
      <c r="Y1425">
        <v>3</v>
      </c>
      <c r="Z1425">
        <v>4</v>
      </c>
      <c r="AA1425">
        <v>80</v>
      </c>
      <c r="AB1425">
        <v>0</v>
      </c>
      <c r="AC1425">
        <v>4</v>
      </c>
      <c r="AD1425">
        <v>2</v>
      </c>
      <c r="AE1425">
        <v>4</v>
      </c>
      <c r="AF1425">
        <v>3</v>
      </c>
      <c r="AG1425">
        <v>2</v>
      </c>
      <c r="AH1425">
        <v>1</v>
      </c>
      <c r="AI1425">
        <v>2</v>
      </c>
    </row>
    <row r="1426" spans="1:35" x14ac:dyDescent="0.25">
      <c r="A1426">
        <v>35</v>
      </c>
      <c r="B1426" t="str">
        <f t="shared" si="44"/>
        <v>35-44</v>
      </c>
      <c r="C1426" s="1" t="s">
        <v>38</v>
      </c>
      <c r="D1426" s="17">
        <f>IF(Table1[[#This Row],[Attrition]]="Yes",1,0)</f>
        <v>0</v>
      </c>
      <c r="E1426" t="s">
        <v>57</v>
      </c>
      <c r="F1426" s="2">
        <v>1395</v>
      </c>
      <c r="G1426" t="s">
        <v>39</v>
      </c>
      <c r="H1426">
        <v>9</v>
      </c>
      <c r="I1426">
        <v>4</v>
      </c>
      <c r="J1426" t="str">
        <f t="shared" si="45"/>
        <v>Master</v>
      </c>
      <c r="K1426" t="s">
        <v>45</v>
      </c>
      <c r="L1426">
        <v>2</v>
      </c>
      <c r="M1426" t="s">
        <v>40</v>
      </c>
      <c r="N1426" s="2">
        <v>48</v>
      </c>
      <c r="O1426">
        <v>3</v>
      </c>
      <c r="P1426">
        <v>2</v>
      </c>
      <c r="Q1426" t="s">
        <v>41</v>
      </c>
      <c r="R1426">
        <v>3</v>
      </c>
      <c r="S1426" t="s">
        <v>37</v>
      </c>
      <c r="T1426" s="2">
        <v>5098</v>
      </c>
      <c r="U1426" s="2">
        <v>18698</v>
      </c>
      <c r="V1426">
        <v>1</v>
      </c>
      <c r="W1426" t="s">
        <v>38</v>
      </c>
      <c r="X1426">
        <v>19</v>
      </c>
      <c r="Y1426">
        <v>3</v>
      </c>
      <c r="Z1426">
        <v>2</v>
      </c>
      <c r="AA1426">
        <v>80</v>
      </c>
      <c r="AB1426">
        <v>0</v>
      </c>
      <c r="AC1426">
        <v>10</v>
      </c>
      <c r="AD1426">
        <v>5</v>
      </c>
      <c r="AE1426">
        <v>3</v>
      </c>
      <c r="AF1426">
        <v>10</v>
      </c>
      <c r="AG1426">
        <v>7</v>
      </c>
      <c r="AH1426">
        <v>0</v>
      </c>
      <c r="AI1426">
        <v>8</v>
      </c>
    </row>
    <row r="1427" spans="1:35" x14ac:dyDescent="0.25">
      <c r="A1427">
        <v>33</v>
      </c>
      <c r="B1427" t="str">
        <f t="shared" si="44"/>
        <v>25-34</v>
      </c>
      <c r="C1427" s="1" t="s">
        <v>38</v>
      </c>
      <c r="D1427" s="17">
        <f>IF(Table1[[#This Row],[Attrition]]="Yes",1,0)</f>
        <v>0</v>
      </c>
      <c r="E1427" t="s">
        <v>57</v>
      </c>
      <c r="F1427" s="2">
        <v>501</v>
      </c>
      <c r="G1427" t="s">
        <v>39</v>
      </c>
      <c r="H1427">
        <v>15</v>
      </c>
      <c r="I1427">
        <v>2</v>
      </c>
      <c r="J1427" t="str">
        <f t="shared" si="45"/>
        <v>College</v>
      </c>
      <c r="K1427" t="s">
        <v>45</v>
      </c>
      <c r="L1427">
        <v>2</v>
      </c>
      <c r="M1427" t="s">
        <v>35</v>
      </c>
      <c r="N1427" s="2">
        <v>95</v>
      </c>
      <c r="O1427">
        <v>3</v>
      </c>
      <c r="P1427">
        <v>2</v>
      </c>
      <c r="Q1427" t="s">
        <v>48</v>
      </c>
      <c r="R1427">
        <v>4</v>
      </c>
      <c r="S1427" t="s">
        <v>42</v>
      </c>
      <c r="T1427" s="2">
        <v>4878</v>
      </c>
      <c r="U1427" s="2">
        <v>21653</v>
      </c>
      <c r="V1427">
        <v>0</v>
      </c>
      <c r="W1427" t="s">
        <v>32</v>
      </c>
      <c r="X1427">
        <v>13</v>
      </c>
      <c r="Y1427">
        <v>3</v>
      </c>
      <c r="Z1427">
        <v>1</v>
      </c>
      <c r="AA1427">
        <v>80</v>
      </c>
      <c r="AB1427">
        <v>1</v>
      </c>
      <c r="AC1427">
        <v>10</v>
      </c>
      <c r="AD1427">
        <v>6</v>
      </c>
      <c r="AE1427">
        <v>3</v>
      </c>
      <c r="AF1427">
        <v>9</v>
      </c>
      <c r="AG1427">
        <v>7</v>
      </c>
      <c r="AH1427">
        <v>8</v>
      </c>
      <c r="AI1427">
        <v>1</v>
      </c>
    </row>
    <row r="1428" spans="1:35" x14ac:dyDescent="0.25">
      <c r="A1428">
        <v>32</v>
      </c>
      <c r="B1428" t="str">
        <f t="shared" si="44"/>
        <v>25-34</v>
      </c>
      <c r="C1428" s="1" t="s">
        <v>38</v>
      </c>
      <c r="D1428" s="17">
        <f>IF(Table1[[#This Row],[Attrition]]="Yes",1,0)</f>
        <v>0</v>
      </c>
      <c r="E1428" t="s">
        <v>57</v>
      </c>
      <c r="F1428" s="2">
        <v>267</v>
      </c>
      <c r="G1428" t="s">
        <v>39</v>
      </c>
      <c r="H1428">
        <v>29</v>
      </c>
      <c r="I1428">
        <v>4</v>
      </c>
      <c r="J1428" t="str">
        <f t="shared" si="45"/>
        <v>Master</v>
      </c>
      <c r="K1428" t="s">
        <v>34</v>
      </c>
      <c r="L1428">
        <v>3</v>
      </c>
      <c r="M1428" t="s">
        <v>35</v>
      </c>
      <c r="N1428" s="2">
        <v>49</v>
      </c>
      <c r="O1428">
        <v>2</v>
      </c>
      <c r="P1428">
        <v>1</v>
      </c>
      <c r="Q1428" t="s">
        <v>44</v>
      </c>
      <c r="R1428">
        <v>2</v>
      </c>
      <c r="S1428" t="s">
        <v>37</v>
      </c>
      <c r="T1428" s="2">
        <v>2837</v>
      </c>
      <c r="U1428" s="2">
        <v>15919</v>
      </c>
      <c r="V1428">
        <v>1</v>
      </c>
      <c r="W1428" t="s">
        <v>38</v>
      </c>
      <c r="X1428">
        <v>13</v>
      </c>
      <c r="Y1428">
        <v>3</v>
      </c>
      <c r="Z1428">
        <v>3</v>
      </c>
      <c r="AA1428">
        <v>80</v>
      </c>
      <c r="AB1428">
        <v>0</v>
      </c>
      <c r="AC1428">
        <v>6</v>
      </c>
      <c r="AD1428">
        <v>3</v>
      </c>
      <c r="AE1428">
        <v>3</v>
      </c>
      <c r="AF1428">
        <v>6</v>
      </c>
      <c r="AG1428">
        <v>2</v>
      </c>
      <c r="AH1428">
        <v>4</v>
      </c>
      <c r="AI1428">
        <v>1</v>
      </c>
    </row>
    <row r="1429" spans="1:35" x14ac:dyDescent="0.25">
      <c r="A1429">
        <v>40</v>
      </c>
      <c r="B1429" t="str">
        <f t="shared" si="44"/>
        <v>35-44</v>
      </c>
      <c r="C1429" s="1" t="s">
        <v>38</v>
      </c>
      <c r="D1429" s="17">
        <f>IF(Table1[[#This Row],[Attrition]]="Yes",1,0)</f>
        <v>0</v>
      </c>
      <c r="E1429" t="s">
        <v>57</v>
      </c>
      <c r="F1429" s="2">
        <v>543</v>
      </c>
      <c r="G1429" t="s">
        <v>39</v>
      </c>
      <c r="H1429">
        <v>1</v>
      </c>
      <c r="I1429">
        <v>4</v>
      </c>
      <c r="J1429" t="str">
        <f t="shared" si="45"/>
        <v>Master</v>
      </c>
      <c r="K1429" t="s">
        <v>34</v>
      </c>
      <c r="L1429">
        <v>1</v>
      </c>
      <c r="M1429" t="s">
        <v>40</v>
      </c>
      <c r="N1429" s="2">
        <v>83</v>
      </c>
      <c r="O1429">
        <v>3</v>
      </c>
      <c r="P1429">
        <v>1</v>
      </c>
      <c r="Q1429" t="s">
        <v>44</v>
      </c>
      <c r="R1429">
        <v>4</v>
      </c>
      <c r="S1429" t="s">
        <v>42</v>
      </c>
      <c r="T1429" s="2">
        <v>2406</v>
      </c>
      <c r="U1429" s="2">
        <v>4060</v>
      </c>
      <c r="V1429">
        <v>8</v>
      </c>
      <c r="W1429" t="s">
        <v>38</v>
      </c>
      <c r="X1429">
        <v>19</v>
      </c>
      <c r="Y1429">
        <v>3</v>
      </c>
      <c r="Z1429">
        <v>3</v>
      </c>
      <c r="AA1429">
        <v>80</v>
      </c>
      <c r="AB1429">
        <v>2</v>
      </c>
      <c r="AC1429">
        <v>8</v>
      </c>
      <c r="AD1429">
        <v>3</v>
      </c>
      <c r="AE1429">
        <v>2</v>
      </c>
      <c r="AF1429">
        <v>1</v>
      </c>
      <c r="AG1429">
        <v>0</v>
      </c>
      <c r="AH1429">
        <v>0</v>
      </c>
      <c r="AI1429">
        <v>0</v>
      </c>
    </row>
    <row r="1430" spans="1:35" x14ac:dyDescent="0.25">
      <c r="A1430">
        <v>32</v>
      </c>
      <c r="B1430" t="str">
        <f t="shared" si="44"/>
        <v>25-34</v>
      </c>
      <c r="C1430" s="1" t="s">
        <v>38</v>
      </c>
      <c r="D1430" s="17">
        <f>IF(Table1[[#This Row],[Attrition]]="Yes",1,0)</f>
        <v>0</v>
      </c>
      <c r="E1430" t="s">
        <v>57</v>
      </c>
      <c r="F1430" s="2">
        <v>234</v>
      </c>
      <c r="G1430" t="s">
        <v>33</v>
      </c>
      <c r="H1430">
        <v>1</v>
      </c>
      <c r="I1430">
        <v>4</v>
      </c>
      <c r="J1430" t="str">
        <f t="shared" si="45"/>
        <v>Master</v>
      </c>
      <c r="K1430" t="s">
        <v>45</v>
      </c>
      <c r="L1430">
        <v>2</v>
      </c>
      <c r="M1430" t="s">
        <v>40</v>
      </c>
      <c r="N1430" s="2">
        <v>68</v>
      </c>
      <c r="O1430">
        <v>2</v>
      </c>
      <c r="P1430">
        <v>1</v>
      </c>
      <c r="Q1430" t="s">
        <v>51</v>
      </c>
      <c r="R1430">
        <v>2</v>
      </c>
      <c r="S1430" t="s">
        <v>42</v>
      </c>
      <c r="T1430" s="2">
        <v>2269</v>
      </c>
      <c r="U1430" s="2">
        <v>18024</v>
      </c>
      <c r="V1430">
        <v>0</v>
      </c>
      <c r="W1430" t="s">
        <v>38</v>
      </c>
      <c r="X1430">
        <v>14</v>
      </c>
      <c r="Y1430">
        <v>3</v>
      </c>
      <c r="Z1430">
        <v>2</v>
      </c>
      <c r="AA1430">
        <v>80</v>
      </c>
      <c r="AB1430">
        <v>1</v>
      </c>
      <c r="AC1430">
        <v>3</v>
      </c>
      <c r="AD1430">
        <v>2</v>
      </c>
      <c r="AE1430">
        <v>3</v>
      </c>
      <c r="AF1430">
        <v>2</v>
      </c>
      <c r="AG1430">
        <v>2</v>
      </c>
      <c r="AH1430">
        <v>2</v>
      </c>
      <c r="AI1430">
        <v>2</v>
      </c>
    </row>
    <row r="1431" spans="1:35" x14ac:dyDescent="0.25">
      <c r="A1431">
        <v>39</v>
      </c>
      <c r="B1431" t="str">
        <f t="shared" si="44"/>
        <v>35-44</v>
      </c>
      <c r="C1431" s="1" t="s">
        <v>38</v>
      </c>
      <c r="D1431" s="17">
        <f>IF(Table1[[#This Row],[Attrition]]="Yes",1,0)</f>
        <v>0</v>
      </c>
      <c r="E1431" t="s">
        <v>57</v>
      </c>
      <c r="F1431" s="2">
        <v>116</v>
      </c>
      <c r="G1431" t="s">
        <v>39</v>
      </c>
      <c r="H1431">
        <v>24</v>
      </c>
      <c r="I1431">
        <v>1</v>
      </c>
      <c r="J1431" t="str">
        <f t="shared" si="45"/>
        <v>Below College</v>
      </c>
      <c r="K1431" t="s">
        <v>34</v>
      </c>
      <c r="L1431">
        <v>1</v>
      </c>
      <c r="M1431" t="s">
        <v>40</v>
      </c>
      <c r="N1431" s="2">
        <v>52</v>
      </c>
      <c r="O1431">
        <v>3</v>
      </c>
      <c r="P1431">
        <v>2</v>
      </c>
      <c r="Q1431" t="s">
        <v>41</v>
      </c>
      <c r="R1431">
        <v>4</v>
      </c>
      <c r="S1431" t="s">
        <v>37</v>
      </c>
      <c r="T1431" s="2">
        <v>4108</v>
      </c>
      <c r="U1431" s="2">
        <v>5340</v>
      </c>
      <c r="V1431">
        <v>7</v>
      </c>
      <c r="W1431" t="s">
        <v>38</v>
      </c>
      <c r="X1431">
        <v>13</v>
      </c>
      <c r="Y1431">
        <v>3</v>
      </c>
      <c r="Z1431">
        <v>1</v>
      </c>
      <c r="AA1431">
        <v>80</v>
      </c>
      <c r="AB1431">
        <v>0</v>
      </c>
      <c r="AC1431">
        <v>18</v>
      </c>
      <c r="AD1431">
        <v>2</v>
      </c>
      <c r="AE1431">
        <v>3</v>
      </c>
      <c r="AF1431">
        <v>7</v>
      </c>
      <c r="AG1431">
        <v>7</v>
      </c>
      <c r="AH1431">
        <v>1</v>
      </c>
      <c r="AI1431">
        <v>7</v>
      </c>
    </row>
    <row r="1432" spans="1:35" x14ac:dyDescent="0.25">
      <c r="A1432">
        <v>38</v>
      </c>
      <c r="B1432" t="str">
        <f t="shared" si="44"/>
        <v>35-44</v>
      </c>
      <c r="C1432" s="1" t="s">
        <v>38</v>
      </c>
      <c r="D1432" s="17">
        <f>IF(Table1[[#This Row],[Attrition]]="Yes",1,0)</f>
        <v>0</v>
      </c>
      <c r="E1432" t="s">
        <v>57</v>
      </c>
      <c r="F1432" s="2">
        <v>201</v>
      </c>
      <c r="G1432" t="s">
        <v>39</v>
      </c>
      <c r="H1432">
        <v>10</v>
      </c>
      <c r="I1432">
        <v>3</v>
      </c>
      <c r="J1432" t="str">
        <f t="shared" si="45"/>
        <v>Bachelor</v>
      </c>
      <c r="K1432" t="s">
        <v>45</v>
      </c>
      <c r="L1432">
        <v>2</v>
      </c>
      <c r="M1432" t="s">
        <v>35</v>
      </c>
      <c r="N1432" s="2">
        <v>99</v>
      </c>
      <c r="O1432">
        <v>1</v>
      </c>
      <c r="P1432">
        <v>3</v>
      </c>
      <c r="Q1432" t="s">
        <v>52</v>
      </c>
      <c r="R1432">
        <v>3</v>
      </c>
      <c r="S1432" t="s">
        <v>42</v>
      </c>
      <c r="T1432" s="2">
        <v>13206</v>
      </c>
      <c r="U1432" s="2">
        <v>3376</v>
      </c>
      <c r="V1432">
        <v>3</v>
      </c>
      <c r="W1432" t="s">
        <v>38</v>
      </c>
      <c r="X1432">
        <v>12</v>
      </c>
      <c r="Y1432">
        <v>3</v>
      </c>
      <c r="Z1432">
        <v>1</v>
      </c>
      <c r="AA1432">
        <v>80</v>
      </c>
      <c r="AB1432">
        <v>1</v>
      </c>
      <c r="AC1432">
        <v>20</v>
      </c>
      <c r="AD1432">
        <v>3</v>
      </c>
      <c r="AE1432">
        <v>3</v>
      </c>
      <c r="AF1432">
        <v>18</v>
      </c>
      <c r="AG1432">
        <v>16</v>
      </c>
      <c r="AH1432">
        <v>1</v>
      </c>
      <c r="AI1432">
        <v>11</v>
      </c>
    </row>
    <row r="1433" spans="1:35" x14ac:dyDescent="0.25">
      <c r="A1433">
        <v>32</v>
      </c>
      <c r="B1433" t="str">
        <f t="shared" si="44"/>
        <v>25-34</v>
      </c>
      <c r="C1433" s="1" t="s">
        <v>38</v>
      </c>
      <c r="D1433" s="17">
        <f>IF(Table1[[#This Row],[Attrition]]="Yes",1,0)</f>
        <v>0</v>
      </c>
      <c r="E1433" t="s">
        <v>57</v>
      </c>
      <c r="F1433" s="2">
        <v>801</v>
      </c>
      <c r="G1433" t="s">
        <v>33</v>
      </c>
      <c r="H1433">
        <v>1</v>
      </c>
      <c r="I1433">
        <v>4</v>
      </c>
      <c r="J1433" t="str">
        <f t="shared" si="45"/>
        <v>Master</v>
      </c>
      <c r="K1433" t="s">
        <v>53</v>
      </c>
      <c r="L1433">
        <v>3</v>
      </c>
      <c r="M1433" t="s">
        <v>35</v>
      </c>
      <c r="N1433" s="2">
        <v>48</v>
      </c>
      <c r="O1433">
        <v>3</v>
      </c>
      <c r="P1433">
        <v>3</v>
      </c>
      <c r="Q1433" t="s">
        <v>36</v>
      </c>
      <c r="R1433">
        <v>4</v>
      </c>
      <c r="S1433" t="s">
        <v>42</v>
      </c>
      <c r="T1433" s="2">
        <v>10422</v>
      </c>
      <c r="U1433" s="2">
        <v>24032</v>
      </c>
      <c r="V1433">
        <v>1</v>
      </c>
      <c r="W1433" t="s">
        <v>38</v>
      </c>
      <c r="X1433">
        <v>19</v>
      </c>
      <c r="Y1433">
        <v>3</v>
      </c>
      <c r="Z1433">
        <v>3</v>
      </c>
      <c r="AA1433">
        <v>80</v>
      </c>
      <c r="AB1433">
        <v>2</v>
      </c>
      <c r="AC1433">
        <v>14</v>
      </c>
      <c r="AD1433">
        <v>3</v>
      </c>
      <c r="AE1433">
        <v>3</v>
      </c>
      <c r="AF1433">
        <v>14</v>
      </c>
      <c r="AG1433">
        <v>10</v>
      </c>
      <c r="AH1433">
        <v>5</v>
      </c>
      <c r="AI1433">
        <v>7</v>
      </c>
    </row>
    <row r="1434" spans="1:35" x14ac:dyDescent="0.25">
      <c r="A1434">
        <v>37</v>
      </c>
      <c r="B1434" t="str">
        <f t="shared" si="44"/>
        <v>35-44</v>
      </c>
      <c r="C1434" s="1" t="s">
        <v>38</v>
      </c>
      <c r="D1434" s="17">
        <f>IF(Table1[[#This Row],[Attrition]]="Yes",1,0)</f>
        <v>0</v>
      </c>
      <c r="E1434" t="s">
        <v>57</v>
      </c>
      <c r="F1434" s="2">
        <v>161</v>
      </c>
      <c r="G1434" t="s">
        <v>39</v>
      </c>
      <c r="H1434">
        <v>10</v>
      </c>
      <c r="I1434">
        <v>3</v>
      </c>
      <c r="J1434" t="str">
        <f t="shared" si="45"/>
        <v>Bachelor</v>
      </c>
      <c r="K1434" t="s">
        <v>34</v>
      </c>
      <c r="L1434">
        <v>3</v>
      </c>
      <c r="M1434" t="s">
        <v>35</v>
      </c>
      <c r="N1434" s="2">
        <v>42</v>
      </c>
      <c r="O1434">
        <v>4</v>
      </c>
      <c r="P1434">
        <v>3</v>
      </c>
      <c r="Q1434" t="s">
        <v>52</v>
      </c>
      <c r="R1434">
        <v>4</v>
      </c>
      <c r="S1434" t="s">
        <v>42</v>
      </c>
      <c r="T1434" s="2">
        <v>13744</v>
      </c>
      <c r="U1434" s="2">
        <v>15471</v>
      </c>
      <c r="V1434">
        <v>1</v>
      </c>
      <c r="W1434" t="s">
        <v>32</v>
      </c>
      <c r="X1434">
        <v>25</v>
      </c>
      <c r="Y1434">
        <v>4</v>
      </c>
      <c r="Z1434">
        <v>1</v>
      </c>
      <c r="AA1434">
        <v>80</v>
      </c>
      <c r="AB1434">
        <v>1</v>
      </c>
      <c r="AC1434">
        <v>16</v>
      </c>
      <c r="AD1434">
        <v>2</v>
      </c>
      <c r="AE1434">
        <v>3</v>
      </c>
      <c r="AF1434">
        <v>16</v>
      </c>
      <c r="AG1434">
        <v>11</v>
      </c>
      <c r="AH1434">
        <v>6</v>
      </c>
      <c r="AI1434">
        <v>8</v>
      </c>
    </row>
    <row r="1435" spans="1:35" x14ac:dyDescent="0.25">
      <c r="A1435">
        <v>25</v>
      </c>
      <c r="B1435" t="str">
        <f t="shared" si="44"/>
        <v>25-34</v>
      </c>
      <c r="C1435" s="1" t="s">
        <v>38</v>
      </c>
      <c r="D1435" s="17">
        <f>IF(Table1[[#This Row],[Attrition]]="Yes",1,0)</f>
        <v>0</v>
      </c>
      <c r="E1435" t="s">
        <v>57</v>
      </c>
      <c r="F1435" s="2">
        <v>1382</v>
      </c>
      <c r="G1435" t="s">
        <v>33</v>
      </c>
      <c r="H1435">
        <v>8</v>
      </c>
      <c r="I1435">
        <v>2</v>
      </c>
      <c r="J1435" t="str">
        <f t="shared" si="45"/>
        <v>College</v>
      </c>
      <c r="K1435" t="s">
        <v>43</v>
      </c>
      <c r="L1435">
        <v>1</v>
      </c>
      <c r="M1435" t="s">
        <v>35</v>
      </c>
      <c r="N1435" s="2">
        <v>85</v>
      </c>
      <c r="O1435">
        <v>3</v>
      </c>
      <c r="P1435">
        <v>2</v>
      </c>
      <c r="Q1435" t="s">
        <v>36</v>
      </c>
      <c r="R1435">
        <v>3</v>
      </c>
      <c r="S1435" t="s">
        <v>46</v>
      </c>
      <c r="T1435" s="2">
        <v>4907</v>
      </c>
      <c r="U1435" s="2">
        <v>13684</v>
      </c>
      <c r="V1435">
        <v>0</v>
      </c>
      <c r="W1435" t="s">
        <v>32</v>
      </c>
      <c r="X1435">
        <v>22</v>
      </c>
      <c r="Y1435">
        <v>4</v>
      </c>
      <c r="Z1435">
        <v>2</v>
      </c>
      <c r="AA1435">
        <v>80</v>
      </c>
      <c r="AB1435">
        <v>1</v>
      </c>
      <c r="AC1435">
        <v>6</v>
      </c>
      <c r="AD1435">
        <v>3</v>
      </c>
      <c r="AE1435">
        <v>2</v>
      </c>
      <c r="AF1435">
        <v>5</v>
      </c>
      <c r="AG1435">
        <v>3</v>
      </c>
      <c r="AH1435">
        <v>0</v>
      </c>
      <c r="AI1435">
        <v>4</v>
      </c>
    </row>
    <row r="1436" spans="1:35" x14ac:dyDescent="0.25">
      <c r="A1436">
        <v>52</v>
      </c>
      <c r="B1436" t="str">
        <f t="shared" si="44"/>
        <v>45-54</v>
      </c>
      <c r="C1436" s="1" t="s">
        <v>38</v>
      </c>
      <c r="D1436" s="17">
        <f>IF(Table1[[#This Row],[Attrition]]="Yes",1,0)</f>
        <v>0</v>
      </c>
      <c r="E1436" t="s">
        <v>49</v>
      </c>
      <c r="F1436" s="2">
        <v>585</v>
      </c>
      <c r="G1436" t="s">
        <v>33</v>
      </c>
      <c r="H1436">
        <v>29</v>
      </c>
      <c r="I1436">
        <v>4</v>
      </c>
      <c r="J1436" t="str">
        <f t="shared" si="45"/>
        <v>Master</v>
      </c>
      <c r="K1436" t="s">
        <v>34</v>
      </c>
      <c r="L1436">
        <v>1</v>
      </c>
      <c r="M1436" t="s">
        <v>40</v>
      </c>
      <c r="N1436" s="2">
        <v>40</v>
      </c>
      <c r="O1436">
        <v>3</v>
      </c>
      <c r="P1436">
        <v>1</v>
      </c>
      <c r="Q1436" t="s">
        <v>51</v>
      </c>
      <c r="R1436">
        <v>4</v>
      </c>
      <c r="S1436" t="s">
        <v>46</v>
      </c>
      <c r="T1436" s="2">
        <v>3482</v>
      </c>
      <c r="U1436" s="2">
        <v>19788</v>
      </c>
      <c r="V1436">
        <v>2</v>
      </c>
      <c r="W1436" t="s">
        <v>38</v>
      </c>
      <c r="X1436">
        <v>15</v>
      </c>
      <c r="Y1436">
        <v>3</v>
      </c>
      <c r="Z1436">
        <v>2</v>
      </c>
      <c r="AA1436">
        <v>80</v>
      </c>
      <c r="AB1436">
        <v>2</v>
      </c>
      <c r="AC1436">
        <v>16</v>
      </c>
      <c r="AD1436">
        <v>3</v>
      </c>
      <c r="AE1436">
        <v>2</v>
      </c>
      <c r="AF1436">
        <v>9</v>
      </c>
      <c r="AG1436">
        <v>8</v>
      </c>
      <c r="AH1436">
        <v>0</v>
      </c>
      <c r="AI1436">
        <v>0</v>
      </c>
    </row>
    <row r="1437" spans="1:35" x14ac:dyDescent="0.25">
      <c r="A1437">
        <v>44</v>
      </c>
      <c r="B1437" t="str">
        <f t="shared" si="44"/>
        <v>35-44</v>
      </c>
      <c r="C1437" s="1" t="s">
        <v>38</v>
      </c>
      <c r="D1437" s="17">
        <f>IF(Table1[[#This Row],[Attrition]]="Yes",1,0)</f>
        <v>0</v>
      </c>
      <c r="E1437" t="s">
        <v>57</v>
      </c>
      <c r="F1437" s="2">
        <v>1037</v>
      </c>
      <c r="G1437" t="s">
        <v>39</v>
      </c>
      <c r="H1437">
        <v>1</v>
      </c>
      <c r="I1437">
        <v>3</v>
      </c>
      <c r="J1437" t="str">
        <f t="shared" si="45"/>
        <v>Bachelor</v>
      </c>
      <c r="K1437" t="s">
        <v>45</v>
      </c>
      <c r="L1437">
        <v>2</v>
      </c>
      <c r="M1437" t="s">
        <v>40</v>
      </c>
      <c r="N1437" s="2">
        <v>42</v>
      </c>
      <c r="O1437">
        <v>3</v>
      </c>
      <c r="P1437">
        <v>1</v>
      </c>
      <c r="Q1437" t="s">
        <v>41</v>
      </c>
      <c r="R1437">
        <v>4</v>
      </c>
      <c r="S1437" t="s">
        <v>37</v>
      </c>
      <c r="T1437" s="2">
        <v>2436</v>
      </c>
      <c r="U1437" s="2">
        <v>13422</v>
      </c>
      <c r="V1437">
        <v>6</v>
      </c>
      <c r="W1437" t="s">
        <v>32</v>
      </c>
      <c r="X1437">
        <v>12</v>
      </c>
      <c r="Y1437">
        <v>3</v>
      </c>
      <c r="Z1437">
        <v>3</v>
      </c>
      <c r="AA1437">
        <v>80</v>
      </c>
      <c r="AB1437">
        <v>0</v>
      </c>
      <c r="AC1437">
        <v>6</v>
      </c>
      <c r="AD1437">
        <v>2</v>
      </c>
      <c r="AE1437">
        <v>3</v>
      </c>
      <c r="AF1437">
        <v>4</v>
      </c>
      <c r="AG1437">
        <v>3</v>
      </c>
      <c r="AH1437">
        <v>1</v>
      </c>
      <c r="AI1437">
        <v>2</v>
      </c>
    </row>
    <row r="1438" spans="1:35" x14ac:dyDescent="0.25">
      <c r="A1438">
        <v>21</v>
      </c>
      <c r="B1438" t="str">
        <f t="shared" si="44"/>
        <v>18-24</v>
      </c>
      <c r="C1438" s="1" t="s">
        <v>38</v>
      </c>
      <c r="D1438" s="17">
        <f>IF(Table1[[#This Row],[Attrition]]="Yes",1,0)</f>
        <v>0</v>
      </c>
      <c r="E1438" t="s">
        <v>57</v>
      </c>
      <c r="F1438" s="2">
        <v>501</v>
      </c>
      <c r="G1438" t="s">
        <v>33</v>
      </c>
      <c r="H1438">
        <v>5</v>
      </c>
      <c r="I1438">
        <v>1</v>
      </c>
      <c r="J1438" t="str">
        <f t="shared" si="45"/>
        <v>Below College</v>
      </c>
      <c r="K1438" t="s">
        <v>45</v>
      </c>
      <c r="L1438">
        <v>3</v>
      </c>
      <c r="M1438" t="s">
        <v>40</v>
      </c>
      <c r="N1438" s="2">
        <v>58</v>
      </c>
      <c r="O1438">
        <v>3</v>
      </c>
      <c r="P1438">
        <v>1</v>
      </c>
      <c r="Q1438" t="s">
        <v>51</v>
      </c>
      <c r="R1438">
        <v>1</v>
      </c>
      <c r="S1438" t="s">
        <v>37</v>
      </c>
      <c r="T1438" s="2">
        <v>2380</v>
      </c>
      <c r="U1438" s="2">
        <v>25479</v>
      </c>
      <c r="V1438">
        <v>1</v>
      </c>
      <c r="W1438" t="s">
        <v>32</v>
      </c>
      <c r="X1438">
        <v>11</v>
      </c>
      <c r="Y1438">
        <v>3</v>
      </c>
      <c r="Z1438">
        <v>4</v>
      </c>
      <c r="AA1438">
        <v>80</v>
      </c>
      <c r="AB1438">
        <v>0</v>
      </c>
      <c r="AC1438">
        <v>2</v>
      </c>
      <c r="AD1438">
        <v>6</v>
      </c>
      <c r="AE1438">
        <v>3</v>
      </c>
      <c r="AF1438">
        <v>2</v>
      </c>
      <c r="AG1438">
        <v>2</v>
      </c>
      <c r="AH1438">
        <v>1</v>
      </c>
      <c r="AI1438">
        <v>2</v>
      </c>
    </row>
    <row r="1439" spans="1:35" x14ac:dyDescent="0.25">
      <c r="A1439">
        <v>39</v>
      </c>
      <c r="B1439" t="str">
        <f t="shared" si="44"/>
        <v>35-44</v>
      </c>
      <c r="C1439" s="1" t="s">
        <v>38</v>
      </c>
      <c r="D1439" s="17">
        <f>IF(Table1[[#This Row],[Attrition]]="Yes",1,0)</f>
        <v>0</v>
      </c>
      <c r="E1439" t="s">
        <v>49</v>
      </c>
      <c r="F1439" s="2">
        <v>105</v>
      </c>
      <c r="G1439" t="s">
        <v>39</v>
      </c>
      <c r="H1439">
        <v>9</v>
      </c>
      <c r="I1439">
        <v>3</v>
      </c>
      <c r="J1439" t="str">
        <f t="shared" si="45"/>
        <v>Bachelor</v>
      </c>
      <c r="K1439" t="s">
        <v>34</v>
      </c>
      <c r="L1439">
        <v>4</v>
      </c>
      <c r="M1439" t="s">
        <v>40</v>
      </c>
      <c r="N1439" s="2">
        <v>87</v>
      </c>
      <c r="O1439">
        <v>3</v>
      </c>
      <c r="P1439">
        <v>5</v>
      </c>
      <c r="Q1439" t="s">
        <v>50</v>
      </c>
      <c r="R1439">
        <v>4</v>
      </c>
      <c r="S1439" t="s">
        <v>37</v>
      </c>
      <c r="T1439" s="2">
        <v>19431</v>
      </c>
      <c r="U1439" s="2">
        <v>15302</v>
      </c>
      <c r="V1439">
        <v>2</v>
      </c>
      <c r="W1439" t="s">
        <v>38</v>
      </c>
      <c r="X1439">
        <v>13</v>
      </c>
      <c r="Y1439">
        <v>3</v>
      </c>
      <c r="Z1439">
        <v>3</v>
      </c>
      <c r="AA1439">
        <v>80</v>
      </c>
      <c r="AB1439">
        <v>0</v>
      </c>
      <c r="AC1439">
        <v>21</v>
      </c>
      <c r="AD1439">
        <v>3</v>
      </c>
      <c r="AE1439">
        <v>2</v>
      </c>
      <c r="AF1439">
        <v>6</v>
      </c>
      <c r="AG1439">
        <v>0</v>
      </c>
      <c r="AH1439">
        <v>1</v>
      </c>
      <c r="AI1439">
        <v>3</v>
      </c>
    </row>
    <row r="1440" spans="1:35" x14ac:dyDescent="0.25">
      <c r="A1440">
        <v>23</v>
      </c>
      <c r="B1440" t="str">
        <f t="shared" si="44"/>
        <v>18-24</v>
      </c>
      <c r="C1440" s="1" t="s">
        <v>32</v>
      </c>
      <c r="D1440" s="17">
        <f>IF(Table1[[#This Row],[Attrition]]="Yes",1,0)</f>
        <v>1</v>
      </c>
      <c r="E1440" t="s">
        <v>58</v>
      </c>
      <c r="F1440" s="2">
        <v>638</v>
      </c>
      <c r="G1440" t="s">
        <v>33</v>
      </c>
      <c r="H1440">
        <v>9</v>
      </c>
      <c r="I1440">
        <v>3</v>
      </c>
      <c r="J1440" t="str">
        <f t="shared" si="45"/>
        <v>Bachelor</v>
      </c>
      <c r="K1440" t="s">
        <v>53</v>
      </c>
      <c r="L1440">
        <v>4</v>
      </c>
      <c r="M1440" t="s">
        <v>40</v>
      </c>
      <c r="N1440" s="2">
        <v>33</v>
      </c>
      <c r="O1440">
        <v>3</v>
      </c>
      <c r="P1440">
        <v>1</v>
      </c>
      <c r="Q1440" t="s">
        <v>51</v>
      </c>
      <c r="R1440">
        <v>1</v>
      </c>
      <c r="S1440" t="s">
        <v>42</v>
      </c>
      <c r="T1440" s="2">
        <v>1790</v>
      </c>
      <c r="U1440" s="2">
        <v>26956</v>
      </c>
      <c r="V1440">
        <v>1</v>
      </c>
      <c r="W1440" t="s">
        <v>38</v>
      </c>
      <c r="X1440">
        <v>19</v>
      </c>
      <c r="Y1440">
        <v>3</v>
      </c>
      <c r="Z1440">
        <v>1</v>
      </c>
      <c r="AA1440">
        <v>80</v>
      </c>
      <c r="AB1440">
        <v>1</v>
      </c>
      <c r="AC1440">
        <v>1</v>
      </c>
      <c r="AD1440">
        <v>3</v>
      </c>
      <c r="AE1440">
        <v>2</v>
      </c>
      <c r="AF1440">
        <v>1</v>
      </c>
      <c r="AG1440">
        <v>0</v>
      </c>
      <c r="AH1440">
        <v>1</v>
      </c>
      <c r="AI1440">
        <v>0</v>
      </c>
    </row>
    <row r="1441" spans="1:35" x14ac:dyDescent="0.25">
      <c r="A1441">
        <v>36</v>
      </c>
      <c r="B1441" t="str">
        <f t="shared" si="44"/>
        <v>35-44</v>
      </c>
      <c r="C1441" s="1" t="s">
        <v>38</v>
      </c>
      <c r="D1441" s="17">
        <f>IF(Table1[[#This Row],[Attrition]]="Yes",1,0)</f>
        <v>0</v>
      </c>
      <c r="E1441" t="s">
        <v>57</v>
      </c>
      <c r="F1441" s="2">
        <v>557</v>
      </c>
      <c r="G1441" t="s">
        <v>33</v>
      </c>
      <c r="H1441">
        <v>3</v>
      </c>
      <c r="I1441">
        <v>3</v>
      </c>
      <c r="J1441" t="str">
        <f t="shared" si="45"/>
        <v>Bachelor</v>
      </c>
      <c r="K1441" t="s">
        <v>45</v>
      </c>
      <c r="L1441">
        <v>1</v>
      </c>
      <c r="M1441" t="s">
        <v>35</v>
      </c>
      <c r="N1441" s="2">
        <v>94</v>
      </c>
      <c r="O1441">
        <v>2</v>
      </c>
      <c r="P1441">
        <v>3</v>
      </c>
      <c r="Q1441" t="s">
        <v>36</v>
      </c>
      <c r="R1441">
        <v>4</v>
      </c>
      <c r="S1441" t="s">
        <v>42</v>
      </c>
      <c r="T1441" s="2">
        <v>7644</v>
      </c>
      <c r="U1441" s="2">
        <v>12695</v>
      </c>
      <c r="V1441">
        <v>0</v>
      </c>
      <c r="W1441" t="s">
        <v>38</v>
      </c>
      <c r="X1441">
        <v>19</v>
      </c>
      <c r="Y1441">
        <v>3</v>
      </c>
      <c r="Z1441">
        <v>3</v>
      </c>
      <c r="AA1441">
        <v>80</v>
      </c>
      <c r="AB1441">
        <v>2</v>
      </c>
      <c r="AC1441">
        <v>10</v>
      </c>
      <c r="AD1441">
        <v>2</v>
      </c>
      <c r="AE1441">
        <v>3</v>
      </c>
      <c r="AF1441">
        <v>9</v>
      </c>
      <c r="AG1441">
        <v>7</v>
      </c>
      <c r="AH1441">
        <v>3</v>
      </c>
      <c r="AI1441">
        <v>4</v>
      </c>
    </row>
    <row r="1442" spans="1:35" x14ac:dyDescent="0.25">
      <c r="A1442">
        <v>36</v>
      </c>
      <c r="B1442" t="str">
        <f t="shared" si="44"/>
        <v>35-44</v>
      </c>
      <c r="C1442" s="1" t="s">
        <v>38</v>
      </c>
      <c r="D1442" s="17">
        <f>IF(Table1[[#This Row],[Attrition]]="Yes",1,0)</f>
        <v>0</v>
      </c>
      <c r="E1442" t="s">
        <v>58</v>
      </c>
      <c r="F1442" s="2">
        <v>688</v>
      </c>
      <c r="G1442" t="s">
        <v>39</v>
      </c>
      <c r="H1442">
        <v>4</v>
      </c>
      <c r="I1442">
        <v>2</v>
      </c>
      <c r="J1442" t="str">
        <f t="shared" si="45"/>
        <v>College</v>
      </c>
      <c r="K1442" t="s">
        <v>34</v>
      </c>
      <c r="L1442">
        <v>4</v>
      </c>
      <c r="M1442" t="s">
        <v>35</v>
      </c>
      <c r="N1442" s="2">
        <v>97</v>
      </c>
      <c r="O1442">
        <v>3</v>
      </c>
      <c r="P1442">
        <v>2</v>
      </c>
      <c r="Q1442" t="s">
        <v>47</v>
      </c>
      <c r="R1442">
        <v>2</v>
      </c>
      <c r="S1442" t="s">
        <v>46</v>
      </c>
      <c r="T1442" s="2">
        <v>5131</v>
      </c>
      <c r="U1442" s="2">
        <v>9192</v>
      </c>
      <c r="V1442">
        <v>7</v>
      </c>
      <c r="W1442" t="s">
        <v>38</v>
      </c>
      <c r="X1442">
        <v>13</v>
      </c>
      <c r="Y1442">
        <v>3</v>
      </c>
      <c r="Z1442">
        <v>2</v>
      </c>
      <c r="AA1442">
        <v>80</v>
      </c>
      <c r="AB1442">
        <v>3</v>
      </c>
      <c r="AC1442">
        <v>18</v>
      </c>
      <c r="AD1442">
        <v>3</v>
      </c>
      <c r="AE1442">
        <v>3</v>
      </c>
      <c r="AF1442">
        <v>4</v>
      </c>
      <c r="AG1442">
        <v>2</v>
      </c>
      <c r="AH1442">
        <v>0</v>
      </c>
      <c r="AI1442">
        <v>2</v>
      </c>
    </row>
    <row r="1443" spans="1:35" x14ac:dyDescent="0.25">
      <c r="A1443">
        <v>56</v>
      </c>
      <c r="B1443" t="str">
        <f t="shared" si="44"/>
        <v>55-64</v>
      </c>
      <c r="C1443" s="1" t="s">
        <v>38</v>
      </c>
      <c r="D1443" s="17">
        <f>IF(Table1[[#This Row],[Attrition]]="Yes",1,0)</f>
        <v>0</v>
      </c>
      <c r="E1443" t="s">
        <v>49</v>
      </c>
      <c r="F1443" s="2">
        <v>667</v>
      </c>
      <c r="G1443" t="s">
        <v>39</v>
      </c>
      <c r="H1443">
        <v>1</v>
      </c>
      <c r="I1443">
        <v>4</v>
      </c>
      <c r="J1443" t="str">
        <f t="shared" si="45"/>
        <v>Master</v>
      </c>
      <c r="K1443" t="s">
        <v>34</v>
      </c>
      <c r="L1443">
        <v>3</v>
      </c>
      <c r="M1443" t="s">
        <v>40</v>
      </c>
      <c r="N1443" s="2">
        <v>57</v>
      </c>
      <c r="O1443">
        <v>3</v>
      </c>
      <c r="P1443">
        <v>2</v>
      </c>
      <c r="Q1443" t="s">
        <v>48</v>
      </c>
      <c r="R1443">
        <v>3</v>
      </c>
      <c r="S1443" t="s">
        <v>46</v>
      </c>
      <c r="T1443" s="2">
        <v>6306</v>
      </c>
      <c r="U1443" s="2">
        <v>26236</v>
      </c>
      <c r="V1443">
        <v>1</v>
      </c>
      <c r="W1443" t="s">
        <v>38</v>
      </c>
      <c r="X1443">
        <v>21</v>
      </c>
      <c r="Y1443">
        <v>4</v>
      </c>
      <c r="Z1443">
        <v>1</v>
      </c>
      <c r="AA1443">
        <v>80</v>
      </c>
      <c r="AB1443">
        <v>1</v>
      </c>
      <c r="AC1443">
        <v>13</v>
      </c>
      <c r="AD1443">
        <v>2</v>
      </c>
      <c r="AE1443">
        <v>2</v>
      </c>
      <c r="AF1443">
        <v>13</v>
      </c>
      <c r="AG1443">
        <v>12</v>
      </c>
      <c r="AH1443">
        <v>1</v>
      </c>
      <c r="AI1443">
        <v>9</v>
      </c>
    </row>
    <row r="1444" spans="1:35" x14ac:dyDescent="0.25">
      <c r="A1444">
        <v>29</v>
      </c>
      <c r="B1444" t="str">
        <f t="shared" si="44"/>
        <v>25-34</v>
      </c>
      <c r="C1444" s="1" t="s">
        <v>32</v>
      </c>
      <c r="D1444" s="17">
        <f>IF(Table1[[#This Row],[Attrition]]="Yes",1,0)</f>
        <v>1</v>
      </c>
      <c r="E1444" t="s">
        <v>57</v>
      </c>
      <c r="F1444" s="2">
        <v>1092</v>
      </c>
      <c r="G1444" t="s">
        <v>39</v>
      </c>
      <c r="H1444">
        <v>1</v>
      </c>
      <c r="I1444">
        <v>4</v>
      </c>
      <c r="J1444" t="str">
        <f t="shared" si="45"/>
        <v>Master</v>
      </c>
      <c r="K1444" t="s">
        <v>45</v>
      </c>
      <c r="L1444">
        <v>1</v>
      </c>
      <c r="M1444" t="s">
        <v>40</v>
      </c>
      <c r="N1444" s="2">
        <v>36</v>
      </c>
      <c r="O1444">
        <v>3</v>
      </c>
      <c r="P1444">
        <v>1</v>
      </c>
      <c r="Q1444" t="s">
        <v>41</v>
      </c>
      <c r="R1444">
        <v>4</v>
      </c>
      <c r="S1444" t="s">
        <v>42</v>
      </c>
      <c r="T1444" s="2">
        <v>4787</v>
      </c>
      <c r="U1444" s="2">
        <v>26124</v>
      </c>
      <c r="V1444">
        <v>9</v>
      </c>
      <c r="W1444" t="s">
        <v>32</v>
      </c>
      <c r="X1444">
        <v>14</v>
      </c>
      <c r="Y1444">
        <v>3</v>
      </c>
      <c r="Z1444">
        <v>2</v>
      </c>
      <c r="AA1444">
        <v>80</v>
      </c>
      <c r="AB1444">
        <v>3</v>
      </c>
      <c r="AC1444">
        <v>4</v>
      </c>
      <c r="AD1444">
        <v>3</v>
      </c>
      <c r="AE1444">
        <v>4</v>
      </c>
      <c r="AF1444">
        <v>2</v>
      </c>
      <c r="AG1444">
        <v>2</v>
      </c>
      <c r="AH1444">
        <v>2</v>
      </c>
      <c r="AI1444">
        <v>2</v>
      </c>
    </row>
    <row r="1445" spans="1:35" x14ac:dyDescent="0.25">
      <c r="A1445">
        <v>42</v>
      </c>
      <c r="B1445" t="str">
        <f t="shared" si="44"/>
        <v>35-44</v>
      </c>
      <c r="C1445" s="1" t="s">
        <v>38</v>
      </c>
      <c r="D1445" s="17">
        <f>IF(Table1[[#This Row],[Attrition]]="Yes",1,0)</f>
        <v>0</v>
      </c>
      <c r="E1445" t="s">
        <v>57</v>
      </c>
      <c r="F1445" s="2">
        <v>300</v>
      </c>
      <c r="G1445" t="s">
        <v>39</v>
      </c>
      <c r="H1445">
        <v>2</v>
      </c>
      <c r="I1445">
        <v>3</v>
      </c>
      <c r="J1445" t="str">
        <f t="shared" si="45"/>
        <v>Bachelor</v>
      </c>
      <c r="K1445" t="s">
        <v>34</v>
      </c>
      <c r="L1445">
        <v>1</v>
      </c>
      <c r="M1445" t="s">
        <v>40</v>
      </c>
      <c r="N1445" s="2">
        <v>56</v>
      </c>
      <c r="O1445">
        <v>3</v>
      </c>
      <c r="P1445">
        <v>5</v>
      </c>
      <c r="Q1445" t="s">
        <v>50</v>
      </c>
      <c r="R1445">
        <v>3</v>
      </c>
      <c r="S1445" t="s">
        <v>42</v>
      </c>
      <c r="T1445" s="2">
        <v>18880</v>
      </c>
      <c r="U1445" s="2">
        <v>17312</v>
      </c>
      <c r="V1445">
        <v>5</v>
      </c>
      <c r="W1445" t="s">
        <v>38</v>
      </c>
      <c r="X1445">
        <v>11</v>
      </c>
      <c r="Y1445">
        <v>3</v>
      </c>
      <c r="Z1445">
        <v>1</v>
      </c>
      <c r="AA1445">
        <v>80</v>
      </c>
      <c r="AB1445">
        <v>0</v>
      </c>
      <c r="AC1445">
        <v>24</v>
      </c>
      <c r="AD1445">
        <v>2</v>
      </c>
      <c r="AE1445">
        <v>2</v>
      </c>
      <c r="AF1445">
        <v>22</v>
      </c>
      <c r="AG1445">
        <v>6</v>
      </c>
      <c r="AH1445">
        <v>4</v>
      </c>
      <c r="AI1445">
        <v>14</v>
      </c>
    </row>
    <row r="1446" spans="1:35" x14ac:dyDescent="0.25">
      <c r="A1446">
        <v>56</v>
      </c>
      <c r="B1446" t="str">
        <f t="shared" si="44"/>
        <v>55-64</v>
      </c>
      <c r="C1446" s="1" t="s">
        <v>32</v>
      </c>
      <c r="D1446" s="17">
        <f>IF(Table1[[#This Row],[Attrition]]="Yes",1,0)</f>
        <v>1</v>
      </c>
      <c r="E1446" t="s">
        <v>57</v>
      </c>
      <c r="F1446" s="2">
        <v>310</v>
      </c>
      <c r="G1446" t="s">
        <v>39</v>
      </c>
      <c r="H1446">
        <v>7</v>
      </c>
      <c r="I1446">
        <v>2</v>
      </c>
      <c r="J1446" t="str">
        <f t="shared" si="45"/>
        <v>College</v>
      </c>
      <c r="K1446" t="s">
        <v>54</v>
      </c>
      <c r="L1446">
        <v>4</v>
      </c>
      <c r="M1446" t="s">
        <v>40</v>
      </c>
      <c r="N1446" s="2">
        <v>72</v>
      </c>
      <c r="O1446">
        <v>3</v>
      </c>
      <c r="P1446">
        <v>1</v>
      </c>
      <c r="Q1446" t="s">
        <v>44</v>
      </c>
      <c r="R1446">
        <v>3</v>
      </c>
      <c r="S1446" t="s">
        <v>42</v>
      </c>
      <c r="T1446" s="2">
        <v>2339</v>
      </c>
      <c r="U1446" s="2">
        <v>3666</v>
      </c>
      <c r="V1446">
        <v>8</v>
      </c>
      <c r="W1446" t="s">
        <v>38</v>
      </c>
      <c r="X1446">
        <v>11</v>
      </c>
      <c r="Y1446">
        <v>3</v>
      </c>
      <c r="Z1446">
        <v>4</v>
      </c>
      <c r="AA1446">
        <v>80</v>
      </c>
      <c r="AB1446">
        <v>1</v>
      </c>
      <c r="AC1446">
        <v>14</v>
      </c>
      <c r="AD1446">
        <v>4</v>
      </c>
      <c r="AE1446">
        <v>1</v>
      </c>
      <c r="AF1446">
        <v>10</v>
      </c>
      <c r="AG1446">
        <v>9</v>
      </c>
      <c r="AH1446">
        <v>9</v>
      </c>
      <c r="AI1446">
        <v>8</v>
      </c>
    </row>
    <row r="1447" spans="1:35" x14ac:dyDescent="0.25">
      <c r="A1447">
        <v>41</v>
      </c>
      <c r="B1447" t="str">
        <f t="shared" si="44"/>
        <v>35-44</v>
      </c>
      <c r="C1447" s="1" t="s">
        <v>38</v>
      </c>
      <c r="D1447" s="17">
        <f>IF(Table1[[#This Row],[Attrition]]="Yes",1,0)</f>
        <v>0</v>
      </c>
      <c r="E1447" t="s">
        <v>57</v>
      </c>
      <c r="F1447" s="2">
        <v>582</v>
      </c>
      <c r="G1447" t="s">
        <v>39</v>
      </c>
      <c r="H1447">
        <v>28</v>
      </c>
      <c r="I1447">
        <v>4</v>
      </c>
      <c r="J1447" t="str">
        <f t="shared" si="45"/>
        <v>Master</v>
      </c>
      <c r="K1447" t="s">
        <v>34</v>
      </c>
      <c r="L1447">
        <v>1</v>
      </c>
      <c r="M1447" t="s">
        <v>35</v>
      </c>
      <c r="N1447" s="2">
        <v>60</v>
      </c>
      <c r="O1447">
        <v>2</v>
      </c>
      <c r="P1447">
        <v>4</v>
      </c>
      <c r="Q1447" t="s">
        <v>47</v>
      </c>
      <c r="R1447">
        <v>2</v>
      </c>
      <c r="S1447" t="s">
        <v>42</v>
      </c>
      <c r="T1447" s="2">
        <v>13570</v>
      </c>
      <c r="U1447" s="2">
        <v>5640</v>
      </c>
      <c r="V1447">
        <v>0</v>
      </c>
      <c r="W1447" t="s">
        <v>38</v>
      </c>
      <c r="X1447">
        <v>23</v>
      </c>
      <c r="Y1447">
        <v>4</v>
      </c>
      <c r="Z1447">
        <v>3</v>
      </c>
      <c r="AA1447">
        <v>80</v>
      </c>
      <c r="AB1447">
        <v>1</v>
      </c>
      <c r="AC1447">
        <v>21</v>
      </c>
      <c r="AD1447">
        <v>3</v>
      </c>
      <c r="AE1447">
        <v>3</v>
      </c>
      <c r="AF1447">
        <v>20</v>
      </c>
      <c r="AG1447">
        <v>7</v>
      </c>
      <c r="AH1447">
        <v>0</v>
      </c>
      <c r="AI1447">
        <v>10</v>
      </c>
    </row>
    <row r="1448" spans="1:35" x14ac:dyDescent="0.25">
      <c r="A1448">
        <v>34</v>
      </c>
      <c r="B1448" t="str">
        <f t="shared" si="44"/>
        <v>25-34</v>
      </c>
      <c r="C1448" s="1" t="s">
        <v>38</v>
      </c>
      <c r="D1448" s="17">
        <f>IF(Table1[[#This Row],[Attrition]]="Yes",1,0)</f>
        <v>0</v>
      </c>
      <c r="E1448" t="s">
        <v>57</v>
      </c>
      <c r="F1448" s="2">
        <v>704</v>
      </c>
      <c r="G1448" t="s">
        <v>33</v>
      </c>
      <c r="H1448">
        <v>28</v>
      </c>
      <c r="I1448">
        <v>3</v>
      </c>
      <c r="J1448" t="str">
        <f t="shared" si="45"/>
        <v>Bachelor</v>
      </c>
      <c r="K1448" t="s">
        <v>53</v>
      </c>
      <c r="L1448">
        <v>4</v>
      </c>
      <c r="M1448" t="s">
        <v>35</v>
      </c>
      <c r="N1448" s="2">
        <v>95</v>
      </c>
      <c r="O1448">
        <v>2</v>
      </c>
      <c r="P1448">
        <v>2</v>
      </c>
      <c r="Q1448" t="s">
        <v>36</v>
      </c>
      <c r="R1448">
        <v>3</v>
      </c>
      <c r="S1448" t="s">
        <v>42</v>
      </c>
      <c r="T1448" s="2">
        <v>6712</v>
      </c>
      <c r="U1448" s="2">
        <v>8978</v>
      </c>
      <c r="V1448">
        <v>1</v>
      </c>
      <c r="W1448" t="s">
        <v>38</v>
      </c>
      <c r="X1448">
        <v>21</v>
      </c>
      <c r="Y1448">
        <v>4</v>
      </c>
      <c r="Z1448">
        <v>4</v>
      </c>
      <c r="AA1448">
        <v>80</v>
      </c>
      <c r="AB1448">
        <v>2</v>
      </c>
      <c r="AC1448">
        <v>8</v>
      </c>
      <c r="AD1448">
        <v>2</v>
      </c>
      <c r="AE1448">
        <v>3</v>
      </c>
      <c r="AF1448">
        <v>8</v>
      </c>
      <c r="AG1448">
        <v>7</v>
      </c>
      <c r="AH1448">
        <v>1</v>
      </c>
      <c r="AI1448">
        <v>7</v>
      </c>
    </row>
    <row r="1449" spans="1:35" x14ac:dyDescent="0.25">
      <c r="A1449">
        <v>36</v>
      </c>
      <c r="B1449" t="str">
        <f t="shared" si="44"/>
        <v>35-44</v>
      </c>
      <c r="C1449" s="1" t="s">
        <v>38</v>
      </c>
      <c r="D1449" s="17">
        <f>IF(Table1[[#This Row],[Attrition]]="Yes",1,0)</f>
        <v>0</v>
      </c>
      <c r="E1449" t="s">
        <v>49</v>
      </c>
      <c r="F1449" s="2">
        <v>301</v>
      </c>
      <c r="G1449" t="s">
        <v>33</v>
      </c>
      <c r="H1449">
        <v>15</v>
      </c>
      <c r="I1449">
        <v>4</v>
      </c>
      <c r="J1449" t="str">
        <f t="shared" si="45"/>
        <v>Master</v>
      </c>
      <c r="K1449" t="s">
        <v>53</v>
      </c>
      <c r="L1449">
        <v>4</v>
      </c>
      <c r="M1449" t="s">
        <v>40</v>
      </c>
      <c r="N1449" s="2">
        <v>88</v>
      </c>
      <c r="O1449">
        <v>1</v>
      </c>
      <c r="P1449">
        <v>2</v>
      </c>
      <c r="Q1449" t="s">
        <v>36</v>
      </c>
      <c r="R1449">
        <v>4</v>
      </c>
      <c r="S1449" t="s">
        <v>46</v>
      </c>
      <c r="T1449" s="2">
        <v>5406</v>
      </c>
      <c r="U1449" s="2">
        <v>10436</v>
      </c>
      <c r="V1449">
        <v>1</v>
      </c>
      <c r="W1449" t="s">
        <v>38</v>
      </c>
      <c r="X1449">
        <v>24</v>
      </c>
      <c r="Y1449">
        <v>4</v>
      </c>
      <c r="Z1449">
        <v>1</v>
      </c>
      <c r="AA1449">
        <v>80</v>
      </c>
      <c r="AB1449">
        <v>1</v>
      </c>
      <c r="AC1449">
        <v>15</v>
      </c>
      <c r="AD1449">
        <v>4</v>
      </c>
      <c r="AE1449">
        <v>2</v>
      </c>
      <c r="AF1449">
        <v>15</v>
      </c>
      <c r="AG1449">
        <v>12</v>
      </c>
      <c r="AH1449">
        <v>11</v>
      </c>
      <c r="AI1449">
        <v>11</v>
      </c>
    </row>
    <row r="1450" spans="1:35" x14ac:dyDescent="0.25">
      <c r="A1450">
        <v>41</v>
      </c>
      <c r="B1450" t="str">
        <f t="shared" si="44"/>
        <v>35-44</v>
      </c>
      <c r="C1450" s="1" t="s">
        <v>38</v>
      </c>
      <c r="D1450" s="17">
        <f>IF(Table1[[#This Row],[Attrition]]="Yes",1,0)</f>
        <v>0</v>
      </c>
      <c r="E1450" t="s">
        <v>57</v>
      </c>
      <c r="F1450" s="2">
        <v>930</v>
      </c>
      <c r="G1450" t="s">
        <v>33</v>
      </c>
      <c r="H1450">
        <v>3</v>
      </c>
      <c r="I1450">
        <v>3</v>
      </c>
      <c r="J1450" t="str">
        <f t="shared" si="45"/>
        <v>Bachelor</v>
      </c>
      <c r="K1450" t="s">
        <v>34</v>
      </c>
      <c r="L1450">
        <v>3</v>
      </c>
      <c r="M1450" t="s">
        <v>40</v>
      </c>
      <c r="N1450" s="2">
        <v>57</v>
      </c>
      <c r="O1450">
        <v>2</v>
      </c>
      <c r="P1450">
        <v>2</v>
      </c>
      <c r="Q1450" t="s">
        <v>36</v>
      </c>
      <c r="R1450">
        <v>2</v>
      </c>
      <c r="S1450" t="s">
        <v>46</v>
      </c>
      <c r="T1450" s="2">
        <v>8938</v>
      </c>
      <c r="U1450" s="2">
        <v>12227</v>
      </c>
      <c r="V1450">
        <v>2</v>
      </c>
      <c r="W1450" t="s">
        <v>38</v>
      </c>
      <c r="X1450">
        <v>11</v>
      </c>
      <c r="Y1450">
        <v>3</v>
      </c>
      <c r="Z1450">
        <v>3</v>
      </c>
      <c r="AA1450">
        <v>80</v>
      </c>
      <c r="AB1450">
        <v>1</v>
      </c>
      <c r="AC1450">
        <v>14</v>
      </c>
      <c r="AD1450">
        <v>5</v>
      </c>
      <c r="AE1450">
        <v>3</v>
      </c>
      <c r="AF1450">
        <v>5</v>
      </c>
      <c r="AG1450">
        <v>4</v>
      </c>
      <c r="AH1450">
        <v>0</v>
      </c>
      <c r="AI1450">
        <v>4</v>
      </c>
    </row>
    <row r="1451" spans="1:35" x14ac:dyDescent="0.25">
      <c r="A1451">
        <v>32</v>
      </c>
      <c r="B1451" t="str">
        <f t="shared" si="44"/>
        <v>25-34</v>
      </c>
      <c r="C1451" s="1" t="s">
        <v>38</v>
      </c>
      <c r="D1451" s="17">
        <f>IF(Table1[[#This Row],[Attrition]]="Yes",1,0)</f>
        <v>0</v>
      </c>
      <c r="E1451" t="s">
        <v>57</v>
      </c>
      <c r="F1451" s="2">
        <v>529</v>
      </c>
      <c r="G1451" t="s">
        <v>39</v>
      </c>
      <c r="H1451">
        <v>2</v>
      </c>
      <c r="I1451">
        <v>3</v>
      </c>
      <c r="J1451" t="str">
        <f t="shared" si="45"/>
        <v>Bachelor</v>
      </c>
      <c r="K1451" t="s">
        <v>54</v>
      </c>
      <c r="L1451">
        <v>4</v>
      </c>
      <c r="M1451" t="s">
        <v>40</v>
      </c>
      <c r="N1451" s="2">
        <v>78</v>
      </c>
      <c r="O1451">
        <v>3</v>
      </c>
      <c r="P1451">
        <v>1</v>
      </c>
      <c r="Q1451" t="s">
        <v>41</v>
      </c>
      <c r="R1451">
        <v>1</v>
      </c>
      <c r="S1451" t="s">
        <v>37</v>
      </c>
      <c r="T1451" s="2">
        <v>2439</v>
      </c>
      <c r="U1451" s="2">
        <v>11288</v>
      </c>
      <c r="V1451">
        <v>1</v>
      </c>
      <c r="W1451" t="s">
        <v>38</v>
      </c>
      <c r="X1451">
        <v>14</v>
      </c>
      <c r="Y1451">
        <v>3</v>
      </c>
      <c r="Z1451">
        <v>4</v>
      </c>
      <c r="AA1451">
        <v>80</v>
      </c>
      <c r="AB1451">
        <v>0</v>
      </c>
      <c r="AC1451">
        <v>4</v>
      </c>
      <c r="AD1451">
        <v>4</v>
      </c>
      <c r="AE1451">
        <v>3</v>
      </c>
      <c r="AF1451">
        <v>4</v>
      </c>
      <c r="AG1451">
        <v>2</v>
      </c>
      <c r="AH1451">
        <v>1</v>
      </c>
      <c r="AI1451">
        <v>2</v>
      </c>
    </row>
    <row r="1452" spans="1:35" x14ac:dyDescent="0.25">
      <c r="A1452">
        <v>35</v>
      </c>
      <c r="B1452" t="str">
        <f t="shared" si="44"/>
        <v>35-44</v>
      </c>
      <c r="C1452" s="1" t="s">
        <v>38</v>
      </c>
      <c r="D1452" s="17">
        <f>IF(Table1[[#This Row],[Attrition]]="Yes",1,0)</f>
        <v>0</v>
      </c>
      <c r="E1452" t="s">
        <v>57</v>
      </c>
      <c r="F1452" s="2">
        <v>1146</v>
      </c>
      <c r="G1452" t="s">
        <v>55</v>
      </c>
      <c r="H1452">
        <v>26</v>
      </c>
      <c r="I1452">
        <v>4</v>
      </c>
      <c r="J1452" t="str">
        <f t="shared" si="45"/>
        <v>Master</v>
      </c>
      <c r="K1452" t="s">
        <v>34</v>
      </c>
      <c r="L1452">
        <v>3</v>
      </c>
      <c r="M1452" t="s">
        <v>35</v>
      </c>
      <c r="N1452" s="2">
        <v>31</v>
      </c>
      <c r="O1452">
        <v>3</v>
      </c>
      <c r="P1452">
        <v>3</v>
      </c>
      <c r="Q1452" t="s">
        <v>55</v>
      </c>
      <c r="R1452">
        <v>4</v>
      </c>
      <c r="S1452" t="s">
        <v>37</v>
      </c>
      <c r="T1452" s="2">
        <v>8837</v>
      </c>
      <c r="U1452" s="2">
        <v>16642</v>
      </c>
      <c r="V1452">
        <v>1</v>
      </c>
      <c r="W1452" t="s">
        <v>32</v>
      </c>
      <c r="X1452">
        <v>16</v>
      </c>
      <c r="Y1452">
        <v>3</v>
      </c>
      <c r="Z1452">
        <v>3</v>
      </c>
      <c r="AA1452">
        <v>80</v>
      </c>
      <c r="AB1452">
        <v>0</v>
      </c>
      <c r="AC1452">
        <v>9</v>
      </c>
      <c r="AD1452">
        <v>2</v>
      </c>
      <c r="AE1452">
        <v>3</v>
      </c>
      <c r="AF1452">
        <v>9</v>
      </c>
      <c r="AG1452">
        <v>0</v>
      </c>
      <c r="AH1452">
        <v>1</v>
      </c>
      <c r="AI1452">
        <v>7</v>
      </c>
    </row>
    <row r="1453" spans="1:35" x14ac:dyDescent="0.25">
      <c r="A1453">
        <v>38</v>
      </c>
      <c r="B1453" t="str">
        <f t="shared" si="44"/>
        <v>35-44</v>
      </c>
      <c r="C1453" s="1" t="s">
        <v>38</v>
      </c>
      <c r="D1453" s="17">
        <f>IF(Table1[[#This Row],[Attrition]]="Yes",1,0)</f>
        <v>0</v>
      </c>
      <c r="E1453" t="s">
        <v>57</v>
      </c>
      <c r="F1453" s="2">
        <v>345</v>
      </c>
      <c r="G1453" t="s">
        <v>33</v>
      </c>
      <c r="H1453">
        <v>10</v>
      </c>
      <c r="I1453">
        <v>2</v>
      </c>
      <c r="J1453" t="str">
        <f t="shared" si="45"/>
        <v>College</v>
      </c>
      <c r="K1453" t="s">
        <v>34</v>
      </c>
      <c r="L1453">
        <v>1</v>
      </c>
      <c r="M1453" t="s">
        <v>35</v>
      </c>
      <c r="N1453" s="2">
        <v>100</v>
      </c>
      <c r="O1453">
        <v>3</v>
      </c>
      <c r="P1453">
        <v>2</v>
      </c>
      <c r="Q1453" t="s">
        <v>36</v>
      </c>
      <c r="R1453">
        <v>4</v>
      </c>
      <c r="S1453" t="s">
        <v>42</v>
      </c>
      <c r="T1453" s="2">
        <v>5343</v>
      </c>
      <c r="U1453" s="2">
        <v>5982</v>
      </c>
      <c r="V1453">
        <v>1</v>
      </c>
      <c r="W1453" t="s">
        <v>38</v>
      </c>
      <c r="X1453">
        <v>11</v>
      </c>
      <c r="Y1453">
        <v>3</v>
      </c>
      <c r="Z1453">
        <v>3</v>
      </c>
      <c r="AA1453">
        <v>80</v>
      </c>
      <c r="AB1453">
        <v>1</v>
      </c>
      <c r="AC1453">
        <v>10</v>
      </c>
      <c r="AD1453">
        <v>1</v>
      </c>
      <c r="AE1453">
        <v>3</v>
      </c>
      <c r="AF1453">
        <v>10</v>
      </c>
      <c r="AG1453">
        <v>7</v>
      </c>
      <c r="AH1453">
        <v>1</v>
      </c>
      <c r="AI1453">
        <v>9</v>
      </c>
    </row>
    <row r="1454" spans="1:35" x14ac:dyDescent="0.25">
      <c r="A1454">
        <v>50</v>
      </c>
      <c r="B1454" t="str">
        <f t="shared" si="44"/>
        <v>45-54</v>
      </c>
      <c r="C1454" s="1" t="s">
        <v>32</v>
      </c>
      <c r="D1454" s="17">
        <f>IF(Table1[[#This Row],[Attrition]]="Yes",1,0)</f>
        <v>1</v>
      </c>
      <c r="E1454" t="s">
        <v>58</v>
      </c>
      <c r="F1454" s="2">
        <v>878</v>
      </c>
      <c r="G1454" t="s">
        <v>33</v>
      </c>
      <c r="H1454">
        <v>1</v>
      </c>
      <c r="I1454">
        <v>4</v>
      </c>
      <c r="J1454" t="str">
        <f t="shared" si="45"/>
        <v>Master</v>
      </c>
      <c r="K1454" t="s">
        <v>34</v>
      </c>
      <c r="L1454">
        <v>2</v>
      </c>
      <c r="M1454" t="s">
        <v>40</v>
      </c>
      <c r="N1454" s="2">
        <v>94</v>
      </c>
      <c r="O1454">
        <v>3</v>
      </c>
      <c r="P1454">
        <v>2</v>
      </c>
      <c r="Q1454" t="s">
        <v>36</v>
      </c>
      <c r="R1454">
        <v>3</v>
      </c>
      <c r="S1454" t="s">
        <v>46</v>
      </c>
      <c r="T1454" s="2">
        <v>6728</v>
      </c>
      <c r="U1454" s="2">
        <v>14255</v>
      </c>
      <c r="V1454">
        <v>7</v>
      </c>
      <c r="W1454" t="s">
        <v>38</v>
      </c>
      <c r="X1454">
        <v>12</v>
      </c>
      <c r="Y1454">
        <v>3</v>
      </c>
      <c r="Z1454">
        <v>4</v>
      </c>
      <c r="AA1454">
        <v>80</v>
      </c>
      <c r="AB1454">
        <v>2</v>
      </c>
      <c r="AC1454">
        <v>12</v>
      </c>
      <c r="AD1454">
        <v>3</v>
      </c>
      <c r="AE1454">
        <v>3</v>
      </c>
      <c r="AF1454">
        <v>6</v>
      </c>
      <c r="AG1454">
        <v>3</v>
      </c>
      <c r="AH1454">
        <v>0</v>
      </c>
      <c r="AI1454">
        <v>1</v>
      </c>
    </row>
    <row r="1455" spans="1:35" x14ac:dyDescent="0.25">
      <c r="A1455">
        <v>36</v>
      </c>
      <c r="B1455" t="str">
        <f t="shared" si="44"/>
        <v>35-44</v>
      </c>
      <c r="C1455" s="1" t="s">
        <v>38</v>
      </c>
      <c r="D1455" s="17">
        <f>IF(Table1[[#This Row],[Attrition]]="Yes",1,0)</f>
        <v>0</v>
      </c>
      <c r="E1455" t="s">
        <v>57</v>
      </c>
      <c r="F1455" s="2">
        <v>1120</v>
      </c>
      <c r="G1455" t="s">
        <v>33</v>
      </c>
      <c r="H1455">
        <v>11</v>
      </c>
      <c r="I1455">
        <v>4</v>
      </c>
      <c r="J1455" t="str">
        <f t="shared" si="45"/>
        <v>Master</v>
      </c>
      <c r="K1455" t="s">
        <v>53</v>
      </c>
      <c r="L1455">
        <v>2</v>
      </c>
      <c r="M1455" t="s">
        <v>35</v>
      </c>
      <c r="N1455" s="2">
        <v>100</v>
      </c>
      <c r="O1455">
        <v>2</v>
      </c>
      <c r="P1455">
        <v>2</v>
      </c>
      <c r="Q1455" t="s">
        <v>36</v>
      </c>
      <c r="R1455">
        <v>4</v>
      </c>
      <c r="S1455" t="s">
        <v>42</v>
      </c>
      <c r="T1455" s="2">
        <v>6652</v>
      </c>
      <c r="U1455" s="2">
        <v>14369</v>
      </c>
      <c r="V1455">
        <v>4</v>
      </c>
      <c r="W1455" t="s">
        <v>38</v>
      </c>
      <c r="X1455">
        <v>13</v>
      </c>
      <c r="Y1455">
        <v>3</v>
      </c>
      <c r="Z1455">
        <v>1</v>
      </c>
      <c r="AA1455">
        <v>80</v>
      </c>
      <c r="AB1455">
        <v>1</v>
      </c>
      <c r="AC1455">
        <v>8</v>
      </c>
      <c r="AD1455">
        <v>2</v>
      </c>
      <c r="AE1455">
        <v>2</v>
      </c>
      <c r="AF1455">
        <v>6</v>
      </c>
      <c r="AG1455">
        <v>3</v>
      </c>
      <c r="AH1455">
        <v>0</v>
      </c>
      <c r="AI1455">
        <v>0</v>
      </c>
    </row>
    <row r="1456" spans="1:35" x14ac:dyDescent="0.25">
      <c r="A1456">
        <v>45</v>
      </c>
      <c r="B1456" t="str">
        <f t="shared" si="44"/>
        <v>45-54</v>
      </c>
      <c r="C1456" s="1" t="s">
        <v>38</v>
      </c>
      <c r="D1456" s="17">
        <f>IF(Table1[[#This Row],[Attrition]]="Yes",1,0)</f>
        <v>0</v>
      </c>
      <c r="E1456" t="s">
        <v>57</v>
      </c>
      <c r="F1456" s="2">
        <v>374</v>
      </c>
      <c r="G1456" t="s">
        <v>33</v>
      </c>
      <c r="H1456">
        <v>20</v>
      </c>
      <c r="I1456">
        <v>3</v>
      </c>
      <c r="J1456" t="str">
        <f t="shared" si="45"/>
        <v>Bachelor</v>
      </c>
      <c r="K1456" t="s">
        <v>34</v>
      </c>
      <c r="L1456">
        <v>4</v>
      </c>
      <c r="M1456" t="s">
        <v>35</v>
      </c>
      <c r="N1456" s="2">
        <v>50</v>
      </c>
      <c r="O1456">
        <v>3</v>
      </c>
      <c r="P1456">
        <v>2</v>
      </c>
      <c r="Q1456" t="s">
        <v>36</v>
      </c>
      <c r="R1456">
        <v>3</v>
      </c>
      <c r="S1456" t="s">
        <v>37</v>
      </c>
      <c r="T1456" s="2">
        <v>4850</v>
      </c>
      <c r="U1456" s="2">
        <v>23333</v>
      </c>
      <c r="V1456">
        <v>8</v>
      </c>
      <c r="W1456" t="s">
        <v>38</v>
      </c>
      <c r="X1456">
        <v>15</v>
      </c>
      <c r="Y1456">
        <v>3</v>
      </c>
      <c r="Z1456">
        <v>3</v>
      </c>
      <c r="AA1456">
        <v>80</v>
      </c>
      <c r="AB1456">
        <v>0</v>
      </c>
      <c r="AC1456">
        <v>8</v>
      </c>
      <c r="AD1456">
        <v>3</v>
      </c>
      <c r="AE1456">
        <v>3</v>
      </c>
      <c r="AF1456">
        <v>5</v>
      </c>
      <c r="AG1456">
        <v>3</v>
      </c>
      <c r="AH1456">
        <v>0</v>
      </c>
      <c r="AI1456">
        <v>1</v>
      </c>
    </row>
    <row r="1457" spans="1:35" x14ac:dyDescent="0.25">
      <c r="A1457">
        <v>40</v>
      </c>
      <c r="B1457" t="str">
        <f t="shared" si="44"/>
        <v>35-44</v>
      </c>
      <c r="C1457" s="1" t="s">
        <v>38</v>
      </c>
      <c r="D1457" s="17">
        <f>IF(Table1[[#This Row],[Attrition]]="Yes",1,0)</f>
        <v>0</v>
      </c>
      <c r="E1457" t="s">
        <v>57</v>
      </c>
      <c r="F1457" s="2">
        <v>1322</v>
      </c>
      <c r="G1457" t="s">
        <v>39</v>
      </c>
      <c r="H1457">
        <v>2</v>
      </c>
      <c r="I1457">
        <v>4</v>
      </c>
      <c r="J1457" t="str">
        <f t="shared" si="45"/>
        <v>Master</v>
      </c>
      <c r="K1457" t="s">
        <v>34</v>
      </c>
      <c r="L1457">
        <v>3</v>
      </c>
      <c r="M1457" t="s">
        <v>40</v>
      </c>
      <c r="N1457" s="2">
        <v>52</v>
      </c>
      <c r="O1457">
        <v>2</v>
      </c>
      <c r="P1457">
        <v>1</v>
      </c>
      <c r="Q1457" t="s">
        <v>41</v>
      </c>
      <c r="R1457">
        <v>3</v>
      </c>
      <c r="S1457" t="s">
        <v>37</v>
      </c>
      <c r="T1457" s="2">
        <v>2809</v>
      </c>
      <c r="U1457" s="2">
        <v>2725</v>
      </c>
      <c r="V1457">
        <v>2</v>
      </c>
      <c r="W1457" t="s">
        <v>38</v>
      </c>
      <c r="X1457">
        <v>14</v>
      </c>
      <c r="Y1457">
        <v>3</v>
      </c>
      <c r="Z1457">
        <v>4</v>
      </c>
      <c r="AA1457">
        <v>80</v>
      </c>
      <c r="AB1457">
        <v>0</v>
      </c>
      <c r="AC1457">
        <v>8</v>
      </c>
      <c r="AD1457">
        <v>2</v>
      </c>
      <c r="AE1457">
        <v>3</v>
      </c>
      <c r="AF1457">
        <v>2</v>
      </c>
      <c r="AG1457">
        <v>2</v>
      </c>
      <c r="AH1457">
        <v>2</v>
      </c>
      <c r="AI1457">
        <v>2</v>
      </c>
    </row>
    <row r="1458" spans="1:35" x14ac:dyDescent="0.25">
      <c r="A1458">
        <v>35</v>
      </c>
      <c r="B1458" t="str">
        <f t="shared" si="44"/>
        <v>35-44</v>
      </c>
      <c r="C1458" s="1" t="s">
        <v>38</v>
      </c>
      <c r="D1458" s="17">
        <f>IF(Table1[[#This Row],[Attrition]]="Yes",1,0)</f>
        <v>0</v>
      </c>
      <c r="E1458" t="s">
        <v>58</v>
      </c>
      <c r="F1458" s="2">
        <v>1199</v>
      </c>
      <c r="G1458" t="s">
        <v>39</v>
      </c>
      <c r="H1458">
        <v>18</v>
      </c>
      <c r="I1458">
        <v>4</v>
      </c>
      <c r="J1458" t="str">
        <f t="shared" si="45"/>
        <v>Master</v>
      </c>
      <c r="K1458" t="s">
        <v>34</v>
      </c>
      <c r="L1458">
        <v>3</v>
      </c>
      <c r="M1458" t="s">
        <v>40</v>
      </c>
      <c r="N1458" s="2">
        <v>80</v>
      </c>
      <c r="O1458">
        <v>3</v>
      </c>
      <c r="P1458">
        <v>2</v>
      </c>
      <c r="Q1458" t="s">
        <v>48</v>
      </c>
      <c r="R1458">
        <v>3</v>
      </c>
      <c r="S1458" t="s">
        <v>42</v>
      </c>
      <c r="T1458" s="2">
        <v>5689</v>
      </c>
      <c r="U1458" s="2">
        <v>24594</v>
      </c>
      <c r="V1458">
        <v>1</v>
      </c>
      <c r="W1458" t="s">
        <v>32</v>
      </c>
      <c r="X1458">
        <v>14</v>
      </c>
      <c r="Y1458">
        <v>3</v>
      </c>
      <c r="Z1458">
        <v>4</v>
      </c>
      <c r="AA1458">
        <v>80</v>
      </c>
      <c r="AB1458">
        <v>2</v>
      </c>
      <c r="AC1458">
        <v>10</v>
      </c>
      <c r="AD1458">
        <v>2</v>
      </c>
      <c r="AE1458">
        <v>4</v>
      </c>
      <c r="AF1458">
        <v>10</v>
      </c>
      <c r="AG1458">
        <v>2</v>
      </c>
      <c r="AH1458">
        <v>0</v>
      </c>
      <c r="AI1458">
        <v>2</v>
      </c>
    </row>
    <row r="1459" spans="1:35" x14ac:dyDescent="0.25">
      <c r="A1459">
        <v>40</v>
      </c>
      <c r="B1459" t="str">
        <f t="shared" si="44"/>
        <v>35-44</v>
      </c>
      <c r="C1459" s="1" t="s">
        <v>38</v>
      </c>
      <c r="D1459" s="17">
        <f>IF(Table1[[#This Row],[Attrition]]="Yes",1,0)</f>
        <v>0</v>
      </c>
      <c r="E1459" t="s">
        <v>57</v>
      </c>
      <c r="F1459" s="2">
        <v>1194</v>
      </c>
      <c r="G1459" t="s">
        <v>39</v>
      </c>
      <c r="H1459">
        <v>2</v>
      </c>
      <c r="I1459">
        <v>4</v>
      </c>
      <c r="J1459" t="str">
        <f t="shared" si="45"/>
        <v>Master</v>
      </c>
      <c r="K1459" t="s">
        <v>45</v>
      </c>
      <c r="L1459">
        <v>3</v>
      </c>
      <c r="M1459" t="s">
        <v>35</v>
      </c>
      <c r="N1459" s="2">
        <v>98</v>
      </c>
      <c r="O1459">
        <v>3</v>
      </c>
      <c r="P1459">
        <v>1</v>
      </c>
      <c r="Q1459" t="s">
        <v>41</v>
      </c>
      <c r="R1459">
        <v>3</v>
      </c>
      <c r="S1459" t="s">
        <v>42</v>
      </c>
      <c r="T1459" s="2">
        <v>2001</v>
      </c>
      <c r="U1459" s="2">
        <v>12549</v>
      </c>
      <c r="V1459">
        <v>2</v>
      </c>
      <c r="W1459" t="s">
        <v>38</v>
      </c>
      <c r="X1459">
        <v>14</v>
      </c>
      <c r="Y1459">
        <v>3</v>
      </c>
      <c r="Z1459">
        <v>2</v>
      </c>
      <c r="AA1459">
        <v>80</v>
      </c>
      <c r="AB1459">
        <v>3</v>
      </c>
      <c r="AC1459">
        <v>20</v>
      </c>
      <c r="AD1459">
        <v>2</v>
      </c>
      <c r="AE1459">
        <v>3</v>
      </c>
      <c r="AF1459">
        <v>5</v>
      </c>
      <c r="AG1459">
        <v>3</v>
      </c>
      <c r="AH1459">
        <v>0</v>
      </c>
      <c r="AI1459">
        <v>2</v>
      </c>
    </row>
    <row r="1460" spans="1:35" x14ac:dyDescent="0.25">
      <c r="A1460">
        <v>35</v>
      </c>
      <c r="B1460" t="str">
        <f t="shared" si="44"/>
        <v>35-44</v>
      </c>
      <c r="C1460" s="1" t="s">
        <v>38</v>
      </c>
      <c r="D1460" s="17">
        <f>IF(Table1[[#This Row],[Attrition]]="Yes",1,0)</f>
        <v>0</v>
      </c>
      <c r="E1460" t="s">
        <v>57</v>
      </c>
      <c r="F1460" s="2">
        <v>287</v>
      </c>
      <c r="G1460" t="s">
        <v>39</v>
      </c>
      <c r="H1460">
        <v>1</v>
      </c>
      <c r="I1460">
        <v>4</v>
      </c>
      <c r="J1460" t="str">
        <f t="shared" si="45"/>
        <v>Master</v>
      </c>
      <c r="K1460" t="s">
        <v>34</v>
      </c>
      <c r="L1460">
        <v>3</v>
      </c>
      <c r="M1460" t="s">
        <v>35</v>
      </c>
      <c r="N1460" s="2">
        <v>62</v>
      </c>
      <c r="O1460">
        <v>1</v>
      </c>
      <c r="P1460">
        <v>1</v>
      </c>
      <c r="Q1460" t="s">
        <v>41</v>
      </c>
      <c r="R1460">
        <v>4</v>
      </c>
      <c r="S1460" t="s">
        <v>42</v>
      </c>
      <c r="T1460" s="2">
        <v>2977</v>
      </c>
      <c r="U1460" s="2">
        <v>8952</v>
      </c>
      <c r="V1460">
        <v>1</v>
      </c>
      <c r="W1460" t="s">
        <v>38</v>
      </c>
      <c r="X1460">
        <v>12</v>
      </c>
      <c r="Y1460">
        <v>3</v>
      </c>
      <c r="Z1460">
        <v>4</v>
      </c>
      <c r="AA1460">
        <v>80</v>
      </c>
      <c r="AB1460">
        <v>1</v>
      </c>
      <c r="AC1460">
        <v>4</v>
      </c>
      <c r="AD1460">
        <v>5</v>
      </c>
      <c r="AE1460">
        <v>3</v>
      </c>
      <c r="AF1460">
        <v>4</v>
      </c>
      <c r="AG1460">
        <v>3</v>
      </c>
      <c r="AH1460">
        <v>1</v>
      </c>
      <c r="AI1460">
        <v>1</v>
      </c>
    </row>
    <row r="1461" spans="1:35" x14ac:dyDescent="0.25">
      <c r="A1461">
        <v>29</v>
      </c>
      <c r="B1461" t="str">
        <f t="shared" si="44"/>
        <v>25-34</v>
      </c>
      <c r="C1461" s="1" t="s">
        <v>38</v>
      </c>
      <c r="D1461" s="17">
        <f>IF(Table1[[#This Row],[Attrition]]="Yes",1,0)</f>
        <v>0</v>
      </c>
      <c r="E1461" t="s">
        <v>57</v>
      </c>
      <c r="F1461" s="2">
        <v>1378</v>
      </c>
      <c r="G1461" t="s">
        <v>39</v>
      </c>
      <c r="H1461">
        <v>13</v>
      </c>
      <c r="I1461">
        <v>2</v>
      </c>
      <c r="J1461" t="str">
        <f t="shared" si="45"/>
        <v>College</v>
      </c>
      <c r="K1461" t="s">
        <v>43</v>
      </c>
      <c r="L1461">
        <v>4</v>
      </c>
      <c r="M1461" t="s">
        <v>40</v>
      </c>
      <c r="N1461" s="2">
        <v>46</v>
      </c>
      <c r="O1461">
        <v>2</v>
      </c>
      <c r="P1461">
        <v>2</v>
      </c>
      <c r="Q1461" t="s">
        <v>44</v>
      </c>
      <c r="R1461">
        <v>2</v>
      </c>
      <c r="S1461" t="s">
        <v>42</v>
      </c>
      <c r="T1461" s="2">
        <v>4025</v>
      </c>
      <c r="U1461" s="2">
        <v>23679</v>
      </c>
      <c r="V1461">
        <v>4</v>
      </c>
      <c r="W1461" t="s">
        <v>32</v>
      </c>
      <c r="X1461">
        <v>13</v>
      </c>
      <c r="Y1461">
        <v>3</v>
      </c>
      <c r="Z1461">
        <v>1</v>
      </c>
      <c r="AA1461">
        <v>80</v>
      </c>
      <c r="AB1461">
        <v>1</v>
      </c>
      <c r="AC1461">
        <v>10</v>
      </c>
      <c r="AD1461">
        <v>2</v>
      </c>
      <c r="AE1461">
        <v>3</v>
      </c>
      <c r="AF1461">
        <v>4</v>
      </c>
      <c r="AG1461">
        <v>3</v>
      </c>
      <c r="AH1461">
        <v>0</v>
      </c>
      <c r="AI1461">
        <v>3</v>
      </c>
    </row>
    <row r="1462" spans="1:35" x14ac:dyDescent="0.25">
      <c r="A1462">
        <v>29</v>
      </c>
      <c r="B1462" t="str">
        <f t="shared" si="44"/>
        <v>25-34</v>
      </c>
      <c r="C1462" s="1" t="s">
        <v>38</v>
      </c>
      <c r="D1462" s="17">
        <f>IF(Table1[[#This Row],[Attrition]]="Yes",1,0)</f>
        <v>0</v>
      </c>
      <c r="E1462" t="s">
        <v>57</v>
      </c>
      <c r="F1462" s="2">
        <v>468</v>
      </c>
      <c r="G1462" t="s">
        <v>39</v>
      </c>
      <c r="H1462">
        <v>28</v>
      </c>
      <c r="I1462">
        <v>4</v>
      </c>
      <c r="J1462" t="str">
        <f t="shared" si="45"/>
        <v>Master</v>
      </c>
      <c r="K1462" t="s">
        <v>45</v>
      </c>
      <c r="L1462">
        <v>4</v>
      </c>
      <c r="M1462" t="s">
        <v>35</v>
      </c>
      <c r="N1462" s="2">
        <v>73</v>
      </c>
      <c r="O1462">
        <v>2</v>
      </c>
      <c r="P1462">
        <v>1</v>
      </c>
      <c r="Q1462" t="s">
        <v>41</v>
      </c>
      <c r="R1462">
        <v>1</v>
      </c>
      <c r="S1462" t="s">
        <v>37</v>
      </c>
      <c r="T1462" s="2">
        <v>3785</v>
      </c>
      <c r="U1462" s="2">
        <v>8489</v>
      </c>
      <c r="V1462">
        <v>1</v>
      </c>
      <c r="W1462" t="s">
        <v>38</v>
      </c>
      <c r="X1462">
        <v>14</v>
      </c>
      <c r="Y1462">
        <v>3</v>
      </c>
      <c r="Z1462">
        <v>2</v>
      </c>
      <c r="AA1462">
        <v>80</v>
      </c>
      <c r="AB1462">
        <v>0</v>
      </c>
      <c r="AC1462">
        <v>5</v>
      </c>
      <c r="AD1462">
        <v>3</v>
      </c>
      <c r="AE1462">
        <v>1</v>
      </c>
      <c r="AF1462">
        <v>5</v>
      </c>
      <c r="AG1462">
        <v>4</v>
      </c>
      <c r="AH1462">
        <v>0</v>
      </c>
      <c r="AI1462">
        <v>4</v>
      </c>
    </row>
    <row r="1463" spans="1:35" x14ac:dyDescent="0.25">
      <c r="A1463">
        <v>50</v>
      </c>
      <c r="B1463" t="str">
        <f t="shared" si="44"/>
        <v>45-54</v>
      </c>
      <c r="C1463" s="1" t="s">
        <v>32</v>
      </c>
      <c r="D1463" s="17">
        <f>IF(Table1[[#This Row],[Attrition]]="Yes",1,0)</f>
        <v>1</v>
      </c>
      <c r="E1463" t="s">
        <v>57</v>
      </c>
      <c r="F1463" s="2">
        <v>410</v>
      </c>
      <c r="G1463" t="s">
        <v>33</v>
      </c>
      <c r="H1463">
        <v>28</v>
      </c>
      <c r="I1463">
        <v>3</v>
      </c>
      <c r="J1463" t="str">
        <f t="shared" si="45"/>
        <v>Bachelor</v>
      </c>
      <c r="K1463" t="s">
        <v>53</v>
      </c>
      <c r="L1463">
        <v>4</v>
      </c>
      <c r="M1463" t="s">
        <v>40</v>
      </c>
      <c r="N1463" s="2">
        <v>39</v>
      </c>
      <c r="O1463">
        <v>2</v>
      </c>
      <c r="P1463">
        <v>3</v>
      </c>
      <c r="Q1463" t="s">
        <v>36</v>
      </c>
      <c r="R1463">
        <v>1</v>
      </c>
      <c r="S1463" t="s">
        <v>46</v>
      </c>
      <c r="T1463" s="2">
        <v>10854</v>
      </c>
      <c r="U1463" s="2">
        <v>16586</v>
      </c>
      <c r="V1463">
        <v>4</v>
      </c>
      <c r="W1463" t="s">
        <v>32</v>
      </c>
      <c r="X1463">
        <v>13</v>
      </c>
      <c r="Y1463">
        <v>3</v>
      </c>
      <c r="Z1463">
        <v>2</v>
      </c>
      <c r="AA1463">
        <v>80</v>
      </c>
      <c r="AB1463">
        <v>1</v>
      </c>
      <c r="AC1463">
        <v>20</v>
      </c>
      <c r="AD1463">
        <v>3</v>
      </c>
      <c r="AE1463">
        <v>3</v>
      </c>
      <c r="AF1463">
        <v>3</v>
      </c>
      <c r="AG1463">
        <v>2</v>
      </c>
      <c r="AH1463">
        <v>2</v>
      </c>
      <c r="AI1463">
        <v>0</v>
      </c>
    </row>
    <row r="1464" spans="1:35" x14ac:dyDescent="0.25">
      <c r="A1464">
        <v>39</v>
      </c>
      <c r="B1464" t="str">
        <f t="shared" si="44"/>
        <v>35-44</v>
      </c>
      <c r="C1464" s="1" t="s">
        <v>38</v>
      </c>
      <c r="D1464" s="17">
        <f>IF(Table1[[#This Row],[Attrition]]="Yes",1,0)</f>
        <v>0</v>
      </c>
      <c r="E1464" t="s">
        <v>57</v>
      </c>
      <c r="F1464" s="2">
        <v>722</v>
      </c>
      <c r="G1464" t="s">
        <v>33</v>
      </c>
      <c r="H1464">
        <v>24</v>
      </c>
      <c r="I1464">
        <v>1</v>
      </c>
      <c r="J1464" t="str">
        <f t="shared" si="45"/>
        <v>Below College</v>
      </c>
      <c r="K1464" t="s">
        <v>53</v>
      </c>
      <c r="L1464">
        <v>2</v>
      </c>
      <c r="M1464" t="s">
        <v>35</v>
      </c>
      <c r="N1464" s="2">
        <v>60</v>
      </c>
      <c r="O1464">
        <v>2</v>
      </c>
      <c r="P1464">
        <v>4</v>
      </c>
      <c r="Q1464" t="s">
        <v>36</v>
      </c>
      <c r="R1464">
        <v>4</v>
      </c>
      <c r="S1464" t="s">
        <v>42</v>
      </c>
      <c r="T1464" s="2">
        <v>12031</v>
      </c>
      <c r="U1464" s="2">
        <v>8828</v>
      </c>
      <c r="V1464">
        <v>0</v>
      </c>
      <c r="W1464" t="s">
        <v>38</v>
      </c>
      <c r="X1464">
        <v>11</v>
      </c>
      <c r="Y1464">
        <v>3</v>
      </c>
      <c r="Z1464">
        <v>1</v>
      </c>
      <c r="AA1464">
        <v>80</v>
      </c>
      <c r="AB1464">
        <v>1</v>
      </c>
      <c r="AC1464">
        <v>21</v>
      </c>
      <c r="AD1464">
        <v>2</v>
      </c>
      <c r="AE1464">
        <v>2</v>
      </c>
      <c r="AF1464">
        <v>20</v>
      </c>
      <c r="AG1464">
        <v>9</v>
      </c>
      <c r="AH1464">
        <v>9</v>
      </c>
      <c r="AI1464">
        <v>6</v>
      </c>
    </row>
    <row r="1465" spans="1:35" x14ac:dyDescent="0.25">
      <c r="A1465">
        <v>31</v>
      </c>
      <c r="B1465" t="str">
        <f t="shared" si="44"/>
        <v>25-34</v>
      </c>
      <c r="C1465" s="1" t="s">
        <v>38</v>
      </c>
      <c r="D1465" s="17">
        <f>IF(Table1[[#This Row],[Attrition]]="Yes",1,0)</f>
        <v>0</v>
      </c>
      <c r="E1465" t="s">
        <v>49</v>
      </c>
      <c r="F1465" s="2">
        <v>325</v>
      </c>
      <c r="G1465" t="s">
        <v>39</v>
      </c>
      <c r="H1465">
        <v>5</v>
      </c>
      <c r="I1465">
        <v>3</v>
      </c>
      <c r="J1465" t="str">
        <f t="shared" si="45"/>
        <v>Bachelor</v>
      </c>
      <c r="K1465" t="s">
        <v>45</v>
      </c>
      <c r="L1465">
        <v>2</v>
      </c>
      <c r="M1465" t="s">
        <v>40</v>
      </c>
      <c r="N1465" s="2">
        <v>74</v>
      </c>
      <c r="O1465">
        <v>3</v>
      </c>
      <c r="P1465">
        <v>2</v>
      </c>
      <c r="Q1465" t="s">
        <v>47</v>
      </c>
      <c r="R1465">
        <v>1</v>
      </c>
      <c r="S1465" t="s">
        <v>37</v>
      </c>
      <c r="T1465" s="2">
        <v>9936</v>
      </c>
      <c r="U1465" s="2">
        <v>3787</v>
      </c>
      <c r="V1465">
        <v>0</v>
      </c>
      <c r="W1465" t="s">
        <v>38</v>
      </c>
      <c r="X1465">
        <v>19</v>
      </c>
      <c r="Y1465">
        <v>3</v>
      </c>
      <c r="Z1465">
        <v>2</v>
      </c>
      <c r="AA1465">
        <v>80</v>
      </c>
      <c r="AB1465">
        <v>0</v>
      </c>
      <c r="AC1465">
        <v>10</v>
      </c>
      <c r="AD1465">
        <v>2</v>
      </c>
      <c r="AE1465">
        <v>3</v>
      </c>
      <c r="AF1465">
        <v>9</v>
      </c>
      <c r="AG1465">
        <v>4</v>
      </c>
      <c r="AH1465">
        <v>1</v>
      </c>
      <c r="AI1465">
        <v>7</v>
      </c>
    </row>
    <row r="1466" spans="1:35" x14ac:dyDescent="0.25">
      <c r="A1466">
        <v>26</v>
      </c>
      <c r="B1466" t="str">
        <f t="shared" si="44"/>
        <v>25-34</v>
      </c>
      <c r="C1466" s="1" t="s">
        <v>38</v>
      </c>
      <c r="D1466" s="17">
        <f>IF(Table1[[#This Row],[Attrition]]="Yes",1,0)</f>
        <v>0</v>
      </c>
      <c r="E1466" t="s">
        <v>57</v>
      </c>
      <c r="F1466" s="2">
        <v>1167</v>
      </c>
      <c r="G1466" t="s">
        <v>33</v>
      </c>
      <c r="H1466">
        <v>5</v>
      </c>
      <c r="I1466">
        <v>3</v>
      </c>
      <c r="J1466" t="str">
        <f t="shared" si="45"/>
        <v>Bachelor</v>
      </c>
      <c r="K1466" t="s">
        <v>43</v>
      </c>
      <c r="L1466">
        <v>4</v>
      </c>
      <c r="M1466" t="s">
        <v>35</v>
      </c>
      <c r="N1466" s="2">
        <v>30</v>
      </c>
      <c r="O1466">
        <v>2</v>
      </c>
      <c r="P1466">
        <v>1</v>
      </c>
      <c r="Q1466" t="s">
        <v>51</v>
      </c>
      <c r="R1466">
        <v>3</v>
      </c>
      <c r="S1466" t="s">
        <v>37</v>
      </c>
      <c r="T1466" s="2">
        <v>2966</v>
      </c>
      <c r="U1466" s="2">
        <v>21378</v>
      </c>
      <c r="V1466">
        <v>0</v>
      </c>
      <c r="W1466" t="s">
        <v>38</v>
      </c>
      <c r="X1466">
        <v>18</v>
      </c>
      <c r="Y1466">
        <v>3</v>
      </c>
      <c r="Z1466">
        <v>4</v>
      </c>
      <c r="AA1466">
        <v>80</v>
      </c>
      <c r="AB1466">
        <v>0</v>
      </c>
      <c r="AC1466">
        <v>5</v>
      </c>
      <c r="AD1466">
        <v>2</v>
      </c>
      <c r="AE1466">
        <v>3</v>
      </c>
      <c r="AF1466">
        <v>4</v>
      </c>
      <c r="AG1466">
        <v>2</v>
      </c>
      <c r="AH1466">
        <v>0</v>
      </c>
      <c r="AI1466">
        <v>0</v>
      </c>
    </row>
    <row r="1467" spans="1:35" x14ac:dyDescent="0.25">
      <c r="A1467">
        <v>36</v>
      </c>
      <c r="B1467" t="str">
        <f t="shared" si="44"/>
        <v>35-44</v>
      </c>
      <c r="C1467" s="1" t="s">
        <v>38</v>
      </c>
      <c r="D1467" s="17">
        <f>IF(Table1[[#This Row],[Attrition]]="Yes",1,0)</f>
        <v>0</v>
      </c>
      <c r="E1467" t="s">
        <v>58</v>
      </c>
      <c r="F1467" s="2">
        <v>884</v>
      </c>
      <c r="G1467" t="s">
        <v>39</v>
      </c>
      <c r="H1467">
        <v>23</v>
      </c>
      <c r="I1467">
        <v>2</v>
      </c>
      <c r="J1467" t="str">
        <f t="shared" si="45"/>
        <v>College</v>
      </c>
      <c r="K1467" t="s">
        <v>45</v>
      </c>
      <c r="L1467">
        <v>3</v>
      </c>
      <c r="M1467" t="s">
        <v>40</v>
      </c>
      <c r="N1467" s="2">
        <v>41</v>
      </c>
      <c r="O1467">
        <v>4</v>
      </c>
      <c r="P1467">
        <v>2</v>
      </c>
      <c r="Q1467" t="s">
        <v>44</v>
      </c>
      <c r="R1467">
        <v>4</v>
      </c>
      <c r="S1467" t="s">
        <v>42</v>
      </c>
      <c r="T1467" s="2">
        <v>2571</v>
      </c>
      <c r="U1467" s="2">
        <v>12290</v>
      </c>
      <c r="V1467">
        <v>4</v>
      </c>
      <c r="W1467" t="s">
        <v>38</v>
      </c>
      <c r="X1467">
        <v>17</v>
      </c>
      <c r="Y1467">
        <v>3</v>
      </c>
      <c r="Z1467">
        <v>3</v>
      </c>
      <c r="AA1467">
        <v>80</v>
      </c>
      <c r="AB1467">
        <v>1</v>
      </c>
      <c r="AC1467">
        <v>17</v>
      </c>
      <c r="AD1467">
        <v>3</v>
      </c>
      <c r="AE1467">
        <v>3</v>
      </c>
      <c r="AF1467">
        <v>5</v>
      </c>
      <c r="AG1467">
        <v>2</v>
      </c>
      <c r="AH1467">
        <v>0</v>
      </c>
      <c r="AI1467">
        <v>3</v>
      </c>
    </row>
    <row r="1468" spans="1:35" x14ac:dyDescent="0.25">
      <c r="A1468">
        <v>39</v>
      </c>
      <c r="B1468" t="str">
        <f t="shared" si="44"/>
        <v>35-44</v>
      </c>
      <c r="C1468" s="1" t="s">
        <v>38</v>
      </c>
      <c r="D1468" s="17">
        <f>IF(Table1[[#This Row],[Attrition]]="Yes",1,0)</f>
        <v>0</v>
      </c>
      <c r="E1468" t="s">
        <v>57</v>
      </c>
      <c r="F1468" s="2">
        <v>613</v>
      </c>
      <c r="G1468" t="s">
        <v>39</v>
      </c>
      <c r="H1468">
        <v>6</v>
      </c>
      <c r="I1468">
        <v>1</v>
      </c>
      <c r="J1468" t="str">
        <f t="shared" si="45"/>
        <v>Below College</v>
      </c>
      <c r="K1468" t="s">
        <v>45</v>
      </c>
      <c r="L1468">
        <v>4</v>
      </c>
      <c r="M1468" t="s">
        <v>40</v>
      </c>
      <c r="N1468" s="2">
        <v>42</v>
      </c>
      <c r="O1468">
        <v>2</v>
      </c>
      <c r="P1468">
        <v>3</v>
      </c>
      <c r="Q1468" t="s">
        <v>48</v>
      </c>
      <c r="R1468">
        <v>1</v>
      </c>
      <c r="S1468" t="s">
        <v>42</v>
      </c>
      <c r="T1468" s="2">
        <v>9991</v>
      </c>
      <c r="U1468" s="2">
        <v>21457</v>
      </c>
      <c r="V1468">
        <v>4</v>
      </c>
      <c r="W1468" t="s">
        <v>38</v>
      </c>
      <c r="X1468">
        <v>15</v>
      </c>
      <c r="Y1468">
        <v>3</v>
      </c>
      <c r="Z1468">
        <v>1</v>
      </c>
      <c r="AA1468">
        <v>80</v>
      </c>
      <c r="AB1468">
        <v>1</v>
      </c>
      <c r="AC1468">
        <v>9</v>
      </c>
      <c r="AD1468">
        <v>5</v>
      </c>
      <c r="AE1468">
        <v>3</v>
      </c>
      <c r="AF1468">
        <v>7</v>
      </c>
      <c r="AG1468">
        <v>7</v>
      </c>
      <c r="AH1468">
        <v>1</v>
      </c>
      <c r="AI1468">
        <v>7</v>
      </c>
    </row>
    <row r="1469" spans="1:35" x14ac:dyDescent="0.25">
      <c r="A1469">
        <v>27</v>
      </c>
      <c r="B1469" t="str">
        <f t="shared" si="44"/>
        <v>25-34</v>
      </c>
      <c r="C1469" s="1" t="s">
        <v>38</v>
      </c>
      <c r="D1469" s="17">
        <f>IF(Table1[[#This Row],[Attrition]]="Yes",1,0)</f>
        <v>0</v>
      </c>
      <c r="E1469" t="s">
        <v>57</v>
      </c>
      <c r="F1469" s="2">
        <v>155</v>
      </c>
      <c r="G1469" t="s">
        <v>39</v>
      </c>
      <c r="H1469">
        <v>4</v>
      </c>
      <c r="I1469">
        <v>3</v>
      </c>
      <c r="J1469" t="str">
        <f t="shared" si="45"/>
        <v>Bachelor</v>
      </c>
      <c r="K1469" t="s">
        <v>34</v>
      </c>
      <c r="L1469">
        <v>2</v>
      </c>
      <c r="M1469" t="s">
        <v>40</v>
      </c>
      <c r="N1469" s="2">
        <v>87</v>
      </c>
      <c r="O1469">
        <v>4</v>
      </c>
      <c r="P1469">
        <v>2</v>
      </c>
      <c r="Q1469" t="s">
        <v>47</v>
      </c>
      <c r="R1469">
        <v>2</v>
      </c>
      <c r="S1469" t="s">
        <v>42</v>
      </c>
      <c r="T1469" s="2">
        <v>6142</v>
      </c>
      <c r="U1469" s="2">
        <v>5174</v>
      </c>
      <c r="V1469">
        <v>1</v>
      </c>
      <c r="W1469" t="s">
        <v>32</v>
      </c>
      <c r="X1469">
        <v>20</v>
      </c>
      <c r="Y1469">
        <v>4</v>
      </c>
      <c r="Z1469">
        <v>2</v>
      </c>
      <c r="AA1469">
        <v>80</v>
      </c>
      <c r="AB1469">
        <v>1</v>
      </c>
      <c r="AC1469">
        <v>6</v>
      </c>
      <c r="AD1469">
        <v>0</v>
      </c>
      <c r="AE1469">
        <v>3</v>
      </c>
      <c r="AF1469">
        <v>6</v>
      </c>
      <c r="AG1469">
        <v>2</v>
      </c>
      <c r="AH1469">
        <v>0</v>
      </c>
      <c r="AI1469">
        <v>3</v>
      </c>
    </row>
    <row r="1470" spans="1:35" x14ac:dyDescent="0.25">
      <c r="A1470">
        <v>49</v>
      </c>
      <c r="B1470" t="str">
        <f t="shared" si="44"/>
        <v>45-54</v>
      </c>
      <c r="C1470" s="1" t="s">
        <v>38</v>
      </c>
      <c r="D1470" s="17">
        <f>IF(Table1[[#This Row],[Attrition]]="Yes",1,0)</f>
        <v>0</v>
      </c>
      <c r="E1470" t="s">
        <v>58</v>
      </c>
      <c r="F1470" s="2">
        <v>1023</v>
      </c>
      <c r="G1470" t="s">
        <v>33</v>
      </c>
      <c r="H1470">
        <v>2</v>
      </c>
      <c r="I1470">
        <v>3</v>
      </c>
      <c r="J1470" t="str">
        <f t="shared" si="45"/>
        <v>Bachelor</v>
      </c>
      <c r="K1470" t="s">
        <v>45</v>
      </c>
      <c r="L1470">
        <v>4</v>
      </c>
      <c r="M1470" t="s">
        <v>40</v>
      </c>
      <c r="N1470" s="2">
        <v>63</v>
      </c>
      <c r="O1470">
        <v>2</v>
      </c>
      <c r="P1470">
        <v>2</v>
      </c>
      <c r="Q1470" t="s">
        <v>36</v>
      </c>
      <c r="R1470">
        <v>2</v>
      </c>
      <c r="S1470" t="s">
        <v>42</v>
      </c>
      <c r="T1470" s="2">
        <v>5390</v>
      </c>
      <c r="U1470" s="2">
        <v>13243</v>
      </c>
      <c r="V1470">
        <v>2</v>
      </c>
      <c r="W1470" t="s">
        <v>38</v>
      </c>
      <c r="X1470">
        <v>14</v>
      </c>
      <c r="Y1470">
        <v>3</v>
      </c>
      <c r="Z1470">
        <v>4</v>
      </c>
      <c r="AA1470">
        <v>80</v>
      </c>
      <c r="AB1470">
        <v>0</v>
      </c>
      <c r="AC1470">
        <v>17</v>
      </c>
      <c r="AD1470">
        <v>3</v>
      </c>
      <c r="AE1470">
        <v>2</v>
      </c>
      <c r="AF1470">
        <v>9</v>
      </c>
      <c r="AG1470">
        <v>6</v>
      </c>
      <c r="AH1470">
        <v>0</v>
      </c>
      <c r="AI1470">
        <v>8</v>
      </c>
    </row>
    <row r="1471" spans="1:35" x14ac:dyDescent="0.25">
      <c r="A1471">
        <v>34</v>
      </c>
      <c r="B1471" t="str">
        <f t="shared" si="44"/>
        <v>25-34</v>
      </c>
      <c r="C1471" s="1" t="s">
        <v>38</v>
      </c>
      <c r="D1471" s="17">
        <f>IF(Table1[[#This Row],[Attrition]]="Yes",1,0)</f>
        <v>0</v>
      </c>
      <c r="E1471" t="s">
        <v>57</v>
      </c>
      <c r="F1471" s="2">
        <v>628</v>
      </c>
      <c r="G1471" t="s">
        <v>39</v>
      </c>
      <c r="H1471">
        <v>8</v>
      </c>
      <c r="I1471">
        <v>3</v>
      </c>
      <c r="J1471" t="str">
        <f t="shared" si="45"/>
        <v>Bachelor</v>
      </c>
      <c r="K1471" t="s">
        <v>45</v>
      </c>
      <c r="L1471">
        <v>2</v>
      </c>
      <c r="M1471" t="s">
        <v>40</v>
      </c>
      <c r="N1471" s="2">
        <v>82</v>
      </c>
      <c r="O1471">
        <v>4</v>
      </c>
      <c r="P1471">
        <v>2</v>
      </c>
      <c r="Q1471" t="s">
        <v>44</v>
      </c>
      <c r="R1471">
        <v>3</v>
      </c>
      <c r="S1471" t="s">
        <v>42</v>
      </c>
      <c r="T1471" s="2">
        <v>4404</v>
      </c>
      <c r="U1471" s="2">
        <v>10228</v>
      </c>
      <c r="V1471">
        <v>2</v>
      </c>
      <c r="W1471" t="s">
        <v>38</v>
      </c>
      <c r="X1471">
        <v>12</v>
      </c>
      <c r="Y1471">
        <v>3</v>
      </c>
      <c r="Z1471">
        <v>1</v>
      </c>
      <c r="AA1471">
        <v>80</v>
      </c>
      <c r="AB1471">
        <v>0</v>
      </c>
      <c r="AC1471">
        <v>6</v>
      </c>
      <c r="AD1471">
        <v>3</v>
      </c>
      <c r="AE1471">
        <v>4</v>
      </c>
      <c r="AF1471">
        <v>4</v>
      </c>
      <c r="AG1471">
        <v>3</v>
      </c>
      <c r="AH1471">
        <v>1</v>
      </c>
      <c r="AI1471">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B549B-7349-4EE9-B17C-63D1B943F8ED}">
  <sheetPr codeName="Sheet2"/>
  <dimension ref="B1:H48"/>
  <sheetViews>
    <sheetView topLeftCell="B1" zoomScale="130" zoomScaleNormal="130" workbookViewId="0">
      <selection activeCell="H52" sqref="H52"/>
    </sheetView>
  </sheetViews>
  <sheetFormatPr defaultRowHeight="15" x14ac:dyDescent="0.25"/>
  <cols>
    <col min="2" max="2" width="23.85546875" bestFit="1" customWidth="1"/>
    <col min="3" max="3" width="21.42578125" bestFit="1" customWidth="1"/>
    <col min="4" max="4" width="16.7109375" bestFit="1" customWidth="1"/>
    <col min="5" max="5" width="13.140625" bestFit="1" customWidth="1"/>
    <col min="6" max="6" width="24.7109375" bestFit="1" customWidth="1"/>
    <col min="7" max="7" width="33.42578125" bestFit="1" customWidth="1"/>
    <col min="8" max="8" width="26.5703125" bestFit="1" customWidth="1"/>
    <col min="9" max="31" width="3" bestFit="1" customWidth="1"/>
    <col min="32" max="32" width="11.28515625" bestFit="1" customWidth="1"/>
    <col min="33" max="887" width="16.28515625" bestFit="1" customWidth="1"/>
    <col min="888" max="888" width="11.28515625" bestFit="1" customWidth="1"/>
  </cols>
  <sheetData>
    <row r="1" spans="2:8" ht="15.75" customHeight="1" x14ac:dyDescent="0.25">
      <c r="B1" s="25" t="s">
        <v>67</v>
      </c>
      <c r="C1" s="25"/>
      <c r="E1" s="26" t="s">
        <v>78</v>
      </c>
      <c r="F1" s="27"/>
      <c r="G1" s="27"/>
      <c r="H1" s="27"/>
    </row>
    <row r="2" spans="2:8" x14ac:dyDescent="0.25">
      <c r="B2" s="25"/>
      <c r="C2" s="25"/>
      <c r="E2" s="27"/>
      <c r="F2" s="27"/>
      <c r="G2" s="27"/>
      <c r="H2" s="27"/>
    </row>
    <row r="3" spans="2:8" x14ac:dyDescent="0.25">
      <c r="B3" s="11" t="s">
        <v>65</v>
      </c>
      <c r="C3" t="s">
        <v>77</v>
      </c>
      <c r="E3" s="11" t="s">
        <v>65</v>
      </c>
      <c r="F3" t="s">
        <v>73</v>
      </c>
      <c r="G3" t="s">
        <v>74</v>
      </c>
      <c r="H3" t="s">
        <v>75</v>
      </c>
    </row>
    <row r="4" spans="2:8" x14ac:dyDescent="0.25">
      <c r="B4" s="14" t="s">
        <v>68</v>
      </c>
      <c r="C4" s="32">
        <v>163</v>
      </c>
      <c r="E4" s="12" t="s">
        <v>38</v>
      </c>
      <c r="F4" s="16">
        <v>2.778588807785888</v>
      </c>
      <c r="G4" s="16">
        <v>2.7712895377128954</v>
      </c>
      <c r="H4" s="16">
        <v>2.781021897810219</v>
      </c>
    </row>
    <row r="5" spans="2:8" x14ac:dyDescent="0.25">
      <c r="B5" s="14" t="s">
        <v>69</v>
      </c>
      <c r="C5" s="32">
        <v>40</v>
      </c>
      <c r="E5" s="12" t="s">
        <v>32</v>
      </c>
      <c r="F5" s="16">
        <v>2.4683544303797467</v>
      </c>
      <c r="G5" s="16">
        <v>2.4641350210970465</v>
      </c>
      <c r="H5" s="16">
        <v>2.6582278481012658</v>
      </c>
    </row>
    <row r="6" spans="2:8" x14ac:dyDescent="0.25">
      <c r="B6" s="14" t="s">
        <v>70</v>
      </c>
      <c r="C6" s="32">
        <v>25</v>
      </c>
      <c r="E6" s="12" t="s">
        <v>66</v>
      </c>
      <c r="F6" s="16">
        <v>2.7285714285714286</v>
      </c>
      <c r="G6" s="16">
        <v>2.721768707482993</v>
      </c>
      <c r="H6" s="16">
        <v>2.7612244897959184</v>
      </c>
    </row>
    <row r="7" spans="2:8" x14ac:dyDescent="0.25">
      <c r="B7" s="14" t="s">
        <v>71</v>
      </c>
      <c r="C7" s="32">
        <v>4</v>
      </c>
    </row>
    <row r="8" spans="2:8" x14ac:dyDescent="0.25">
      <c r="B8" s="14" t="s">
        <v>72</v>
      </c>
      <c r="C8" s="32">
        <v>5</v>
      </c>
    </row>
    <row r="9" spans="2:8" x14ac:dyDescent="0.25">
      <c r="B9" s="14" t="s">
        <v>66</v>
      </c>
      <c r="C9" s="32">
        <v>237</v>
      </c>
    </row>
    <row r="10" spans="2:8" x14ac:dyDescent="0.25">
      <c r="B10" s="14"/>
    </row>
    <row r="11" spans="2:8" ht="15" customHeight="1" x14ac:dyDescent="0.25">
      <c r="B11" s="25" t="s">
        <v>80</v>
      </c>
      <c r="C11" s="25"/>
      <c r="D11" s="25"/>
      <c r="E11" s="25"/>
      <c r="F11" s="25"/>
    </row>
    <row r="12" spans="2:8" x14ac:dyDescent="0.25">
      <c r="B12" s="25"/>
      <c r="C12" s="25"/>
      <c r="D12" s="25"/>
      <c r="E12" s="25"/>
      <c r="F12" s="25"/>
    </row>
    <row r="13" spans="2:8" x14ac:dyDescent="0.25">
      <c r="B13" s="11" t="s">
        <v>65</v>
      </c>
      <c r="C13" t="s">
        <v>77</v>
      </c>
      <c r="D13" s="19" t="s">
        <v>81</v>
      </c>
      <c r="E13" s="20" t="s">
        <v>82</v>
      </c>
      <c r="F13" s="20" t="s">
        <v>83</v>
      </c>
    </row>
    <row r="14" spans="2:8" x14ac:dyDescent="0.25">
      <c r="B14" s="12" t="s">
        <v>52</v>
      </c>
      <c r="C14" s="32">
        <v>2</v>
      </c>
      <c r="D14" s="21" t="str">
        <f>IF(_xlfn.RANK.EQ(C14, $C$14:$C$22) &lt;= 3, "Top 3", "Other")</f>
        <v>Other</v>
      </c>
      <c r="E14" s="22" t="e">
        <f>IF($D14="Top 3",$C14,NA())</f>
        <v>#N/A</v>
      </c>
      <c r="F14" s="22">
        <f>IF($D14="Other",$C14,NA())</f>
        <v>2</v>
      </c>
    </row>
    <row r="15" spans="2:8" x14ac:dyDescent="0.25">
      <c r="B15" s="12" t="s">
        <v>50</v>
      </c>
      <c r="C15" s="32">
        <v>5</v>
      </c>
      <c r="D15" s="21" t="str">
        <f t="shared" ref="D15:D22" si="0">IF(_xlfn.RANK.EQ(C15, $C$14:$C$22) &lt;= 3, "Top 3", "Other")</f>
        <v>Other</v>
      </c>
      <c r="E15" s="22" t="e">
        <f t="shared" ref="E15:E22" si="1">IF($D15="Top 3",$C15,NA())</f>
        <v>#N/A</v>
      </c>
      <c r="F15" s="22">
        <f t="shared" ref="F15:F22" si="2">IF($D15="Other",$C15,NA())</f>
        <v>5</v>
      </c>
    </row>
    <row r="16" spans="2:8" x14ac:dyDescent="0.25">
      <c r="B16" s="12" t="s">
        <v>48</v>
      </c>
      <c r="C16" s="32">
        <v>9</v>
      </c>
      <c r="D16" s="21" t="str">
        <f t="shared" si="0"/>
        <v>Other</v>
      </c>
      <c r="E16" s="22" t="e">
        <f t="shared" si="1"/>
        <v>#N/A</v>
      </c>
      <c r="F16" s="22">
        <f t="shared" si="2"/>
        <v>9</v>
      </c>
    </row>
    <row r="17" spans="2:6" x14ac:dyDescent="0.25">
      <c r="B17" s="12" t="s">
        <v>47</v>
      </c>
      <c r="C17" s="32">
        <v>10</v>
      </c>
      <c r="D17" s="21" t="str">
        <f t="shared" si="0"/>
        <v>Other</v>
      </c>
      <c r="E17" s="22" t="e">
        <f t="shared" si="1"/>
        <v>#N/A</v>
      </c>
      <c r="F17" s="22">
        <f t="shared" si="2"/>
        <v>10</v>
      </c>
    </row>
    <row r="18" spans="2:6" x14ac:dyDescent="0.25">
      <c r="B18" s="12" t="s">
        <v>55</v>
      </c>
      <c r="C18" s="32">
        <v>12</v>
      </c>
      <c r="D18" s="21" t="str">
        <f t="shared" si="0"/>
        <v>Other</v>
      </c>
      <c r="E18" s="22" t="e">
        <f t="shared" si="1"/>
        <v>#N/A</v>
      </c>
      <c r="F18" s="22">
        <f t="shared" si="2"/>
        <v>12</v>
      </c>
    </row>
    <row r="19" spans="2:6" x14ac:dyDescent="0.25">
      <c r="B19" s="12" t="s">
        <v>51</v>
      </c>
      <c r="C19" s="32">
        <v>33</v>
      </c>
      <c r="D19" s="21" t="str">
        <f t="shared" si="0"/>
        <v>Other</v>
      </c>
      <c r="E19" s="22" t="e">
        <f t="shared" si="1"/>
        <v>#N/A</v>
      </c>
      <c r="F19" s="22">
        <f t="shared" si="2"/>
        <v>33</v>
      </c>
    </row>
    <row r="20" spans="2:6" x14ac:dyDescent="0.25">
      <c r="B20" s="12" t="s">
        <v>41</v>
      </c>
      <c r="C20" s="32">
        <v>47</v>
      </c>
      <c r="D20" s="21" t="str">
        <f t="shared" si="0"/>
        <v>Top 3</v>
      </c>
      <c r="E20" s="22">
        <f t="shared" si="1"/>
        <v>47</v>
      </c>
      <c r="F20" s="22" t="e">
        <f t="shared" si="2"/>
        <v>#N/A</v>
      </c>
    </row>
    <row r="21" spans="2:6" x14ac:dyDescent="0.25">
      <c r="B21" s="12" t="s">
        <v>36</v>
      </c>
      <c r="C21" s="32">
        <v>57</v>
      </c>
      <c r="D21" s="21" t="str">
        <f t="shared" si="0"/>
        <v>Top 3</v>
      </c>
      <c r="E21" s="22">
        <f t="shared" si="1"/>
        <v>57</v>
      </c>
      <c r="F21" s="22" t="e">
        <f t="shared" si="2"/>
        <v>#N/A</v>
      </c>
    </row>
    <row r="22" spans="2:6" x14ac:dyDescent="0.25">
      <c r="B22" s="12" t="s">
        <v>44</v>
      </c>
      <c r="C22" s="32">
        <v>62</v>
      </c>
      <c r="D22" s="21" t="str">
        <f t="shared" si="0"/>
        <v>Top 3</v>
      </c>
      <c r="E22" s="22">
        <f t="shared" si="1"/>
        <v>62</v>
      </c>
      <c r="F22" s="22" t="e">
        <f t="shared" si="2"/>
        <v>#N/A</v>
      </c>
    </row>
    <row r="23" spans="2:6" x14ac:dyDescent="0.25">
      <c r="B23" s="12" t="s">
        <v>66</v>
      </c>
      <c r="C23" s="32">
        <v>237</v>
      </c>
    </row>
    <row r="25" spans="2:6" x14ac:dyDescent="0.25">
      <c r="B25" s="24" t="s">
        <v>84</v>
      </c>
      <c r="C25" s="24"/>
    </row>
    <row r="26" spans="2:6" x14ac:dyDescent="0.25">
      <c r="B26" s="24"/>
      <c r="C26" s="24"/>
    </row>
    <row r="27" spans="2:6" x14ac:dyDescent="0.25">
      <c r="B27" s="11" t="s">
        <v>65</v>
      </c>
      <c r="C27" t="s">
        <v>77</v>
      </c>
    </row>
    <row r="28" spans="2:6" x14ac:dyDescent="0.25">
      <c r="B28" s="12" t="s">
        <v>55</v>
      </c>
      <c r="C28" s="32">
        <v>12</v>
      </c>
    </row>
    <row r="29" spans="2:6" x14ac:dyDescent="0.25">
      <c r="B29" s="12" t="s">
        <v>39</v>
      </c>
      <c r="C29" s="32">
        <v>133</v>
      </c>
    </row>
    <row r="30" spans="2:6" x14ac:dyDescent="0.25">
      <c r="B30" s="12" t="s">
        <v>33</v>
      </c>
      <c r="C30" s="32">
        <v>92</v>
      </c>
    </row>
    <row r="31" spans="2:6" x14ac:dyDescent="0.25">
      <c r="B31" s="12" t="s">
        <v>66</v>
      </c>
      <c r="C31" s="32">
        <v>237</v>
      </c>
    </row>
    <row r="33" spans="2:6" ht="15" customHeight="1" x14ac:dyDescent="0.25">
      <c r="B33" s="25" t="s">
        <v>85</v>
      </c>
      <c r="C33" s="25"/>
      <c r="D33" s="15"/>
      <c r="E33" s="15"/>
    </row>
    <row r="34" spans="2:6" x14ac:dyDescent="0.25">
      <c r="B34" s="25"/>
      <c r="C34" s="25"/>
      <c r="D34" s="15"/>
      <c r="E34" s="15"/>
    </row>
    <row r="35" spans="2:6" x14ac:dyDescent="0.25">
      <c r="B35" s="11" t="s">
        <v>65</v>
      </c>
      <c r="C35" t="s">
        <v>77</v>
      </c>
      <c r="D35" s="13" t="s">
        <v>93</v>
      </c>
      <c r="E35" s="13" t="s">
        <v>94</v>
      </c>
      <c r="F35" s="13" t="s">
        <v>95</v>
      </c>
    </row>
    <row r="36" spans="2:6" x14ac:dyDescent="0.25">
      <c r="B36" s="12" t="s">
        <v>86</v>
      </c>
      <c r="C36" s="32">
        <v>77</v>
      </c>
      <c r="D36">
        <f>(LEFT(B36,FIND("-",B36)-1)+MID(B36,FIND("-",B36)+1,LEN(B36)))/2</f>
        <v>2.5</v>
      </c>
      <c r="E36">
        <v>0</v>
      </c>
      <c r="F36">
        <v>77</v>
      </c>
    </row>
    <row r="37" spans="2:6" x14ac:dyDescent="0.25">
      <c r="B37" s="12" t="s">
        <v>87</v>
      </c>
      <c r="C37" s="32">
        <v>38</v>
      </c>
      <c r="D37">
        <f t="shared" ref="D37:D42" si="3">(LEFT(B37,FIND("-",B37)-1)+MID(B37,FIND("-",B37)+1,LEN(B37)))/2</f>
        <v>6.5</v>
      </c>
      <c r="E37">
        <v>0</v>
      </c>
      <c r="F37">
        <v>38</v>
      </c>
    </row>
    <row r="38" spans="2:6" x14ac:dyDescent="0.25">
      <c r="B38" s="12" t="s">
        <v>88</v>
      </c>
      <c r="C38" s="32">
        <v>39</v>
      </c>
      <c r="D38">
        <f t="shared" si="3"/>
        <v>10.5</v>
      </c>
      <c r="E38">
        <v>0</v>
      </c>
      <c r="F38">
        <v>39</v>
      </c>
    </row>
    <row r="39" spans="2:6" x14ac:dyDescent="0.25">
      <c r="B39" s="12" t="s">
        <v>89</v>
      </c>
      <c r="C39" s="32">
        <v>22</v>
      </c>
      <c r="D39">
        <f t="shared" si="3"/>
        <v>14.5</v>
      </c>
      <c r="E39">
        <v>0</v>
      </c>
      <c r="F39">
        <v>22</v>
      </c>
    </row>
    <row r="40" spans="2:6" x14ac:dyDescent="0.25">
      <c r="B40" s="12" t="s">
        <v>90</v>
      </c>
      <c r="C40" s="32">
        <v>16</v>
      </c>
      <c r="D40">
        <f t="shared" si="3"/>
        <v>18.5</v>
      </c>
      <c r="E40">
        <v>0</v>
      </c>
      <c r="F40">
        <v>16</v>
      </c>
    </row>
    <row r="41" spans="2:6" x14ac:dyDescent="0.25">
      <c r="B41" s="12" t="s">
        <v>91</v>
      </c>
      <c r="C41" s="32">
        <v>26</v>
      </c>
      <c r="D41">
        <f t="shared" si="3"/>
        <v>22.5</v>
      </c>
      <c r="E41">
        <v>0</v>
      </c>
      <c r="F41">
        <v>26</v>
      </c>
    </row>
    <row r="42" spans="2:6" x14ac:dyDescent="0.25">
      <c r="B42" s="12" t="s">
        <v>92</v>
      </c>
      <c r="C42" s="32">
        <v>19</v>
      </c>
      <c r="D42">
        <f t="shared" si="3"/>
        <v>27</v>
      </c>
      <c r="E42">
        <v>0</v>
      </c>
      <c r="F42">
        <v>19</v>
      </c>
    </row>
    <row r="43" spans="2:6" x14ac:dyDescent="0.25">
      <c r="B43" s="12" t="s">
        <v>66</v>
      </c>
      <c r="C43" s="32">
        <v>237</v>
      </c>
    </row>
    <row r="44" spans="2:6" x14ac:dyDescent="0.25">
      <c r="B44" s="12"/>
    </row>
    <row r="45" spans="2:6" x14ac:dyDescent="0.25">
      <c r="B45" s="12"/>
    </row>
    <row r="46" spans="2:6" x14ac:dyDescent="0.25">
      <c r="B46" s="12"/>
    </row>
    <row r="47" spans="2:6" x14ac:dyDescent="0.25">
      <c r="B47" s="12"/>
    </row>
    <row r="48" spans="2:6" x14ac:dyDescent="0.25">
      <c r="B48" s="12"/>
    </row>
  </sheetData>
  <mergeCells count="5">
    <mergeCell ref="B25:C26"/>
    <mergeCell ref="B33:C34"/>
    <mergeCell ref="B1:C2"/>
    <mergeCell ref="E1:H2"/>
    <mergeCell ref="B11:F12"/>
  </mergeCells>
  <conditionalFormatting pivot="1" sqref="C14:C22">
    <cfRule type="top10" dxfId="24" priority="1" rank="3"/>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2F15-46F4-4F85-AB31-B8C797C7D079}">
  <sheetPr codeName="Sheet3"/>
  <dimension ref="C2:K34"/>
  <sheetViews>
    <sheetView showGridLines="0" tabSelected="1" zoomScale="85" zoomScaleNormal="85" workbookViewId="0">
      <selection activeCell="I36" sqref="I36"/>
    </sheetView>
  </sheetViews>
  <sheetFormatPr defaultRowHeight="15" x14ac:dyDescent="0.25"/>
  <cols>
    <col min="3" max="4" width="13.28515625" customWidth="1"/>
    <col min="5" max="5" width="7.5703125" customWidth="1"/>
    <col min="6" max="6" width="6.140625" customWidth="1"/>
    <col min="7" max="7" width="20.140625" bestFit="1" customWidth="1"/>
    <col min="8" max="8" width="22.7109375" bestFit="1" customWidth="1"/>
    <col min="9" max="9" width="24.28515625" bestFit="1" customWidth="1"/>
    <col min="10" max="10" width="35.42578125" bestFit="1" customWidth="1"/>
    <col min="11" max="11" width="32.5703125" bestFit="1" customWidth="1"/>
    <col min="16" max="16" width="17.28515625" customWidth="1"/>
  </cols>
  <sheetData>
    <row r="2" spans="3:11" ht="20.25" thickBot="1" x14ac:dyDescent="0.35">
      <c r="C2" s="28" t="s">
        <v>79</v>
      </c>
      <c r="D2" s="28"/>
      <c r="E2" s="28"/>
      <c r="G2" s="7" t="s">
        <v>60</v>
      </c>
      <c r="H2" s="5" t="s">
        <v>61</v>
      </c>
      <c r="I2" s="5" t="s">
        <v>62</v>
      </c>
      <c r="J2" s="6" t="s">
        <v>63</v>
      </c>
      <c r="K2" s="9" t="s">
        <v>64</v>
      </c>
    </row>
    <row r="3" spans="3:11" ht="16.5" thickTop="1" x14ac:dyDescent="0.25">
      <c r="C3" s="28"/>
      <c r="D3" s="28"/>
      <c r="E3" s="28"/>
      <c r="G3" s="8">
        <f>COUNT('HR-Employee-Attrition'!A:A)</f>
        <v>1470</v>
      </c>
      <c r="H3" s="3">
        <f>COUNTIF('HR-Employee-Attrition'!C:C, "Yes") / G3</f>
        <v>0.16122448979591836</v>
      </c>
      <c r="I3" s="3">
        <f>COUNTIF('HR-Employee-Attrition'!C:C, "No")/ G3</f>
        <v>0.83877551020408159</v>
      </c>
      <c r="J3" s="4">
        <f>AVERAGE('HR-Employee-Attrition'!AE:AE)</f>
        <v>2.7612244897959184</v>
      </c>
      <c r="K3" s="10">
        <f>AVERAGE('HR-Employee-Attrition'!R:R)</f>
        <v>2.7285714285714286</v>
      </c>
    </row>
    <row r="4" spans="3:11" ht="17.25" customHeight="1" x14ac:dyDescent="0.25">
      <c r="F4" s="18"/>
    </row>
    <row r="5" spans="3:11" ht="17.25" x14ac:dyDescent="0.25">
      <c r="F5" s="18"/>
    </row>
    <row r="20" spans="3:9" ht="15" customHeight="1" x14ac:dyDescent="0.25">
      <c r="I20" s="23"/>
    </row>
    <row r="21" spans="3:9" ht="15" customHeight="1" x14ac:dyDescent="0.25">
      <c r="I21" s="23"/>
    </row>
    <row r="23" spans="3:9" x14ac:dyDescent="0.25">
      <c r="C23" s="30" t="s">
        <v>96</v>
      </c>
      <c r="D23" s="31"/>
      <c r="E23" s="31"/>
    </row>
    <row r="24" spans="3:9" ht="15" customHeight="1" x14ac:dyDescent="0.25">
      <c r="C24" s="31"/>
      <c r="D24" s="31"/>
      <c r="E24" s="31"/>
    </row>
    <row r="25" spans="3:9" ht="15" customHeight="1" x14ac:dyDescent="0.25">
      <c r="C25" s="29"/>
      <c r="D25" s="29"/>
      <c r="E25" s="29"/>
    </row>
    <row r="33" ht="15" customHeight="1" x14ac:dyDescent="0.25"/>
    <row r="34" ht="15" customHeight="1" x14ac:dyDescent="0.25"/>
  </sheetData>
  <mergeCells count="2">
    <mergeCell ref="C2:E3"/>
    <mergeCell ref="C23:E24"/>
  </mergeCells>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HR-Employee-Attrition</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Liz Ann Sucgang</dc:creator>
  <cp:lastModifiedBy>Liz Ann Sucgang</cp:lastModifiedBy>
  <dcterms:created xsi:type="dcterms:W3CDTF">2025-08-19T06:47:10Z</dcterms:created>
  <dcterms:modified xsi:type="dcterms:W3CDTF">2025-08-22T10:09:29Z</dcterms:modified>
</cp:coreProperties>
</file>